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M SAM SOM" sheetId="1" state="visible" r:id="rId3"/>
    <sheet name="Inputs" sheetId="2" state="visible" r:id="rId4"/>
    <sheet name="SOM Build" sheetId="3" state="visible" r:id="rId5"/>
    <sheet name="Pricing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<sst xmlns="http://schemas.openxmlformats.org/spreadsheetml/2006/main" count="79" uniqueCount="71">
  <si>
    <t xml:space="preserve">FACTORY SHADOW: TAM, SAM AND SOM  (Base case)</t>
  </si>
  <si>
    <t xml:space="preserve">AI production-disruption decision engine for Indian manufacturing plants</t>
  </si>
  <si>
    <t xml:space="preserve">Layer</t>
  </si>
  <si>
    <t xml:space="preserve">Who it covers</t>
  </si>
  <si>
    <t xml:space="preserve">Plants</t>
  </si>
  <si>
    <t xml:space="preserve">₹ lakh per plant p.a.</t>
  </si>
  <si>
    <t xml:space="preserve">Market (₹ crore p.a.)</t>
  </si>
  <si>
    <t xml:space="preserve">Share of SAM plants</t>
  </si>
  <si>
    <t xml:space="preserve">TAM</t>
  </si>
  <si>
    <t xml:space="preserve">Operating factories in the 7 target industries</t>
  </si>
  <si>
    <t xml:space="preserve">Size-qualified pool</t>
  </si>
  <si>
    <t xml:space="preserve">TAM × plants with 100+ workers</t>
  </si>
  <si>
    <t xml:space="preserve">SAM</t>
  </si>
  <si>
    <t xml:space="preserve">Size pool × top-5 states × operationally ready</t>
  </si>
  <si>
    <t xml:space="preserve">SOM (FY31)</t>
  </si>
  <si>
    <t xml:space="preserve">Live paying plants, Year 5</t>
  </si>
  <si>
    <t xml:space="preserve">SOM (FY36)</t>
  </si>
  <si>
    <t xml:space="preserve">Implied live plants, Year 10</t>
  </si>
  <si>
    <t xml:space="preserve">TAM and SAM use the FY27 blended list price; SOM uses ARR per live plant, which includes price escalation and upsell.</t>
  </si>
  <si>
    <t xml:space="preserve">Market share</t>
  </si>
  <si>
    <t xml:space="preserve">Bear</t>
  </si>
  <si>
    <t xml:space="preserve">Base</t>
  </si>
  <si>
    <t xml:space="preserve">Bull</t>
  </si>
  <si>
    <t xml:space="preserve">FY31 live paying plants</t>
  </si>
  <si>
    <t xml:space="preserve">FY31 closing ARR (₹ crore)</t>
  </si>
  <si>
    <t xml:space="preserve">Share of TAM plants</t>
  </si>
  <si>
    <t xml:space="preserve">Share of size-qualified pool</t>
  </si>
  <si>
    <t xml:space="preserve">Pitch line</t>
  </si>
  <si>
    <t xml:space="preserve">INPUTS  (₹ lakh unless stated)</t>
  </si>
  <si>
    <t xml:space="preserve">Input</t>
  </si>
  <si>
    <t xml:space="preserve">Value</t>
  </si>
  <si>
    <t xml:space="preserve">Unit</t>
  </si>
  <si>
    <t xml:space="preserve">Operating factories in 7 target industries (ASI 2023-24)</t>
  </si>
  <si>
    <t xml:space="preserve">plants</t>
  </si>
  <si>
    <t xml:space="preserve">Share with 100+ workers</t>
  </si>
  <si>
    <t xml:space="preserve">Share in top-5 manufacturing states</t>
  </si>
  <si>
    <t xml:space="preserve">Operationally ready (machine data readable; planner in place)</t>
  </si>
  <si>
    <t xml:space="preserve">Starter subscription</t>
  </si>
  <si>
    <t xml:space="preserve">₹ lakh p.a.</t>
  </si>
  <si>
    <t xml:space="preserve">Professional subscription</t>
  </si>
  <si>
    <t xml:space="preserve">Enterprise subscription</t>
  </si>
  <si>
    <t xml:space="preserve">New-customer mix: Starter</t>
  </si>
  <si>
    <t xml:space="preserve">New-customer mix: Professional</t>
  </si>
  <si>
    <t xml:space="preserve">New-customer mix: Enterprise</t>
  </si>
  <si>
    <t xml:space="preserve">FY31 live paying plants (base)</t>
  </si>
  <si>
    <t xml:space="preserve">FY31 ARR per live plant</t>
  </si>
  <si>
    <t xml:space="preserve">₹ lakh</t>
  </si>
  <si>
    <t xml:space="preserve">FY36 implied live plants</t>
  </si>
  <si>
    <t xml:space="preserve">FY36 ARR per live plant</t>
  </si>
  <si>
    <t xml:space="preserve">Blended price per plant (FY27)</t>
  </si>
  <si>
    <t xml:space="preserve">SOM BUILD: BASE CASE  (₹ lakh unless stated)</t>
  </si>
  <si>
    <t xml:space="preserve">Metric</t>
  </si>
  <si>
    <t xml:space="preserve">FY27</t>
  </si>
  <si>
    <t xml:space="preserve">FY28</t>
  </si>
  <si>
    <t xml:space="preserve">FY29</t>
  </si>
  <si>
    <t xml:space="preserve">FY30</t>
  </si>
  <si>
    <t xml:space="preserve">FY31</t>
  </si>
  <si>
    <t xml:space="preserve">Live paying plants (year end)</t>
  </si>
  <si>
    <t xml:space="preserve">Closing ARR</t>
  </si>
  <si>
    <t xml:space="preserve">Total revenue</t>
  </si>
  <si>
    <t xml:space="preserve">ARR per live plant</t>
  </si>
  <si>
    <t xml:space="preserve">Source: AI Plant Operations Optimiser financial model v4.1 (Revenue Build sheet).</t>
  </si>
  <si>
    <t xml:space="preserve">PRICING TIERS  (₹ lakh per plant p.a.)</t>
  </si>
  <si>
    <t xml:space="preserve">Tier</t>
  </si>
  <si>
    <t xml:space="preserve">Annual subscription</t>
  </si>
  <si>
    <t xml:space="preserve">New-customer mix</t>
  </si>
  <si>
    <t xml:space="preserve">Weighted</t>
  </si>
  <si>
    <t xml:space="preserve">Starter</t>
  </si>
  <si>
    <t xml:space="preserve">Professional</t>
  </si>
  <si>
    <t xml:space="preserve">Enterprise</t>
  </si>
  <si>
    <t xml:space="preserve">Blended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</si>
</sst>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–"/>
    <numFmt numFmtId="166" formatCode="#,##0.0;\(#,##0.0\);\–"/>
    <numFmt numFmtId="167" formatCode="0.0%;\(0.0%\);\–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Times New Roman"/>
      <family val="0"/>
      <charset val="1"/>
    </font>
    <font>
      <sz val="10"/>
      <name val="Times New Roman"/>
      <family val="0"/>
      <charset val="1"/>
    </font>
    <font>
      <b val="true"/>
      <sz val="10"/>
      <color rgb="FFFFFFFF"/>
      <name val="Times New Roman"/>
      <family val="0"/>
      <charset val="1"/>
    </font>
    <font>
      <b val="true"/>
      <sz val="10"/>
      <name val="Times New Roman"/>
      <family val="0"/>
      <charset val="1"/>
    </font>
    <font>
      <i val="true"/>
      <sz val="9"/>
      <name val="Times New Roman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6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false" outlineLevel="0" collapsed="false">
      <c r="A5" s="5" t="s">
        <v>8</v>
      </c>
      <c r="B5" s="6" t="s">
        <v>9</v>
      </c>
      <c r="C5" s="7" t="n">
        <f aca="false">Inputs!$B$4</f>
        <v>63728</v>
      </c>
      <c r="D5" s="8" t="n">
        <f aca="false">Inputs!$B$18</f>
        <v>28.75</v>
      </c>
      <c r="E5" s="7" t="n">
        <f aca="false">C5*D5/100</f>
        <v>18321.8</v>
      </c>
      <c r="F5" s="9"/>
    </row>
    <row r="6" customFormat="false" ht="15" hidden="false" customHeight="false" outlineLevel="0" collapsed="false">
      <c r="A6" s="10" t="s">
        <v>10</v>
      </c>
      <c r="B6" s="10" t="s">
        <v>11</v>
      </c>
      <c r="C6" s="11" t="n">
        <f aca="false">C5*Inputs!$B$5</f>
        <v>15031.1333195687</v>
      </c>
      <c r="D6" s="12" t="n">
        <f aca="false">Inputs!$B$18</f>
        <v>28.75</v>
      </c>
      <c r="E6" s="11" t="n">
        <f aca="false">C6*D6/100</f>
        <v>4321.450829376</v>
      </c>
      <c r="F6" s="13"/>
    </row>
    <row r="7" customFormat="false" ht="15" hidden="false" customHeight="false" outlineLevel="0" collapsed="false">
      <c r="A7" s="5" t="s">
        <v>12</v>
      </c>
      <c r="B7" s="6" t="s">
        <v>13</v>
      </c>
      <c r="C7" s="7" t="n">
        <f aca="false">C6*Inputs!$B$6*Inputs!$B$7</f>
        <v>3204.63762373205</v>
      </c>
      <c r="D7" s="8" t="n">
        <f aca="false">Inputs!$B$18</f>
        <v>28.75</v>
      </c>
      <c r="E7" s="7" t="n">
        <f aca="false">C7*D7/100</f>
        <v>921.333316822964</v>
      </c>
      <c r="F7" s="9" t="n">
        <f aca="false">IFERROR(C7/$C$7,0)</f>
        <v>1</v>
      </c>
    </row>
    <row r="8" customFormat="false" ht="15" hidden="false" customHeight="false" outlineLevel="0" collapsed="false">
      <c r="A8" s="5" t="s">
        <v>14</v>
      </c>
      <c r="B8" s="6" t="s">
        <v>15</v>
      </c>
      <c r="C8" s="7" t="n">
        <f aca="false">Inputs!$B$14</f>
        <v>400</v>
      </c>
      <c r="D8" s="8" t="n">
        <f aca="false">Inputs!$B$15</f>
        <v>39.3644441863599</v>
      </c>
      <c r="E8" s="7" t="n">
        <f aca="false">C8*D8/100</f>
        <v>157.45777674544</v>
      </c>
      <c r="F8" s="9" t="n">
        <f aca="false">IFERROR(C8/$C$7,0)</f>
        <v>0.124819104986407</v>
      </c>
    </row>
    <row r="9" customFormat="false" ht="15" hidden="false" customHeight="false" outlineLevel="0" collapsed="false">
      <c r="A9" s="10" t="s">
        <v>16</v>
      </c>
      <c r="B9" s="10" t="s">
        <v>17</v>
      </c>
      <c r="C9" s="11" t="n">
        <f aca="false">Inputs!$B$16</f>
        <v>388.302421038131</v>
      </c>
      <c r="D9" s="12" t="n">
        <f aca="false">Inputs!$B$17</f>
        <v>50.2401143331115</v>
      </c>
      <c r="E9" s="11" t="n">
        <f aca="false">C9*D9/100</f>
        <v>195.083580287797</v>
      </c>
      <c r="F9" s="13" t="n">
        <f aca="false">IFERROR(C9/$C$7,0)</f>
        <v>0.121168901645086</v>
      </c>
    </row>
    <row r="11" customFormat="false" ht="15" hidden="false" customHeight="false" outlineLevel="0" collapsed="false">
      <c r="A11" s="14" t="s">
        <v>18</v>
      </c>
    </row>
    <row r="13" customFormat="false" ht="15" hidden="false" customHeight="false" outlineLevel="0" collapsed="false">
      <c r="A13" s="3" t="s">
        <v>19</v>
      </c>
      <c r="B13" s="4"/>
      <c r="C13" s="4" t="s">
        <v>20</v>
      </c>
      <c r="D13" s="4" t="s">
        <v>21</v>
      </c>
      <c r="E13" s="4" t="s">
        <v>22</v>
      </c>
      <c r="F13" s="4"/>
    </row>
    <row r="14" customFormat="false" ht="15" hidden="false" customHeight="false" outlineLevel="0" collapsed="false">
      <c r="A14" s="10" t="s">
        <v>23</v>
      </c>
      <c r="B14" s="10"/>
      <c r="C14" s="11" t="n">
        <v>200</v>
      </c>
      <c r="D14" s="11" t="n">
        <f aca="false">C8</f>
        <v>400</v>
      </c>
      <c r="E14" s="11" t="n">
        <v>600</v>
      </c>
    </row>
    <row r="15" customFormat="false" ht="15" hidden="false" customHeight="false" outlineLevel="0" collapsed="false">
      <c r="A15" s="10" t="s">
        <v>24</v>
      </c>
      <c r="B15" s="10"/>
      <c r="C15" s="12" t="n">
        <v>46.7853257211694</v>
      </c>
      <c r="D15" s="12" t="n">
        <f aca="false">E8</f>
        <v>157.45777674544</v>
      </c>
      <c r="E15" s="12" t="n">
        <v>336.778881742944</v>
      </c>
    </row>
    <row r="16" customFormat="false" ht="15" hidden="false" customHeight="false" outlineLevel="0" collapsed="false">
      <c r="A16" s="10" t="s">
        <v>7</v>
      </c>
      <c r="B16" s="10"/>
      <c r="C16" s="13" t="n">
        <f aca="false">IFERROR(C14/$C$7,0)</f>
        <v>0.0624095524932035</v>
      </c>
      <c r="D16" s="13" t="n">
        <f aca="false">IFERROR(D14/$C$7,0)</f>
        <v>0.124819104986407</v>
      </c>
      <c r="E16" s="13" t="n">
        <f aca="false">IFERROR(E14/$C$7,0)</f>
        <v>0.18722865747961</v>
      </c>
    </row>
    <row r="17" customFormat="false" ht="15" hidden="false" customHeight="false" outlineLevel="0" collapsed="false">
      <c r="A17" s="10" t="s">
        <v>25</v>
      </c>
      <c r="B17" s="10"/>
      <c r="C17" s="13" t="n">
        <f aca="false">IFERROR(C14/$C$5,0)</f>
        <v>0.00313833793622897</v>
      </c>
      <c r="D17" s="13" t="n">
        <f aca="false">IFERROR(D14/$C$5,0)</f>
        <v>0.00627667587245795</v>
      </c>
      <c r="E17" s="13" t="n">
        <f aca="false">IFERROR(E14/$C$5,0)</f>
        <v>0.00941501380868692</v>
      </c>
    </row>
    <row r="18" customFormat="false" ht="15" hidden="false" customHeight="false" outlineLevel="0" collapsed="false">
      <c r="A18" s="10" t="s">
        <v>26</v>
      </c>
      <c r="B18" s="10"/>
      <c r="C18" s="13" t="n">
        <f aca="false">IFERROR(C14/$C$6,0)</f>
        <v>0.013305716591551</v>
      </c>
      <c r="D18" s="13" t="n">
        <f aca="false">IFERROR(D14/$C$6,0)</f>
        <v>0.026611433183102</v>
      </c>
      <c r="E18" s="13" t="n">
        <f aca="false">IFERROR(E14/$C$6,0)</f>
        <v>0.0399171497746529</v>
      </c>
    </row>
    <row r="20" customFormat="false" ht="15" hidden="false" customHeight="false" outlineLevel="0" collapsed="false">
      <c r="A20" s="15" t="s">
        <v>27</v>
      </c>
    </row>
    <row r="21" customFormat="false" ht="15" hidden="false" customHeight="false" outlineLevel="0" collapsed="false">
      <c r="A21" s="16" t="str">
        <f aca="false">"A ₹"&amp;TEXT(E5,"#,##0")&amp;" crore market across "&amp;TEXT(C5,"#,##0")&amp;" factories; ₹"&amp;TEXT(E7,"#,##0")&amp;" crore serviceable in "&amp;TEXT(C7,"#,##0")&amp;" large, data-ready plants in the top five states. We target "&amp;TEXT(C8,"#,##0")&amp;" live plants and ₹"&amp;TEXT(E8,"#,##0")&amp;" crore ARR by FY31."</f>
        <v>A ₹18,322 crore market across 63,728 factories; ₹921 crore serviceable in 3,205 large, data-ready plants in the top five states. We target 400 live plants and ₹157 crore ARR by FY31.</v>
      </c>
      <c r="B21" s="16"/>
      <c r="C21" s="16"/>
      <c r="D21" s="16"/>
      <c r="E21" s="16"/>
      <c r="F21" s="16"/>
    </row>
    <row r="22" customFormat="false" ht="15" hidden="false" customHeight="false" outlineLevel="0" collapsed="false">
      <c r="A22" s="16"/>
      <c r="B22" s="16"/>
      <c r="C22" s="16"/>
      <c r="D22" s="16"/>
      <c r="E22" s="16"/>
      <c r="F22" s="16"/>
    </row>
  </sheetData>
  <mergeCells count="2">
    <mergeCell ref="A1:F1"/>
    <mergeCell ref="A21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3" min="3" style="0" width="13"/>
  </cols>
  <sheetData>
    <row r="1" customFormat="false" ht="21.75" hidden="false" customHeight="true" outlineLevel="0" collapsed="false">
      <c r="A1" s="1" t="s">
        <v>28</v>
      </c>
      <c r="B1" s="1"/>
      <c r="C1" s="1"/>
    </row>
    <row r="3" customFormat="false" ht="15" hidden="false" customHeight="false" outlineLevel="0" collapsed="false">
      <c r="A3" s="3" t="s">
        <v>29</v>
      </c>
      <c r="B3" s="4" t="s">
        <v>30</v>
      </c>
      <c r="C3" s="4" t="s">
        <v>31</v>
      </c>
    </row>
    <row r="4" customFormat="false" ht="15" hidden="false" customHeight="false" outlineLevel="0" collapsed="false">
      <c r="A4" s="10" t="s">
        <v>32</v>
      </c>
      <c r="B4" s="11" t="n">
        <v>63728</v>
      </c>
      <c r="C4" s="10" t="s">
        <v>33</v>
      </c>
    </row>
    <row r="5" customFormat="false" ht="15" hidden="false" customHeight="false" outlineLevel="0" collapsed="false">
      <c r="A5" s="10" t="s">
        <v>34</v>
      </c>
      <c r="B5" s="13" t="n">
        <v>0.235863879606589</v>
      </c>
      <c r="C5" s="10"/>
    </row>
    <row r="6" customFormat="false" ht="15" hidden="false" customHeight="false" outlineLevel="0" collapsed="false">
      <c r="A6" s="10" t="s">
        <v>35</v>
      </c>
      <c r="B6" s="13" t="n">
        <v>0.533</v>
      </c>
      <c r="C6" s="10"/>
    </row>
    <row r="7" customFormat="false" ht="15" hidden="false" customHeight="false" outlineLevel="0" collapsed="false">
      <c r="A7" s="10" t="s">
        <v>36</v>
      </c>
      <c r="B7" s="13" t="n">
        <v>0.4</v>
      </c>
      <c r="C7" s="10"/>
    </row>
    <row r="8" customFormat="false" ht="15" hidden="false" customHeight="false" outlineLevel="0" collapsed="false">
      <c r="A8" s="10" t="s">
        <v>37</v>
      </c>
      <c r="B8" s="12" t="n">
        <v>15</v>
      </c>
      <c r="C8" s="10" t="s">
        <v>38</v>
      </c>
    </row>
    <row r="9" customFormat="false" ht="15" hidden="false" customHeight="false" outlineLevel="0" collapsed="false">
      <c r="A9" s="10" t="s">
        <v>39</v>
      </c>
      <c r="B9" s="12" t="n">
        <v>30</v>
      </c>
      <c r="C9" s="10" t="s">
        <v>38</v>
      </c>
    </row>
    <row r="10" customFormat="false" ht="15" hidden="false" customHeight="false" outlineLevel="0" collapsed="false">
      <c r="A10" s="10" t="s">
        <v>40</v>
      </c>
      <c r="B10" s="12" t="n">
        <v>50</v>
      </c>
      <c r="C10" s="10" t="s">
        <v>38</v>
      </c>
    </row>
    <row r="11" customFormat="false" ht="15" hidden="false" customHeight="false" outlineLevel="0" collapsed="false">
      <c r="A11" s="10" t="s">
        <v>41</v>
      </c>
      <c r="B11" s="13" t="n">
        <v>0.35</v>
      </c>
      <c r="C11" s="10"/>
    </row>
    <row r="12" customFormat="false" ht="15" hidden="false" customHeight="false" outlineLevel="0" collapsed="false">
      <c r="A12" s="10" t="s">
        <v>42</v>
      </c>
      <c r="B12" s="13" t="n">
        <v>0.45</v>
      </c>
      <c r="C12" s="10"/>
    </row>
    <row r="13" customFormat="false" ht="15" hidden="false" customHeight="false" outlineLevel="0" collapsed="false">
      <c r="A13" s="10" t="s">
        <v>43</v>
      </c>
      <c r="B13" s="13" t="n">
        <v>0.2</v>
      </c>
      <c r="C13" s="10"/>
    </row>
    <row r="14" customFormat="false" ht="15" hidden="false" customHeight="false" outlineLevel="0" collapsed="false">
      <c r="A14" s="10" t="s">
        <v>44</v>
      </c>
      <c r="B14" s="11" t="n">
        <v>400</v>
      </c>
      <c r="C14" s="10" t="s">
        <v>33</v>
      </c>
    </row>
    <row r="15" customFormat="false" ht="15" hidden="false" customHeight="false" outlineLevel="0" collapsed="false">
      <c r="A15" s="10" t="s">
        <v>45</v>
      </c>
      <c r="B15" s="12" t="n">
        <v>39.3644441863599</v>
      </c>
      <c r="C15" s="10" t="s">
        <v>46</v>
      </c>
    </row>
    <row r="16" customFormat="false" ht="15" hidden="false" customHeight="false" outlineLevel="0" collapsed="false">
      <c r="A16" s="10" t="s">
        <v>47</v>
      </c>
      <c r="B16" s="12" t="n">
        <v>388.302421038131</v>
      </c>
      <c r="C16" s="10" t="s">
        <v>33</v>
      </c>
    </row>
    <row r="17" customFormat="false" ht="15" hidden="false" customHeight="false" outlineLevel="0" collapsed="false">
      <c r="A17" s="10" t="s">
        <v>48</v>
      </c>
      <c r="B17" s="12" t="n">
        <v>50.2401143331115</v>
      </c>
      <c r="C17" s="10" t="s">
        <v>46</v>
      </c>
    </row>
    <row r="18" customFormat="false" ht="15" hidden="false" customHeight="false" outlineLevel="0" collapsed="false">
      <c r="A18" s="17" t="s">
        <v>49</v>
      </c>
      <c r="B18" s="8" t="n">
        <f aca="false">Inputs!$B$8*Inputs!$B$11+Inputs!$B$9*Inputs!$B$12+Inputs!$B$10*Inputs!$B$13</f>
        <v>28.75</v>
      </c>
      <c r="C18" s="10" t="s">
        <v>38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2"/>
  </cols>
  <sheetData>
    <row r="1" customFormat="false" ht="21.75" hidden="false" customHeight="true" outlineLevel="0" collapsed="false">
      <c r="A1" s="1" t="s">
        <v>50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3" t="s">
        <v>51</v>
      </c>
      <c r="B3" s="4" t="s">
        <v>52</v>
      </c>
      <c r="C3" s="4" t="s">
        <v>53</v>
      </c>
      <c r="D3" s="4" t="s">
        <v>54</v>
      </c>
      <c r="E3" s="4" t="s">
        <v>55</v>
      </c>
      <c r="F3" s="4" t="s">
        <v>56</v>
      </c>
    </row>
    <row r="4" customFormat="false" ht="15" hidden="false" customHeight="false" outlineLevel="0" collapsed="false">
      <c r="A4" s="10" t="s">
        <v>57</v>
      </c>
      <c r="B4" s="12" t="n">
        <v>1.06093534837466</v>
      </c>
      <c r="C4" s="12" t="n">
        <v>17.5985909615109</v>
      </c>
      <c r="D4" s="12" t="n">
        <v>77.249595001917</v>
      </c>
      <c r="E4" s="12" t="n">
        <v>203.400031810899</v>
      </c>
      <c r="F4" s="12" t="n">
        <v>400.000009074275</v>
      </c>
    </row>
    <row r="5" customFormat="false" ht="15" hidden="false" customHeight="false" outlineLevel="0" collapsed="false">
      <c r="A5" s="10" t="s">
        <v>58</v>
      </c>
      <c r="B5" s="11" t="n">
        <v>30.9967989601111</v>
      </c>
      <c r="C5" s="11" t="n">
        <v>552.944981798989</v>
      </c>
      <c r="D5" s="11" t="n">
        <v>2619.64347232039</v>
      </c>
      <c r="E5" s="11" t="n">
        <v>7429.62436790498</v>
      </c>
      <c r="F5" s="11" t="n">
        <v>15745.7780317477</v>
      </c>
    </row>
    <row r="6" customFormat="false" ht="15" hidden="false" customHeight="false" outlineLevel="0" collapsed="false">
      <c r="A6" s="10" t="s">
        <v>59</v>
      </c>
      <c r="B6" s="11" t="n">
        <v>28.6376248328144</v>
      </c>
      <c r="C6" s="11" t="n">
        <v>478.845035099508</v>
      </c>
      <c r="D6" s="11" t="n">
        <v>2411.14780337274</v>
      </c>
      <c r="E6" s="11" t="n">
        <v>7026.31622245338</v>
      </c>
      <c r="F6" s="11" t="n">
        <v>15092.9719681828</v>
      </c>
    </row>
    <row r="7" customFormat="false" ht="15" hidden="false" customHeight="false" outlineLevel="0" collapsed="false">
      <c r="A7" s="10" t="s">
        <v>60</v>
      </c>
      <c r="B7" s="12" t="n">
        <f aca="false">IFERROR(B5/B4,0)</f>
        <v>29.2164824252466</v>
      </c>
      <c r="C7" s="12" t="n">
        <f aca="false">IFERROR(C5/C4,0)</f>
        <v>31.4198439527523</v>
      </c>
      <c r="D7" s="12" t="n">
        <f aca="false">IFERROR(D5/D4,0)</f>
        <v>33.9114201473209</v>
      </c>
      <c r="E7" s="12" t="n">
        <f aca="false">IFERROR(E5/E4,0)</f>
        <v>36.5271544048346</v>
      </c>
      <c r="F7" s="12" t="n">
        <f aca="false">IFERROR(F5/F4,0)</f>
        <v>39.3644441863598</v>
      </c>
    </row>
    <row r="8" customFormat="false" ht="15" hidden="false" customHeight="false" outlineLevel="0" collapsed="false">
      <c r="A8" s="10" t="s">
        <v>7</v>
      </c>
      <c r="B8" s="13" t="n">
        <f aca="false">IFERROR(B4/'TAM SAM SOM'!$C$7,0)</f>
        <v>0.000331062501581417</v>
      </c>
      <c r="C8" s="13" t="n">
        <f aca="false">IFERROR(C4/'TAM SAM SOM'!$C$7,0)</f>
        <v>0.00549160093209415</v>
      </c>
      <c r="D8" s="13" t="n">
        <f aca="false">IFERROR(D4/'TAM SAM SOM'!$C$7,0)</f>
        <v>0.0241055632717542</v>
      </c>
      <c r="E8" s="13" t="n">
        <f aca="false">IFERROR(E4/'TAM SAM SOM'!$C$7,0)</f>
        <v>0.0634705248121078</v>
      </c>
      <c r="F8" s="13" t="n">
        <f aca="false">IFERROR(F4/'TAM SAM SOM'!$C$7,0)</f>
        <v>0.124819107818014</v>
      </c>
    </row>
    <row r="10" customFormat="false" ht="15" hidden="false" customHeight="false" outlineLevel="0" collapsed="false">
      <c r="A10" s="14" t="s">
        <v>61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12"/>
  </cols>
  <sheetData>
    <row r="1" customFormat="false" ht="21.75" hidden="false" customHeight="true" outlineLevel="0" collapsed="false">
      <c r="A1" s="1" t="s">
        <v>62</v>
      </c>
      <c r="B1" s="1"/>
      <c r="C1" s="1"/>
      <c r="D1" s="1"/>
    </row>
    <row r="3" customFormat="false" ht="15" hidden="false" customHeight="false" outlineLevel="0" collapsed="false">
      <c r="A3" s="3" t="s">
        <v>63</v>
      </c>
      <c r="B3" s="4" t="s">
        <v>64</v>
      </c>
      <c r="C3" s="4" t="s">
        <v>65</v>
      </c>
      <c r="D3" s="4" t="s">
        <v>66</v>
      </c>
    </row>
    <row r="4" customFormat="false" ht="15" hidden="false" customHeight="false" outlineLevel="0" collapsed="false">
      <c r="A4" s="10" t="s">
        <v>67</v>
      </c>
      <c r="B4" s="12" t="n">
        <f aca="false">Inputs!$B$8</f>
        <v>15</v>
      </c>
      <c r="C4" s="13" t="n">
        <f aca="false">Inputs!$B$11</f>
        <v>0.35</v>
      </c>
      <c r="D4" s="12" t="n">
        <f aca="false">B4*C4</f>
        <v>5.25</v>
      </c>
    </row>
    <row r="5" customFormat="false" ht="15" hidden="false" customHeight="false" outlineLevel="0" collapsed="false">
      <c r="A5" s="10" t="s">
        <v>68</v>
      </c>
      <c r="B5" s="12" t="n">
        <f aca="false">Inputs!$B$9</f>
        <v>30</v>
      </c>
      <c r="C5" s="13" t="n">
        <f aca="false">Inputs!$B$12</f>
        <v>0.45</v>
      </c>
      <c r="D5" s="12" t="n">
        <f aca="false">B5*C5</f>
        <v>13.5</v>
      </c>
    </row>
    <row r="6" customFormat="false" ht="15" hidden="false" customHeight="false" outlineLevel="0" collapsed="false">
      <c r="A6" s="10" t="s">
        <v>69</v>
      </c>
      <c r="B6" s="12" t="n">
        <f aca="false">Inputs!$B$10</f>
        <v>50</v>
      </c>
      <c r="C6" s="13" t="n">
        <f aca="false">Inputs!$B$13</f>
        <v>0.2</v>
      </c>
      <c r="D6" s="12" t="n">
        <f aca="false">B6*C6</f>
        <v>10</v>
      </c>
    </row>
    <row r="7" customFormat="false" ht="15" hidden="false" customHeight="false" outlineLevel="0" collapsed="false">
      <c r="A7" s="5" t="s">
        <v>70</v>
      </c>
      <c r="B7" s="6"/>
      <c r="C7" s="9" t="n">
        <f aca="false">SUM(C4:C6)</f>
        <v>1</v>
      </c>
      <c r="D7" s="8" t="n">
        <f aca="false">SUM(D4:D6)</f>
        <v>28.75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2026-10-11T17:22:38Z</dcterms:created>
  <dc:creator>openpyxl</dc:creator>
  <dc:description/>
  <dc:language>en-US</dc:language>
  <cp:lastModifiedBy/>
  <dcterms:modified xsi:type="dcterms:W3CDTF">2026-10-11T17:22:38Z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
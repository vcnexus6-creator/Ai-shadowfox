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unnel" sheetId="1" state="visible" r:id="rId3"/>
    <sheet name="Inputs" sheetId="2" state="visible" r:id="rId4"/>
    <sheet name="SOM Build" sheetId="3" state="visible" r:id="rId5"/>
    <sheet name="Sensitivity" sheetId="4" state="visible" r:id="rId6"/>
    <sheet name="Sources &amp; To-Do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<sst xmlns="http://schemas.openxmlformats.org/spreadsheetml/2006/main" count="180" uniqueCount="151">
  <si>
    <t xml:space="preserve">Factory Shadow – TAM / SAM / SOM</t>
  </si>
  <si>
    <t xml:space="preserve">AI production-disruption decision engine: spots machines drifting to failure and recommends the cheapest response that keeps orders on time.</t>
  </si>
  <si>
    <t xml:space="preserve">Layer</t>
  </si>
  <si>
    <t xml:space="preserve">Who it covers</t>
  </si>
  <si>
    <t xml:space="preserve">Plants</t>
  </si>
  <si>
    <t xml:space="preserve">ARPU (₹ lakh)</t>
  </si>
  <si>
    <t xml:space="preserve">Market (₹ Cr)</t>
  </si>
  <si>
    <t xml:space="preserve">Calculation</t>
  </si>
  <si>
    <t xml:space="preserve">TAM</t>
  </si>
  <si>
    <t xml:space="preserve">All factories in India in our target sectors (any size)</t>
  </si>
  <si>
    <t xml:space="preserve">Factories in operation × target-sector share</t>
  </si>
  <si>
    <t xml:space="preserve">SAM</t>
  </si>
  <si>
    <t xml:space="preserve">Machine-intensive plants, 100+ workers – where cross-machine disruption decisions are costly</t>
  </si>
  <si>
    <t xml:space="preserve">9 machine-intensive segments, 100+ workers</t>
  </si>
  <si>
    <t xml:space="preserve">Launch market</t>
  </si>
  <si>
    <t xml:space="preserve">SAM plants in MH, GJ, TN, KA, UP (go-to-market focus, not a funnel layer)</t>
  </si>
  <si>
    <t xml:space="preserve">SAM × five-state share</t>
  </si>
  <si>
    <t xml:space="preserve">SOM</t>
  </si>
  <si>
    <t xml:space="preserve">Live plants at FY31 exit (Year 5) from the sales build</t>
  </si>
  <si>
    <t xml:space="preserve">Bottom-up: pilots × conversion − churn (see SOM Build)</t>
  </si>
  <si>
    <t xml:space="preserve">Market share</t>
  </si>
  <si>
    <t xml:space="preserve">Measure</t>
  </si>
  <si>
    <t xml:space="preserve">Value</t>
  </si>
  <si>
    <t xml:space="preserve">SOM ÷ SAM</t>
  </si>
  <si>
    <t xml:space="preserve">Year-5 share of serviceable market</t>
  </si>
  <si>
    <t xml:space="preserve">SOM ÷ launch market</t>
  </si>
  <si>
    <t xml:space="preserve">Share of five-state market</t>
  </si>
  <si>
    <t xml:space="preserve">SOM ÷ TAM</t>
  </si>
  <si>
    <t xml:space="preserve">Share of total market (₹)</t>
  </si>
  <si>
    <t xml:space="preserve">SAM ÷ TAM</t>
  </si>
  <si>
    <t xml:space="preserve">Serviceable share of total (₹)</t>
  </si>
  <si>
    <t xml:space="preserve">Price build</t>
  </si>
  <si>
    <t xml:space="preserve">Component</t>
  </si>
  <si>
    <t xml:space="preserve">₹ lakh / plant / yr</t>
  </si>
  <si>
    <t xml:space="preserve">Subscription</t>
  </si>
  <si>
    <t xml:space="preserve">Blended across 3 tiers</t>
  </si>
  <si>
    <t xml:space="preserve">Gain-share</t>
  </si>
  <si>
    <t xml:space="preserve">% of verified savings</t>
  </si>
  <si>
    <t xml:space="preserve">ARPU</t>
  </si>
  <si>
    <t xml:space="preserve">Recurring revenue per plant (excludes one-time pilot / implementation fees)</t>
  </si>
  <si>
    <t xml:space="preserve">Customer ROI</t>
  </si>
  <si>
    <t xml:space="preserve">Verified savings ÷ price</t>
  </si>
  <si>
    <t xml:space="preserve">Pitch line:</t>
  </si>
  <si>
    <t xml:space="preserve">Factory Shadow – Market Sizing Inputs</t>
  </si>
  <si>
    <t xml:space="preserve">Blue = input you can change · Yellow = key assumption to validate · Black = formula. Edit only column C.</t>
  </si>
  <si>
    <t xml:space="preserve">#</t>
  </si>
  <si>
    <t xml:space="preserve">Input</t>
  </si>
  <si>
    <t xml:space="preserve">Unit</t>
  </si>
  <si>
    <t xml:space="preserve">Source / basis</t>
  </si>
  <si>
    <t xml:space="preserve">Factories in operation, India</t>
  </si>
  <si>
    <t xml:space="preserve">plants</t>
  </si>
  <si>
    <t xml:space="preserve">Annual Survey of Industries (ASI) FY2024-25, MoSPI/PIB release</t>
  </si>
  <si>
    <t xml:space="preserve">Share of factories in our target sectors</t>
  </si>
  <si>
    <t xml:space="preserve">%</t>
  </si>
  <si>
    <t xml:space="preserve">Existing team estimate (older ASI data) – refresh with ASI NIC 2-digit counts</t>
  </si>
  <si>
    <t xml:space="preserve">Machine-intensive plants, 100+ workers (9 segments)</t>
  </si>
  <si>
    <t xml:space="preserve">Team financial model (subset of 43,709 factories with 100+ workers) – reconcile with ASI</t>
  </si>
  <si>
    <t xml:space="preserve">Five priority states' share of factories (MH, GJ, TN, KA, UP)</t>
  </si>
  <si>
    <t xml:space="preserve">ASI FY2024-25 establishment share – proxy, not sector-specific</t>
  </si>
  <si>
    <t xml:space="preserve">PRICING (per plant per year)</t>
  </si>
  <si>
    <t xml:space="preserve">Tier 1 – Starter subscription</t>
  </si>
  <si>
    <t xml:space="preserve">₹ lakh</t>
  </si>
  <si>
    <t xml:space="preserve">Team financial model</t>
  </si>
  <si>
    <t xml:space="preserve">Tier 2 – Growth subscription</t>
  </si>
  <si>
    <t xml:space="preserve">Tier 3 – Enterprise subscription</t>
  </si>
  <si>
    <t xml:space="preserve">Customer mix – Tier 1</t>
  </si>
  <si>
    <t xml:space="preserve">Assumption</t>
  </si>
  <si>
    <t xml:space="preserve">Customer mix – Tier 2</t>
  </si>
  <si>
    <t xml:space="preserve">Customer mix – Tier 3</t>
  </si>
  <si>
    <t xml:space="preserve">Verified annual savings delivered per plant</t>
  </si>
  <si>
    <t xml:space="preserve">Assumption – avoided downtime, expediting, penalties, overtime; validate in pilots</t>
  </si>
  <si>
    <t xml:space="preserve">Gain-share fee (% of verified savings)</t>
  </si>
  <si>
    <t xml:space="preserve">Assumption – outcome-based fee</t>
  </si>
  <si>
    <t xml:space="preserve">SOM / GO-TO-MARKET</t>
  </si>
  <si>
    <t xml:space="preserve">Annual customer churn</t>
  </si>
  <si>
    <t xml:space="preserve">Assumption – typical B2B SaaS mid-market</t>
  </si>
  <si>
    <t xml:space="preserve">Pilot-to-paid conversion</t>
  </si>
  <si>
    <t xml:space="preserve">Assumption – validate with first pilots</t>
  </si>
  <si>
    <t xml:space="preserve">Pilots run per sales/solutions pair per year</t>
  </si>
  <si>
    <t xml:space="preserve">pilots</t>
  </si>
  <si>
    <t xml:space="preserve">Assumption – ~1 pilot started per month</t>
  </si>
  <si>
    <t xml:space="preserve">DERIVED PRICE (formulas)</t>
  </si>
  <si>
    <t xml:space="preserve">Blended subscription</t>
  </si>
  <si>
    <t xml:space="preserve">Tier prices × mix</t>
  </si>
  <si>
    <t xml:space="preserve">Gain-share fee</t>
  </si>
  <si>
    <t xml:space="preserve">Savings × gain-share %</t>
  </si>
  <si>
    <t xml:space="preserve">ARPU – annual recurring revenue per plant</t>
  </si>
  <si>
    <t xml:space="preserve">Used for TAM, SAM and SOM (one price everywhere)</t>
  </si>
  <si>
    <t xml:space="preserve">Customer ROI (savings ÷ total price)</t>
  </si>
  <si>
    <t xml:space="preserve">x</t>
  </si>
  <si>
    <t xml:space="preserve">Should stay ≥3x for the price to be defensible</t>
  </si>
  <si>
    <t xml:space="preserve">Check: customer mix adds to 100%</t>
  </si>
  <si>
    <t xml:space="preserve">Must be 100%</t>
  </si>
  <si>
    <t xml:space="preserve">SOM – bottom-up build to 300 live plants (FY31 exit)</t>
  </si>
  <si>
    <t xml:space="preserve">Blue row = live-plant targets (input). Everything else is calculated.</t>
  </si>
  <si>
    <t xml:space="preserve">Metric (₹ in Cr)</t>
  </si>
  <si>
    <t xml:space="preserve">FY27</t>
  </si>
  <si>
    <t xml:space="preserve">FY28</t>
  </si>
  <si>
    <t xml:space="preserve">FY29</t>
  </si>
  <si>
    <t xml:space="preserve">FY30</t>
  </si>
  <si>
    <t xml:space="preserve">FY31</t>
  </si>
  <si>
    <t xml:space="preserve">Live plants – closing (target)</t>
  </si>
  <si>
    <t xml:space="preserve">Live plants – opening</t>
  </si>
  <si>
    <t xml:space="preserve">Plants churned</t>
  </si>
  <si>
    <t xml:space="preserve">New plants won</t>
  </si>
  <si>
    <t xml:space="preserve">Cumulative plants won</t>
  </si>
  <si>
    <t xml:space="preserve">Pilots needed</t>
  </si>
  <si>
    <t xml:space="preserve">Sales/solutions pairs needed</t>
  </si>
  <si>
    <t xml:space="preserve">Exit ARR (₹ Cr)</t>
  </si>
  <si>
    <t xml:space="preserve">Recognised revenue (₹ Cr)</t>
  </si>
  <si>
    <t xml:space="preserve">Share of SAM (plants)</t>
  </si>
  <si>
    <t xml:space="preserve">Share of launch market (plants)</t>
  </si>
  <si>
    <t xml:space="preserve">Notes: churn applied to opening plants; recognised revenue uses average live plants × ARPU (assumes even onboarding through the year).</t>
  </si>
  <si>
    <t xml:space="preserve">Exit ARR is the SOM headline; FY31 recognised revenue is lower and is the figure for the P&amp;L.</t>
  </si>
  <si>
    <t xml:space="preserve">Sensitivity – low / base / high</t>
  </si>
  <si>
    <t xml:space="preserve">Driver</t>
  </si>
  <si>
    <t xml:space="preserve">Low</t>
  </si>
  <si>
    <t xml:space="preserve">Base</t>
  </si>
  <si>
    <t xml:space="preserve">High</t>
  </si>
  <si>
    <t xml:space="preserve">Target-sector share</t>
  </si>
  <si>
    <t xml:space="preserve">SAM plants (machine-intensive, 100+)</t>
  </si>
  <si>
    <t xml:space="preserve">SOM live plants (FY31)</t>
  </si>
  <si>
    <t xml:space="preserve">Output (₹ Cr)</t>
  </si>
  <si>
    <t xml:space="preserve">SOM ARR</t>
  </si>
  <si>
    <t xml:space="preserve">SOM ÷ SAM (plants)</t>
  </si>
  <si>
    <t xml:space="preserve">Low/high ranges are placeholders; tighten once ASI counts and pilot pricing are confirmed.</t>
  </si>
  <si>
    <t xml:space="preserve">Sources and validation checklist</t>
  </si>
  <si>
    <t xml:space="preserve">Item</t>
  </si>
  <si>
    <t xml:space="preserve">Status</t>
  </si>
  <si>
    <t xml:space="preserve">Action before pitch</t>
  </si>
  <si>
    <t xml:space="preserve">218,543 factories in operation</t>
  </si>
  <si>
    <t xml:space="preserve">Sourced</t>
  </si>
  <si>
    <t xml:space="preserve">ASI FY2024-25 (MoSPI / PIB). Cite on appendix slide.</t>
  </si>
  <si>
    <t xml:space="preserve">29.6% target-sector share</t>
  </si>
  <si>
    <t xml:space="preserve">Estimate</t>
  </si>
  <si>
    <t xml:space="preserve">Replace with ASI factory counts by NIC 2-digit code for our sectors.</t>
  </si>
  <si>
    <t xml:space="preserve">20,263 SAM plants</t>
  </si>
  <si>
    <t xml:space="preserve">Model estimate</t>
  </si>
  <si>
    <t xml:space="preserve">Reconcile with ASI counts by NIC × employment size (100+ workers).</t>
  </si>
  <si>
    <t xml:space="preserve">53.3% five-state share</t>
  </si>
  <si>
    <t xml:space="preserve">Proxy</t>
  </si>
  <si>
    <t xml:space="preserve">Replace with ASI state × NIC counts for the SAM segments.</t>
  </si>
  <si>
    <t xml:space="preserve">Tier mix 30/40/30</t>
  </si>
  <si>
    <t xml:space="preserve">Confirm with pilot customers' plant sizes.</t>
  </si>
  <si>
    <t xml:space="preserve">₹72 L verified savings / 15% gain-share</t>
  </si>
  <si>
    <t xml:space="preserve">Validate with 3–5 plant interviews and pilot results; keep ROI ≥3x.</t>
  </si>
  <si>
    <t xml:space="preserve">300 live plants FY31</t>
  </si>
  <si>
    <t xml:space="preserve">Team target</t>
  </si>
  <si>
    <t xml:space="preserve">Update the financial model (currently 120) so all slides agree.</t>
  </si>
  <si>
    <t xml:space="preserve">Churn 10%, conversion 40%</t>
  </si>
  <si>
    <t xml:space="preserve">Track from first cohort; adjust SOM build.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</si>
</sst>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\(#,##0\);\-"/>
    <numFmt numFmtId="166" formatCode="\₹#,##0.0&quot; L&quot;;&quot;(₹&quot;#,##0.0&quot; L)&quot;;\-"/>
    <numFmt numFmtId="167" formatCode="\₹#,##0&quot; Cr&quot;;&quot;(₹&quot;#,##0&quot; Cr)&quot;;\-"/>
    <numFmt numFmtId="168" formatCode="0.0%;\(0.0%\);\-"/>
    <numFmt numFmtId="169" formatCode="0.0\x"/>
    <numFmt numFmtId="170" formatCode="\₹#,##0.0&quot; Cr&quot;;&quot;(₹&quot;#,##0.0&quot; Cr)&quot;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DEBF7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0"/>
    <col collapsed="false" customWidth="true" hidden="false" outlineLevel="0" max="3" min="3" style="0" width="14"/>
    <col collapsed="false" customWidth="true" hidden="false" outlineLevel="0" max="4" min="4" style="0" width="15"/>
    <col collapsed="false" customWidth="true" hidden="false" outlineLevel="0" max="5" min="5" style="0" width="16"/>
    <col collapsed="false" customWidth="true" hidden="false" outlineLevel="0" max="6" min="6" style="0" width="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5" customFormat="false" ht="15" hidden="false" customHeight="false" outlineLevel="0" collapsed="false">
      <c r="A5" s="3" t="s">
        <v>2</v>
      </c>
      <c r="B5" s="3" t="s">
        <v>3</v>
      </c>
      <c r="C5" s="3" t="s">
        <v>4</v>
      </c>
      <c r="D5" s="3" t="s">
        <v>5</v>
      </c>
      <c r="E5" s="3" t="s">
        <v>6</v>
      </c>
      <c r="F5" s="3" t="s">
        <v>7</v>
      </c>
    </row>
    <row r="6" customFormat="false" ht="15" hidden="false" customHeight="false" outlineLevel="0" collapsed="false">
      <c r="A6" s="4" t="s">
        <v>8</v>
      </c>
      <c r="B6" s="5" t="s">
        <v>9</v>
      </c>
      <c r="C6" s="6" t="n">
        <f aca="false">ROUND(Inputs!$C$5*Inputs!$C$6,0)</f>
        <v>64689</v>
      </c>
      <c r="D6" s="7" t="n">
        <f aca="false">Inputs!$C$26</f>
        <v>24</v>
      </c>
      <c r="E6" s="8" t="n">
        <f aca="false">C6*D6/100</f>
        <v>15525.36</v>
      </c>
      <c r="F6" s="5" t="s">
        <v>10</v>
      </c>
    </row>
    <row r="7" customFormat="false" ht="15" hidden="false" customHeight="false" outlineLevel="0" collapsed="false">
      <c r="A7" s="4" t="s">
        <v>11</v>
      </c>
      <c r="B7" s="5" t="s">
        <v>12</v>
      </c>
      <c r="C7" s="6" t="n">
        <f aca="false">Inputs!$C$7</f>
        <v>20263</v>
      </c>
      <c r="D7" s="7" t="n">
        <f aca="false">Inputs!$C$26</f>
        <v>24</v>
      </c>
      <c r="E7" s="8" t="n">
        <f aca="false">C7*D7/100</f>
        <v>4863.12</v>
      </c>
      <c r="F7" s="5" t="s">
        <v>13</v>
      </c>
    </row>
    <row r="8" customFormat="false" ht="15" hidden="false" customHeight="false" outlineLevel="0" collapsed="false">
      <c r="A8" s="9" t="s">
        <v>14</v>
      </c>
      <c r="B8" s="5" t="s">
        <v>15</v>
      </c>
      <c r="C8" s="10" t="n">
        <f aca="false">ROUND(C7*Inputs!$C$8,0)</f>
        <v>10800</v>
      </c>
      <c r="D8" s="7" t="n">
        <f aca="false">Inputs!$C$26</f>
        <v>24</v>
      </c>
      <c r="E8" s="11" t="n">
        <f aca="false">C8*D8/100</f>
        <v>2592</v>
      </c>
      <c r="F8" s="5" t="s">
        <v>16</v>
      </c>
    </row>
    <row r="9" customFormat="false" ht="15" hidden="false" customHeight="false" outlineLevel="0" collapsed="false">
      <c r="A9" s="4" t="s">
        <v>17</v>
      </c>
      <c r="B9" s="5" t="s">
        <v>18</v>
      </c>
      <c r="C9" s="6" t="n">
        <f aca="false">'SOM Build'!F5</f>
        <v>300</v>
      </c>
      <c r="D9" s="7" t="n">
        <f aca="false">Inputs!$C$26</f>
        <v>24</v>
      </c>
      <c r="E9" s="8" t="n">
        <f aca="false">C9*D9/100</f>
        <v>72</v>
      </c>
      <c r="F9" s="5" t="s">
        <v>19</v>
      </c>
    </row>
    <row r="11" customFormat="false" ht="15" hidden="false" customHeight="false" outlineLevel="0" collapsed="false">
      <c r="A11" s="3" t="s">
        <v>20</v>
      </c>
      <c r="B11" s="3" t="s">
        <v>21</v>
      </c>
      <c r="C11" s="3" t="s">
        <v>22</v>
      </c>
      <c r="D11" s="3"/>
      <c r="E11" s="3"/>
      <c r="F11" s="3"/>
    </row>
    <row r="12" customFormat="false" ht="15" hidden="false" customHeight="false" outlineLevel="0" collapsed="false">
      <c r="A12" s="5" t="s">
        <v>23</v>
      </c>
      <c r="B12" s="5" t="s">
        <v>24</v>
      </c>
      <c r="C12" s="12" t="n">
        <f aca="false">IFERROR(C9/C7,0)</f>
        <v>0.0148053101712481</v>
      </c>
    </row>
    <row r="13" customFormat="false" ht="15" hidden="false" customHeight="false" outlineLevel="0" collapsed="false">
      <c r="A13" s="5" t="s">
        <v>25</v>
      </c>
      <c r="B13" s="5" t="s">
        <v>26</v>
      </c>
      <c r="C13" s="13" t="n">
        <f aca="false">IFERROR(C9/C8,0)</f>
        <v>0.0277777777777778</v>
      </c>
    </row>
    <row r="14" customFormat="false" ht="15" hidden="false" customHeight="false" outlineLevel="0" collapsed="false">
      <c r="A14" s="5" t="s">
        <v>27</v>
      </c>
      <c r="B14" s="5" t="s">
        <v>28</v>
      </c>
      <c r="C14" s="13" t="n">
        <f aca="false">IFERROR(E9/E6,0)</f>
        <v>0.00463757362148124</v>
      </c>
    </row>
    <row r="15" customFormat="false" ht="15" hidden="false" customHeight="false" outlineLevel="0" collapsed="false">
      <c r="A15" s="5" t="s">
        <v>29</v>
      </c>
      <c r="B15" s="5" t="s">
        <v>30</v>
      </c>
      <c r="C15" s="13" t="n">
        <f aca="false">IFERROR(E7/E6,0)</f>
        <v>0.313237180973581</v>
      </c>
    </row>
    <row r="17" customFormat="false" ht="26.85" hidden="false" customHeight="false" outlineLevel="0" collapsed="false">
      <c r="A17" s="3" t="s">
        <v>31</v>
      </c>
      <c r="B17" s="3" t="s">
        <v>32</v>
      </c>
      <c r="C17" s="3" t="s">
        <v>33</v>
      </c>
      <c r="D17" s="3"/>
      <c r="E17" s="3"/>
      <c r="F17" s="3"/>
    </row>
    <row r="18" customFormat="false" ht="15" hidden="false" customHeight="false" outlineLevel="0" collapsed="false">
      <c r="A18" s="5" t="s">
        <v>34</v>
      </c>
      <c r="B18" s="5" t="s">
        <v>35</v>
      </c>
      <c r="C18" s="7" t="n">
        <f aca="false">Inputs!$C$24</f>
        <v>13.2</v>
      </c>
    </row>
    <row r="19" customFormat="false" ht="15" hidden="false" customHeight="false" outlineLevel="0" collapsed="false">
      <c r="A19" s="5" t="s">
        <v>36</v>
      </c>
      <c r="B19" s="5" t="s">
        <v>37</v>
      </c>
      <c r="C19" s="7" t="n">
        <f aca="false">Inputs!$C$25</f>
        <v>10.8</v>
      </c>
    </row>
    <row r="20" customFormat="false" ht="15" hidden="false" customHeight="false" outlineLevel="0" collapsed="false">
      <c r="A20" s="4" t="s">
        <v>38</v>
      </c>
      <c r="B20" s="5" t="s">
        <v>39</v>
      </c>
      <c r="C20" s="14" t="n">
        <f aca="false">C18+C19</f>
        <v>24</v>
      </c>
    </row>
    <row r="21" customFormat="false" ht="15" hidden="false" customHeight="false" outlineLevel="0" collapsed="false">
      <c r="A21" s="5" t="s">
        <v>40</v>
      </c>
      <c r="B21" s="5" t="s">
        <v>41</v>
      </c>
      <c r="C21" s="15" t="n">
        <f aca="false">Inputs!$C$27</f>
        <v>3</v>
      </c>
    </row>
    <row r="23" customFormat="false" ht="15" hidden="false" customHeight="false" outlineLevel="0" collapsed="false">
      <c r="A23" s="16" t="s">
        <v>42</v>
      </c>
      <c r="B23" s="17" t="str">
        <f aca="false">"A ₹"&amp;TEXT(E6,"#,##0")&amp;" Cr opportunity; ₹"&amp;TEXT(E7,"#,##0")&amp;" Cr serviceable in machine-intensive plants; we target ₹"&amp;TEXT(E9,"#,##0")&amp;" Cr ARR from "&amp;TEXT(C9,"#,##0")&amp;" live plants by FY31 – just "&amp;TEXT(C12,"0.0%")&amp;" of SAM."</f>
        <v>A ₹15,525 Cr opportunity; ₹4,863 Cr serviceable in machine-intensive plants; we target ₹72 Cr ARR from 300 live plants by FY31 – just 1.5% of SAM.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2"/>
    <col collapsed="false" customWidth="true" hidden="false" outlineLevel="0" max="3" min="3" style="0" width="14"/>
    <col collapsed="false" customWidth="true" hidden="false" outlineLevel="0" max="4" min="4" style="0" width="9"/>
    <col collapsed="false" customWidth="true" hidden="false" outlineLevel="0" max="5" min="5" style="0" width="78"/>
  </cols>
  <sheetData>
    <row r="1" customFormat="false" ht="17.35" hidden="false" customHeight="false" outlineLevel="0" collapsed="false">
      <c r="A1" s="1" t="s">
        <v>43</v>
      </c>
    </row>
    <row r="2" customFormat="false" ht="15" hidden="false" customHeight="false" outlineLevel="0" collapsed="false">
      <c r="A2" s="2" t="s">
        <v>44</v>
      </c>
    </row>
    <row r="4" customFormat="false" ht="15" hidden="false" customHeight="false" outlineLevel="0" collapsed="false">
      <c r="A4" s="3" t="s">
        <v>45</v>
      </c>
      <c r="B4" s="3" t="s">
        <v>46</v>
      </c>
      <c r="C4" s="3" t="s">
        <v>22</v>
      </c>
      <c r="D4" s="3" t="s">
        <v>47</v>
      </c>
      <c r="E4" s="3" t="s">
        <v>48</v>
      </c>
    </row>
    <row r="5" customFormat="false" ht="15" hidden="false" customHeight="false" outlineLevel="0" collapsed="false">
      <c r="A5" s="5" t="n">
        <v>1</v>
      </c>
      <c r="B5" s="5" t="s">
        <v>49</v>
      </c>
      <c r="C5" s="18" t="n">
        <v>218543</v>
      </c>
      <c r="D5" s="5" t="s">
        <v>50</v>
      </c>
      <c r="E5" s="5" t="s">
        <v>51</v>
      </c>
    </row>
    <row r="6" customFormat="false" ht="15" hidden="false" customHeight="false" outlineLevel="0" collapsed="false">
      <c r="A6" s="5" t="n">
        <v>2</v>
      </c>
      <c r="B6" s="5" t="s">
        <v>52</v>
      </c>
      <c r="C6" s="19" t="n">
        <v>0.296</v>
      </c>
      <c r="D6" s="5" t="s">
        <v>53</v>
      </c>
      <c r="E6" s="5" t="s">
        <v>54</v>
      </c>
    </row>
    <row r="7" customFormat="false" ht="15" hidden="false" customHeight="false" outlineLevel="0" collapsed="false">
      <c r="A7" s="5" t="n">
        <v>3</v>
      </c>
      <c r="B7" s="5" t="s">
        <v>55</v>
      </c>
      <c r="C7" s="20" t="n">
        <v>20263</v>
      </c>
      <c r="D7" s="5" t="s">
        <v>50</v>
      </c>
      <c r="E7" s="5" t="s">
        <v>56</v>
      </c>
    </row>
    <row r="8" customFormat="false" ht="15" hidden="false" customHeight="false" outlineLevel="0" collapsed="false">
      <c r="A8" s="5" t="n">
        <v>4</v>
      </c>
      <c r="B8" s="5" t="s">
        <v>57</v>
      </c>
      <c r="C8" s="21" t="n">
        <v>0.533</v>
      </c>
      <c r="D8" s="5" t="s">
        <v>53</v>
      </c>
      <c r="E8" s="5" t="s">
        <v>58</v>
      </c>
    </row>
    <row r="9" customFormat="false" ht="15" hidden="false" customHeight="false" outlineLevel="0" collapsed="false">
      <c r="B9" s="16" t="s">
        <v>59</v>
      </c>
    </row>
    <row r="10" customFormat="false" ht="15" hidden="false" customHeight="false" outlineLevel="0" collapsed="false">
      <c r="A10" s="5" t="n">
        <v>5</v>
      </c>
      <c r="B10" s="5" t="s">
        <v>60</v>
      </c>
      <c r="C10" s="22" t="n">
        <v>6</v>
      </c>
      <c r="D10" s="5" t="s">
        <v>61</v>
      </c>
      <c r="E10" s="5" t="s">
        <v>62</v>
      </c>
    </row>
    <row r="11" customFormat="false" ht="15" hidden="false" customHeight="false" outlineLevel="0" collapsed="false">
      <c r="A11" s="5" t="n">
        <v>6</v>
      </c>
      <c r="B11" s="5" t="s">
        <v>63</v>
      </c>
      <c r="C11" s="22" t="n">
        <v>11.4</v>
      </c>
      <c r="D11" s="5" t="s">
        <v>61</v>
      </c>
      <c r="E11" s="5" t="s">
        <v>62</v>
      </c>
    </row>
    <row r="12" customFormat="false" ht="15" hidden="false" customHeight="false" outlineLevel="0" collapsed="false">
      <c r="A12" s="5" t="n">
        <v>7</v>
      </c>
      <c r="B12" s="5" t="s">
        <v>64</v>
      </c>
      <c r="C12" s="22" t="n">
        <v>22.8</v>
      </c>
      <c r="D12" s="5" t="s">
        <v>61</v>
      </c>
      <c r="E12" s="5" t="s">
        <v>62</v>
      </c>
    </row>
    <row r="13" customFormat="false" ht="15" hidden="false" customHeight="false" outlineLevel="0" collapsed="false">
      <c r="A13" s="5" t="n">
        <v>8</v>
      </c>
      <c r="B13" s="5" t="s">
        <v>65</v>
      </c>
      <c r="C13" s="19" t="n">
        <v>0.3</v>
      </c>
      <c r="D13" s="5" t="s">
        <v>53</v>
      </c>
      <c r="E13" s="5" t="s">
        <v>66</v>
      </c>
    </row>
    <row r="14" customFormat="false" ht="15" hidden="false" customHeight="false" outlineLevel="0" collapsed="false">
      <c r="A14" s="5" t="n">
        <v>9</v>
      </c>
      <c r="B14" s="5" t="s">
        <v>67</v>
      </c>
      <c r="C14" s="19" t="n">
        <v>0.4</v>
      </c>
      <c r="D14" s="5" t="s">
        <v>53</v>
      </c>
      <c r="E14" s="5" t="s">
        <v>66</v>
      </c>
    </row>
    <row r="15" customFormat="false" ht="15" hidden="false" customHeight="false" outlineLevel="0" collapsed="false">
      <c r="A15" s="5" t="n">
        <v>10</v>
      </c>
      <c r="B15" s="5" t="s">
        <v>68</v>
      </c>
      <c r="C15" s="19" t="n">
        <v>0.3</v>
      </c>
      <c r="D15" s="5" t="s">
        <v>53</v>
      </c>
      <c r="E15" s="5" t="s">
        <v>66</v>
      </c>
    </row>
    <row r="16" customFormat="false" ht="15" hidden="false" customHeight="false" outlineLevel="0" collapsed="false">
      <c r="A16" s="5" t="n">
        <v>11</v>
      </c>
      <c r="B16" s="5" t="s">
        <v>69</v>
      </c>
      <c r="C16" s="23" t="n">
        <v>72</v>
      </c>
      <c r="D16" s="5" t="s">
        <v>61</v>
      </c>
      <c r="E16" s="5" t="s">
        <v>70</v>
      </c>
    </row>
    <row r="17" customFormat="false" ht="15" hidden="false" customHeight="false" outlineLevel="0" collapsed="false">
      <c r="A17" s="5" t="n">
        <v>12</v>
      </c>
      <c r="B17" s="5" t="s">
        <v>71</v>
      </c>
      <c r="C17" s="19" t="n">
        <v>0.15</v>
      </c>
      <c r="D17" s="5" t="s">
        <v>53</v>
      </c>
      <c r="E17" s="5" t="s">
        <v>72</v>
      </c>
    </row>
    <row r="18" customFormat="false" ht="15" hidden="false" customHeight="false" outlineLevel="0" collapsed="false">
      <c r="B18" s="16" t="s">
        <v>73</v>
      </c>
    </row>
    <row r="19" customFormat="false" ht="15" hidden="false" customHeight="false" outlineLevel="0" collapsed="false">
      <c r="A19" s="5" t="n">
        <v>13</v>
      </c>
      <c r="B19" s="5" t="s">
        <v>74</v>
      </c>
      <c r="C19" s="19" t="n">
        <v>0.1</v>
      </c>
      <c r="D19" s="5" t="s">
        <v>53</v>
      </c>
      <c r="E19" s="5" t="s">
        <v>75</v>
      </c>
    </row>
    <row r="20" customFormat="false" ht="15" hidden="false" customHeight="false" outlineLevel="0" collapsed="false">
      <c r="A20" s="5" t="n">
        <v>14</v>
      </c>
      <c r="B20" s="5" t="s">
        <v>76</v>
      </c>
      <c r="C20" s="19" t="n">
        <v>0.4</v>
      </c>
      <c r="D20" s="5" t="s">
        <v>53</v>
      </c>
      <c r="E20" s="5" t="s">
        <v>77</v>
      </c>
    </row>
    <row r="21" customFormat="false" ht="15" hidden="false" customHeight="false" outlineLevel="0" collapsed="false">
      <c r="A21" s="5" t="n">
        <v>15</v>
      </c>
      <c r="B21" s="5" t="s">
        <v>78</v>
      </c>
      <c r="C21" s="20" t="n">
        <v>12</v>
      </c>
      <c r="D21" s="5" t="s">
        <v>79</v>
      </c>
      <c r="E21" s="5" t="s">
        <v>80</v>
      </c>
    </row>
    <row r="23" customFormat="false" ht="15" hidden="false" customHeight="false" outlineLevel="0" collapsed="false">
      <c r="B23" s="16" t="s">
        <v>81</v>
      </c>
    </row>
    <row r="24" customFormat="false" ht="15" hidden="false" customHeight="false" outlineLevel="0" collapsed="false">
      <c r="A24" s="5" t="n">
        <v>16</v>
      </c>
      <c r="B24" s="5" t="s">
        <v>82</v>
      </c>
      <c r="C24" s="24" t="n">
        <f aca="false">$C$10*$C$13+$C$11*$C$14+$C$12*$C$15</f>
        <v>13.2</v>
      </c>
      <c r="D24" s="5" t="s">
        <v>61</v>
      </c>
      <c r="E24" s="5" t="s">
        <v>83</v>
      </c>
    </row>
    <row r="25" customFormat="false" ht="15" hidden="false" customHeight="false" outlineLevel="0" collapsed="false">
      <c r="A25" s="5" t="n">
        <v>17</v>
      </c>
      <c r="B25" s="5" t="s">
        <v>84</v>
      </c>
      <c r="C25" s="24" t="n">
        <f aca="false">$C$16*$C$17</f>
        <v>10.8</v>
      </c>
      <c r="D25" s="5" t="s">
        <v>61</v>
      </c>
      <c r="E25" s="5" t="s">
        <v>85</v>
      </c>
    </row>
    <row r="26" customFormat="false" ht="15" hidden="false" customHeight="false" outlineLevel="0" collapsed="false">
      <c r="A26" s="5" t="n">
        <v>18</v>
      </c>
      <c r="B26" s="5" t="s">
        <v>86</v>
      </c>
      <c r="C26" s="14" t="n">
        <f aca="false">$C$24+$C$25</f>
        <v>24</v>
      </c>
      <c r="D26" s="5" t="s">
        <v>61</v>
      </c>
      <c r="E26" s="5" t="s">
        <v>87</v>
      </c>
    </row>
    <row r="27" customFormat="false" ht="15" hidden="false" customHeight="false" outlineLevel="0" collapsed="false">
      <c r="A27" s="5" t="n">
        <v>19</v>
      </c>
      <c r="B27" s="5" t="s">
        <v>88</v>
      </c>
      <c r="C27" s="25" t="n">
        <f aca="false">IFERROR($C$16/$C$26,0)</f>
        <v>3</v>
      </c>
      <c r="D27" s="5" t="s">
        <v>89</v>
      </c>
      <c r="E27" s="5" t="s">
        <v>90</v>
      </c>
    </row>
    <row r="28" customFormat="false" ht="15" hidden="false" customHeight="false" outlineLevel="0" collapsed="false">
      <c r="A28" s="5" t="n">
        <v>20</v>
      </c>
      <c r="B28" s="5" t="s">
        <v>91</v>
      </c>
      <c r="C28" s="13" t="n">
        <f aca="false">$C$13+$C$14+$C$15</f>
        <v>1</v>
      </c>
      <c r="D28" s="5" t="s">
        <v>53</v>
      </c>
      <c r="E28" s="5" t="s">
        <v>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6" min="2" style="0" width="13"/>
  </cols>
  <sheetData>
    <row r="1" customFormat="false" ht="17.35" hidden="false" customHeight="false" outlineLevel="0" collapsed="false">
      <c r="A1" s="1" t="s">
        <v>93</v>
      </c>
    </row>
    <row r="2" customFormat="false" ht="15" hidden="false" customHeight="false" outlineLevel="0" collapsed="false">
      <c r="A2" s="2" t="s">
        <v>94</v>
      </c>
    </row>
    <row r="4" customFormat="false" ht="15" hidden="false" customHeight="false" outlineLevel="0" collapsed="false">
      <c r="A4" s="3" t="s">
        <v>95</v>
      </c>
      <c r="B4" s="3" t="s">
        <v>96</v>
      </c>
      <c r="C4" s="3" t="s">
        <v>97</v>
      </c>
      <c r="D4" s="3" t="s">
        <v>98</v>
      </c>
      <c r="E4" s="3" t="s">
        <v>99</v>
      </c>
      <c r="F4" s="3" t="s">
        <v>100</v>
      </c>
    </row>
    <row r="5" customFormat="false" ht="15" hidden="false" customHeight="false" outlineLevel="0" collapsed="false">
      <c r="A5" s="4" t="s">
        <v>101</v>
      </c>
      <c r="B5" s="20" t="n">
        <v>15</v>
      </c>
      <c r="C5" s="20" t="n">
        <v>45</v>
      </c>
      <c r="D5" s="20" t="n">
        <v>100</v>
      </c>
      <c r="E5" s="20" t="n">
        <v>185</v>
      </c>
      <c r="F5" s="20" t="n">
        <v>300</v>
      </c>
    </row>
    <row r="6" customFormat="false" ht="15" hidden="false" customHeight="false" outlineLevel="0" collapsed="false">
      <c r="A6" s="5" t="s">
        <v>102</v>
      </c>
      <c r="B6" s="10" t="n">
        <v>0</v>
      </c>
      <c r="C6" s="10" t="n">
        <f aca="false">B5</f>
        <v>15</v>
      </c>
      <c r="D6" s="10" t="n">
        <f aca="false">C5</f>
        <v>45</v>
      </c>
      <c r="E6" s="10" t="n">
        <f aca="false">D5</f>
        <v>100</v>
      </c>
      <c r="F6" s="10" t="n">
        <f aca="false">E5</f>
        <v>185</v>
      </c>
    </row>
    <row r="7" customFormat="false" ht="15" hidden="false" customHeight="false" outlineLevel="0" collapsed="false">
      <c r="A7" s="5" t="s">
        <v>103</v>
      </c>
      <c r="B7" s="10" t="n">
        <f aca="false">ROUND(B6*Inputs!$C$19,0)</f>
        <v>0</v>
      </c>
      <c r="C7" s="10" t="n">
        <f aca="false">ROUND(C6*Inputs!$C$19,0)</f>
        <v>2</v>
      </c>
      <c r="D7" s="10" t="n">
        <f aca="false">ROUND(D6*Inputs!$C$19,0)</f>
        <v>5</v>
      </c>
      <c r="E7" s="10" t="n">
        <f aca="false">ROUND(E6*Inputs!$C$19,0)</f>
        <v>10</v>
      </c>
      <c r="F7" s="10" t="n">
        <f aca="false">ROUND(F6*Inputs!$C$19,0)</f>
        <v>19</v>
      </c>
    </row>
    <row r="8" customFormat="false" ht="15" hidden="false" customHeight="false" outlineLevel="0" collapsed="false">
      <c r="A8" s="5" t="s">
        <v>104</v>
      </c>
      <c r="B8" s="10" t="n">
        <f aca="false">B5-B6+B7</f>
        <v>15</v>
      </c>
      <c r="C8" s="10" t="n">
        <f aca="false">C5-C6+C7</f>
        <v>32</v>
      </c>
      <c r="D8" s="10" t="n">
        <f aca="false">D5-D6+D7</f>
        <v>60</v>
      </c>
      <c r="E8" s="10" t="n">
        <f aca="false">E5-E6+E7</f>
        <v>95</v>
      </c>
      <c r="F8" s="10" t="n">
        <f aca="false">F5-F6+F7</f>
        <v>134</v>
      </c>
    </row>
    <row r="9" customFormat="false" ht="15" hidden="false" customHeight="false" outlineLevel="0" collapsed="false">
      <c r="A9" s="5" t="s">
        <v>105</v>
      </c>
      <c r="B9" s="10" t="n">
        <f aca="false">B8</f>
        <v>15</v>
      </c>
      <c r="C9" s="10" t="n">
        <f aca="false">B9+C8</f>
        <v>47</v>
      </c>
      <c r="D9" s="10" t="n">
        <f aca="false">C9+D8</f>
        <v>107</v>
      </c>
      <c r="E9" s="10" t="n">
        <f aca="false">D9+E8</f>
        <v>202</v>
      </c>
      <c r="F9" s="10" t="n">
        <f aca="false">E9+F8</f>
        <v>336</v>
      </c>
    </row>
    <row r="10" customFormat="false" ht="15" hidden="false" customHeight="false" outlineLevel="0" collapsed="false">
      <c r="A10" s="5" t="s">
        <v>106</v>
      </c>
      <c r="B10" s="10" t="n">
        <f aca="false">ROUNDUP(B8/Inputs!$C$20,0)</f>
        <v>38</v>
      </c>
      <c r="C10" s="10" t="n">
        <f aca="false">ROUNDUP(C8/Inputs!$C$20,0)</f>
        <v>80</v>
      </c>
      <c r="D10" s="10" t="n">
        <f aca="false">ROUNDUP(D8/Inputs!$C$20,0)</f>
        <v>150</v>
      </c>
      <c r="E10" s="10" t="n">
        <f aca="false">ROUNDUP(E8/Inputs!$C$20,0)</f>
        <v>238</v>
      </c>
      <c r="F10" s="10" t="n">
        <f aca="false">ROUNDUP(F8/Inputs!$C$20,0)</f>
        <v>335</v>
      </c>
    </row>
    <row r="11" customFormat="false" ht="15" hidden="false" customHeight="false" outlineLevel="0" collapsed="false">
      <c r="A11" s="5" t="s">
        <v>107</v>
      </c>
      <c r="B11" s="10" t="n">
        <f aca="false">ROUNDUP(B10/Inputs!$C$21,0)</f>
        <v>4</v>
      </c>
      <c r="C11" s="10" t="n">
        <f aca="false">ROUNDUP(C10/Inputs!$C$21,0)</f>
        <v>7</v>
      </c>
      <c r="D11" s="10" t="n">
        <f aca="false">ROUNDUP(D10/Inputs!$C$21,0)</f>
        <v>13</v>
      </c>
      <c r="E11" s="10" t="n">
        <f aca="false">ROUNDUP(E10/Inputs!$C$21,0)</f>
        <v>20</v>
      </c>
      <c r="F11" s="10" t="n">
        <f aca="false">ROUNDUP(F10/Inputs!$C$21,0)</f>
        <v>28</v>
      </c>
    </row>
    <row r="12" customFormat="false" ht="15" hidden="false" customHeight="false" outlineLevel="0" collapsed="false">
      <c r="A12" s="4" t="s">
        <v>108</v>
      </c>
      <c r="B12" s="26" t="n">
        <f aca="false">B5*Inputs!$C$26/100</f>
        <v>3.6</v>
      </c>
      <c r="C12" s="26" t="n">
        <f aca="false">C5*Inputs!$C$26/100</f>
        <v>10.8</v>
      </c>
      <c r="D12" s="26" t="n">
        <f aca="false">D5*Inputs!$C$26/100</f>
        <v>24</v>
      </c>
      <c r="E12" s="26" t="n">
        <f aca="false">E5*Inputs!$C$26/100</f>
        <v>44.4</v>
      </c>
      <c r="F12" s="26" t="n">
        <f aca="false">F5*Inputs!$C$26/100</f>
        <v>72</v>
      </c>
    </row>
    <row r="13" customFormat="false" ht="15" hidden="false" customHeight="false" outlineLevel="0" collapsed="false">
      <c r="A13" s="5" t="s">
        <v>109</v>
      </c>
      <c r="B13" s="27" t="n">
        <f aca="false">(B5+B6)/2*Inputs!$C$26/100</f>
        <v>1.8</v>
      </c>
      <c r="C13" s="27" t="n">
        <f aca="false">(C5+C6)/2*Inputs!$C$26/100</f>
        <v>7.2</v>
      </c>
      <c r="D13" s="27" t="n">
        <f aca="false">(D5+D6)/2*Inputs!$C$26/100</f>
        <v>17.4</v>
      </c>
      <c r="E13" s="27" t="n">
        <f aca="false">(E5+E6)/2*Inputs!$C$26/100</f>
        <v>34.2</v>
      </c>
      <c r="F13" s="27" t="n">
        <f aca="false">(F5+F6)/2*Inputs!$C$26/100</f>
        <v>58.2</v>
      </c>
    </row>
    <row r="14" customFormat="false" ht="15" hidden="false" customHeight="false" outlineLevel="0" collapsed="false">
      <c r="A14" s="5" t="s">
        <v>110</v>
      </c>
      <c r="B14" s="28" t="n">
        <f aca="false">B5/Funnel!$C$7</f>
        <v>0.000740265508562404</v>
      </c>
      <c r="C14" s="28" t="n">
        <f aca="false">C5/Funnel!$C$7</f>
        <v>0.00222079652568721</v>
      </c>
      <c r="D14" s="28" t="n">
        <f aca="false">D5/Funnel!$C$7</f>
        <v>0.00493510339041603</v>
      </c>
      <c r="E14" s="28" t="n">
        <f aca="false">E5/Funnel!$C$7</f>
        <v>0.00912994127226965</v>
      </c>
      <c r="F14" s="28" t="n">
        <f aca="false">F5/Funnel!$C$7</f>
        <v>0.0148053101712481</v>
      </c>
    </row>
    <row r="15" customFormat="false" ht="15" hidden="false" customHeight="false" outlineLevel="0" collapsed="false">
      <c r="A15" s="5" t="s">
        <v>111</v>
      </c>
      <c r="B15" s="28" t="n">
        <f aca="false">B5/Funnel!$C$8</f>
        <v>0.00138888888888889</v>
      </c>
      <c r="C15" s="28" t="n">
        <f aca="false">C5/Funnel!$C$8</f>
        <v>0.00416666666666667</v>
      </c>
      <c r="D15" s="28" t="n">
        <f aca="false">D5/Funnel!$C$8</f>
        <v>0.00925925925925926</v>
      </c>
      <c r="E15" s="28" t="n">
        <f aca="false">E5/Funnel!$C$8</f>
        <v>0.0171296296296296</v>
      </c>
      <c r="F15" s="28" t="n">
        <f aca="false">F5/Funnel!$C$8</f>
        <v>0.0277777777777778</v>
      </c>
    </row>
    <row r="17" customFormat="false" ht="15" hidden="false" customHeight="false" outlineLevel="0" collapsed="false">
      <c r="A17" s="2" t="s">
        <v>112</v>
      </c>
    </row>
    <row r="18" customFormat="false" ht="15" hidden="false" customHeight="false" outlineLevel="0" collapsed="false">
      <c r="A18" s="2" t="s"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4" min="2" style="0" width="14"/>
  </cols>
  <sheetData>
    <row r="1" customFormat="false" ht="17.35" hidden="false" customHeight="false" outlineLevel="0" collapsed="false">
      <c r="A1" s="1" t="s">
        <v>114</v>
      </c>
    </row>
    <row r="3" customFormat="false" ht="15" hidden="false" customHeight="false" outlineLevel="0" collapsed="false">
      <c r="A3" s="3" t="s">
        <v>115</v>
      </c>
      <c r="B3" s="3" t="s">
        <v>116</v>
      </c>
      <c r="C3" s="3" t="s">
        <v>117</v>
      </c>
      <c r="D3" s="3" t="s">
        <v>118</v>
      </c>
    </row>
    <row r="4" customFormat="false" ht="15" hidden="false" customHeight="false" outlineLevel="0" collapsed="false">
      <c r="A4" s="5" t="s">
        <v>119</v>
      </c>
      <c r="B4" s="21" t="n">
        <v>0.25</v>
      </c>
      <c r="C4" s="28" t="n">
        <f aca="false">Inputs!$C$6</f>
        <v>0.296</v>
      </c>
      <c r="D4" s="21" t="n">
        <v>0.33</v>
      </c>
    </row>
    <row r="5" customFormat="false" ht="15" hidden="false" customHeight="false" outlineLevel="0" collapsed="false">
      <c r="A5" s="5" t="s">
        <v>120</v>
      </c>
      <c r="B5" s="18" t="n">
        <v>16000</v>
      </c>
      <c r="C5" s="6" t="n">
        <f aca="false">Inputs!$C$7</f>
        <v>20263</v>
      </c>
      <c r="D5" s="18" t="n">
        <v>24000</v>
      </c>
    </row>
    <row r="6" customFormat="false" ht="15" hidden="false" customHeight="false" outlineLevel="0" collapsed="false">
      <c r="A6" s="5" t="s">
        <v>5</v>
      </c>
      <c r="B6" s="22" t="n">
        <v>20</v>
      </c>
      <c r="C6" s="7" t="n">
        <f aca="false">Inputs!$C$26</f>
        <v>24</v>
      </c>
      <c r="D6" s="22" t="n">
        <v>28</v>
      </c>
    </row>
    <row r="7" customFormat="false" ht="15" hidden="false" customHeight="false" outlineLevel="0" collapsed="false">
      <c r="A7" s="5" t="s">
        <v>121</v>
      </c>
      <c r="B7" s="18" t="n">
        <v>200</v>
      </c>
      <c r="C7" s="6" t="n">
        <f aca="false">'SOM Build'!$F$5</f>
        <v>300</v>
      </c>
      <c r="D7" s="18" t="n">
        <v>400</v>
      </c>
    </row>
    <row r="9" customFormat="false" ht="15" hidden="false" customHeight="false" outlineLevel="0" collapsed="false">
      <c r="A9" s="3" t="s">
        <v>122</v>
      </c>
      <c r="B9" s="3" t="s">
        <v>116</v>
      </c>
      <c r="C9" s="3" t="s">
        <v>117</v>
      </c>
      <c r="D9" s="3" t="s">
        <v>118</v>
      </c>
    </row>
    <row r="10" customFormat="false" ht="15" hidden="false" customHeight="false" outlineLevel="0" collapsed="false">
      <c r="A10" s="4" t="s">
        <v>8</v>
      </c>
      <c r="B10" s="11" t="n">
        <f aca="false">ROUND(Inputs!$C$5*B4,0)*B6/100</f>
        <v>10927.2</v>
      </c>
      <c r="C10" s="11" t="n">
        <f aca="false">ROUND(Inputs!$C$5*C4,0)*C6/100</f>
        <v>15525.36</v>
      </c>
      <c r="D10" s="11" t="n">
        <f aca="false">ROUND(Inputs!$C$5*D4,0)*D6/100</f>
        <v>20193.32</v>
      </c>
    </row>
    <row r="11" customFormat="false" ht="15" hidden="false" customHeight="false" outlineLevel="0" collapsed="false">
      <c r="A11" s="4" t="s">
        <v>11</v>
      </c>
      <c r="B11" s="11" t="n">
        <f aca="false">B5*B6/100</f>
        <v>3200</v>
      </c>
      <c r="C11" s="11" t="n">
        <f aca="false">C5*C6/100</f>
        <v>4863.12</v>
      </c>
      <c r="D11" s="11" t="n">
        <f aca="false">D5*D6/100</f>
        <v>6720</v>
      </c>
    </row>
    <row r="12" customFormat="false" ht="15" hidden="false" customHeight="false" outlineLevel="0" collapsed="false">
      <c r="A12" s="4" t="s">
        <v>123</v>
      </c>
      <c r="B12" s="11" t="n">
        <f aca="false">B7*B6/100</f>
        <v>40</v>
      </c>
      <c r="C12" s="11" t="n">
        <f aca="false">C7*C6/100</f>
        <v>72</v>
      </c>
      <c r="D12" s="11" t="n">
        <f aca="false">D7*D6/100</f>
        <v>112</v>
      </c>
    </row>
    <row r="13" customFormat="false" ht="15" hidden="false" customHeight="false" outlineLevel="0" collapsed="false">
      <c r="A13" s="4" t="s">
        <v>124</v>
      </c>
      <c r="B13" s="13" t="n">
        <f aca="false">IFERROR(B7/B5,0)</f>
        <v>0.0125</v>
      </c>
      <c r="C13" s="13" t="n">
        <f aca="false">IFERROR(C7/C5,0)</f>
        <v>0.0148053101712481</v>
      </c>
      <c r="D13" s="13" t="n">
        <f aca="false">IFERROR(D7/D5,0)</f>
        <v>0.0166666666666667</v>
      </c>
    </row>
    <row r="15" customFormat="false" ht="15" hidden="false" customHeight="false" outlineLevel="0" collapsed="false">
      <c r="A15" s="2" t="s">
        <v>125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126</v>
      </c>
    </row>
    <row r="3" customFormat="false" ht="15" hidden="false" customHeight="false" outlineLevel="0" collapsed="false">
      <c r="A3" s="3" t="s">
        <v>127</v>
      </c>
      <c r="B3" s="3" t="s">
        <v>128</v>
      </c>
      <c r="C3" s="3" t="s">
        <v>129</v>
      </c>
    </row>
    <row r="4" customFormat="false" ht="15" hidden="false" customHeight="false" outlineLevel="0" collapsed="false">
      <c r="A4" s="5" t="s">
        <v>130</v>
      </c>
      <c r="B4" s="5" t="s">
        <v>131</v>
      </c>
      <c r="C4" s="5" t="s">
        <v>132</v>
      </c>
    </row>
    <row r="5" customFormat="false" ht="15" hidden="false" customHeight="false" outlineLevel="0" collapsed="false">
      <c r="A5" s="5" t="s">
        <v>133</v>
      </c>
      <c r="B5" s="5" t="s">
        <v>134</v>
      </c>
      <c r="C5" s="5" t="s">
        <v>135</v>
      </c>
    </row>
    <row r="6" customFormat="false" ht="15" hidden="false" customHeight="false" outlineLevel="0" collapsed="false">
      <c r="A6" s="5" t="s">
        <v>136</v>
      </c>
      <c r="B6" s="5" t="s">
        <v>137</v>
      </c>
      <c r="C6" s="5" t="s">
        <v>138</v>
      </c>
    </row>
    <row r="7" customFormat="false" ht="15" hidden="false" customHeight="false" outlineLevel="0" collapsed="false">
      <c r="A7" s="5" t="s">
        <v>139</v>
      </c>
      <c r="B7" s="5" t="s">
        <v>140</v>
      </c>
      <c r="C7" s="5" t="s">
        <v>141</v>
      </c>
    </row>
    <row r="8" customFormat="false" ht="15" hidden="false" customHeight="false" outlineLevel="0" collapsed="false">
      <c r="A8" s="5" t="s">
        <v>142</v>
      </c>
      <c r="B8" s="5" t="s">
        <v>66</v>
      </c>
      <c r="C8" s="5" t="s">
        <v>143</v>
      </c>
    </row>
    <row r="9" customFormat="false" ht="15" hidden="false" customHeight="false" outlineLevel="0" collapsed="false">
      <c r="A9" s="5" t="s">
        <v>144</v>
      </c>
      <c r="B9" s="5" t="s">
        <v>66</v>
      </c>
      <c r="C9" s="5" t="s">
        <v>145</v>
      </c>
    </row>
    <row r="10" customFormat="false" ht="15" hidden="false" customHeight="false" outlineLevel="0" collapsed="false">
      <c r="A10" s="5" t="s">
        <v>146</v>
      </c>
      <c r="B10" s="5" t="s">
        <v>147</v>
      </c>
      <c r="C10" s="5" t="s">
        <v>148</v>
      </c>
    </row>
    <row r="11" customFormat="false" ht="15" hidden="false" customHeight="false" outlineLevel="0" collapsed="false">
      <c r="A11" s="5" t="s">
        <v>149</v>
      </c>
      <c r="B11" s="5" t="s">
        <v>66</v>
      </c>
      <c r="C11" s="5" t="s">
        <v>150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2026-10-11T10:19:29Z</dcterms:created>
  <dc:creator>openpyxl</dc:creator>
  <dc:description/>
  <dc:language>en-US</dc:language>
  <cp:lastModifiedBy/>
  <dcterms:modified xsi:type="dcterms:W3CDTF">2026-10-11T10:19:29Z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
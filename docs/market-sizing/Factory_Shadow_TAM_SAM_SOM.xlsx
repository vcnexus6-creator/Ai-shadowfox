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nel" sheetId="1" state="visible" r:id="rId3"/>
    <sheet name="Inputs" sheetId="2" state="visible" r:id="rId4"/>
    <sheet name="SOM Build" sheetId="3" state="visible" r:id="rId5"/>
    <sheet name="Sensitivity" sheetId="4" state="visible" r:id="rId6"/>
    <sheet name="Competitor Pricing" sheetId="5" state="visible" r:id="rId7"/>
    <sheet name="Sources &amp; To-D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<sst xmlns="http://schemas.openxmlformats.org/spreadsheetml/2006/main" count="215" uniqueCount="189">
  <si>
    <t xml:space="preserve">Factory Shadow – TAM / SAM / SOM (v2)</t>
  </si>
  <si>
    <t xml:space="preserve">AI production-disruption decision engine: spots machines drifting to failure and recommends the cheapest response that keeps orders on time.</t>
  </si>
  <si>
    <t xml:space="preserve">Layer</t>
  </si>
  <si>
    <t xml:space="preserve">Who it covers</t>
  </si>
  <si>
    <t xml:space="preserve">Plants</t>
  </si>
  <si>
    <t xml:space="preserve">Price / plant (₹ L)</t>
  </si>
  <si>
    <t xml:space="preserve">Market (₹ Cr)</t>
  </si>
  <si>
    <t xml:space="preserve">Calculation</t>
  </si>
  <si>
    <t xml:space="preserve">TAM</t>
  </si>
  <si>
    <t xml:space="preserve">All factories in our 7 target industries in India</t>
  </si>
  <si>
    <t xml:space="preserve">Smaller plants × Starter price + SAM plants × SAM price</t>
  </si>
  <si>
    <t xml:space="preserve">SAM</t>
  </si>
  <si>
    <t xml:space="preserve">Machine-intensive plants with 100+ workers, where disruption decisions are costly</t>
  </si>
  <si>
    <t xml:space="preserve">SAM plants × Professional/Enterprise mix price</t>
  </si>
  <si>
    <t xml:space="preserve">Launch market</t>
  </si>
  <si>
    <t xml:space="preserve">SAM plants in MH, GJ, TN, KA, UP (go-to-market focus, not a funnel layer)</t>
  </si>
  <si>
    <t xml:space="preserve">SAM × five-state share</t>
  </si>
  <si>
    <t xml:space="preserve">SOM</t>
  </si>
  <si>
    <t xml:space="preserve">Live paying plants at Year-5 (FY31) exit</t>
  </si>
  <si>
    <t xml:space="preserve">Target plants × our tier mix price (see SOM Build)</t>
  </si>
  <si>
    <t xml:space="preserve">Market share</t>
  </si>
  <si>
    <t xml:space="preserve">Measure</t>
  </si>
  <si>
    <t xml:space="preserve">Value</t>
  </si>
  <si>
    <t xml:space="preserve">SOM ÷ SAM (plants)</t>
  </si>
  <si>
    <t xml:space="preserve">Year-5 share of serviceable plants</t>
  </si>
  <si>
    <t xml:space="preserve">SOM ÷ SAM (₹)</t>
  </si>
  <si>
    <t xml:space="preserve">Year-5 share of serviceable value</t>
  </si>
  <si>
    <t xml:space="preserve">SOM ÷ launch market</t>
  </si>
  <si>
    <t xml:space="preserve">Share of five-state plants</t>
  </si>
  <si>
    <t xml:space="preserve">SOM ÷ TAM (plants)</t>
  </si>
  <si>
    <t xml:space="preserve">Share of all target-industry factories</t>
  </si>
  <si>
    <t xml:space="preserve">SAM ÷ TAM (₹)</t>
  </si>
  <si>
    <t xml:space="preserve">Serviceable share of total value</t>
  </si>
  <si>
    <t xml:space="preserve">SOM tier mix</t>
  </si>
  <si>
    <t xml:space="preserve">Tier</t>
  </si>
  <si>
    <t xml:space="preserve">Price (₹ L)</t>
  </si>
  <si>
    <t xml:space="preserve">ARR (₹ Cr)</t>
  </si>
  <si>
    <t xml:space="preserve">Starter</t>
  </si>
  <si>
    <t xml:space="preserve">Professional</t>
  </si>
  <si>
    <t xml:space="preserve">Enterprise</t>
  </si>
  <si>
    <t xml:space="preserve">Total</t>
  </si>
  <si>
    <t xml:space="preserve">Pitch line:</t>
  </si>
  <si>
    <t xml:space="preserve">Factory Shadow – Market Sizing Inputs (v2: 600 plants, tiered premium pricing)</t>
  </si>
  <si>
    <t xml:space="preserve">Blue = input you can change · Yellow = key assumption to validate · Black = formula. Edit only column C.</t>
  </si>
  <si>
    <t xml:space="preserve">#</t>
  </si>
  <si>
    <t xml:space="preserve">Input</t>
  </si>
  <si>
    <t xml:space="preserve">Unit</t>
  </si>
  <si>
    <t xml:space="preserve">Source / basis</t>
  </si>
  <si>
    <t xml:space="preserve">MARKET (plant counts)</t>
  </si>
  <si>
    <t xml:space="preserve">Factories in our 7 target industries, all sizes</t>
  </si>
  <si>
    <t xml:space="preserve">plants</t>
  </si>
  <si>
    <t xml:space="preserve">ASI 2023-24 (MoSPI), per team research – cite exact table on appendix</t>
  </si>
  <si>
    <t xml:space="preserve">Of which: machine-intensive plants with 100+ workers</t>
  </si>
  <si>
    <t xml:space="preserve">Team model – re-pull from ASI (7 industries × 100+ workers) so it is a strict subset</t>
  </si>
  <si>
    <t xml:space="preserve">Five priority states' share (MH, GJ, TN, KA, UP)</t>
  </si>
  <si>
    <t xml:space="preserve">%</t>
  </si>
  <si>
    <t xml:space="preserve">ASI FY2024-25 establishment share – proxy, not sector-specific</t>
  </si>
  <si>
    <t xml:space="preserve">TIER PRICES (subscription, per plant per year)</t>
  </si>
  <si>
    <t xml:space="preserve">Starter – Disruption Intelligence (one production area)</t>
  </si>
  <si>
    <t xml:space="preserve">₹ lakh</t>
  </si>
  <si>
    <t xml:space="preserve">Midpoint of ₹12–18 L band; hypothesis to validate</t>
  </si>
  <si>
    <t xml:space="preserve">Professional – Production Recovery (multi-line)</t>
  </si>
  <si>
    <t xml:space="preserve">Midpoint of ₹24–36 L band; hypothesis to validate</t>
  </si>
  <si>
    <t xml:space="preserve">Enterprise – Plant Optimisation (plant-wide)</t>
  </si>
  <si>
    <t xml:space="preserve">Midpoint of ₹40–60 L+ band; hypothesis to validate</t>
  </si>
  <si>
    <t xml:space="preserve">MARKET PRICE MIX (used for TAM / SAM)</t>
  </si>
  <si>
    <t xml:space="preserve">SAM plants on Professional</t>
  </si>
  <si>
    <t xml:space="preserve">Assumption – remainder on Enterprise</t>
  </si>
  <si>
    <t xml:space="preserve">OUR CUSTOMER MIX (used for SOM)</t>
  </si>
  <si>
    <t xml:space="preserve">Customers on Starter (incl. land-and-expand)</t>
  </si>
  <si>
    <t xml:space="preserve">Team plan: 180 of 600</t>
  </si>
  <si>
    <t xml:space="preserve">Customers on Professional</t>
  </si>
  <si>
    <t xml:space="preserve">Team plan: 300 of 600</t>
  </si>
  <si>
    <t xml:space="preserve">Customers on Enterprise</t>
  </si>
  <si>
    <t xml:space="preserve">Team plan: 120 of 600</t>
  </si>
  <si>
    <t xml:space="preserve">SOM / GO-TO-MARKET</t>
  </si>
  <si>
    <t xml:space="preserve">Live-plant target at Year-5 (FY31) exit</t>
  </si>
  <si>
    <t xml:space="preserve">Team target</t>
  </si>
  <si>
    <t xml:space="preserve">Annual customer churn</t>
  </si>
  <si>
    <t xml:space="preserve">Assumption</t>
  </si>
  <si>
    <t xml:space="preserve">Paid pilot → annual contract conversion</t>
  </si>
  <si>
    <t xml:space="preserve">Team plan assumption – unvalidated</t>
  </si>
  <si>
    <t xml:space="preserve">Factory audit → paid pilot conversion</t>
  </si>
  <si>
    <t xml:space="preserve">Minimum customer ROI for price to hold</t>
  </si>
  <si>
    <t xml:space="preserve">x</t>
  </si>
  <si>
    <t xml:space="preserve">Rule of thumb for B2B industrial software</t>
  </si>
  <si>
    <t xml:space="preserve">DERIVED (formulas)</t>
  </si>
  <si>
    <t xml:space="preserve">Target-industry plants below SAM (smaller plants)</t>
  </si>
  <si>
    <t xml:space="preserve">TAM plants − SAM plants</t>
  </si>
  <si>
    <t xml:space="preserve">SAM price per plant (Professional/Enterprise mix)</t>
  </si>
  <si>
    <t xml:space="preserve">Used for SAM</t>
  </si>
  <si>
    <t xml:space="preserve">Our weighted price per plant (SOM mix)</t>
  </si>
  <si>
    <t xml:space="preserve">Used for SOM</t>
  </si>
  <si>
    <t xml:space="preserve">Check: SOM mix adds to 100%</t>
  </si>
  <si>
    <t xml:space="preserve">Must be 100%</t>
  </si>
  <si>
    <t xml:space="preserve">Verified savings each plant needs (at minimum ROI)</t>
  </si>
  <si>
    <t xml:space="preserve">Weighted price × minimum ROI – prove this in pilots</t>
  </si>
  <si>
    <t xml:space="preserve">Gain-share, implementation, hardware and pilot fees are excluded from all figures (upside / one-time).</t>
  </si>
  <si>
    <t xml:space="preserve">SOM – bottom-up build to 600+ live plants (FY31 exit)</t>
  </si>
  <si>
    <t xml:space="preserve">Blue row = new plants won each year (input). Everything else is calculated.</t>
  </si>
  <si>
    <t xml:space="preserve">Metric</t>
  </si>
  <si>
    <t xml:space="preserve">FY27</t>
  </si>
  <si>
    <t xml:space="preserve">FY28</t>
  </si>
  <si>
    <t xml:space="preserve">FY29</t>
  </si>
  <si>
    <t xml:space="preserve">FY30</t>
  </si>
  <si>
    <t xml:space="preserve">FY31</t>
  </si>
  <si>
    <t xml:space="preserve">New plants won (gross)</t>
  </si>
  <si>
    <t xml:space="preserve">Live plants – opening</t>
  </si>
  <si>
    <t xml:space="preserve">Plants churned</t>
  </si>
  <si>
    <t xml:space="preserve">Live plants – closing</t>
  </si>
  <si>
    <t xml:space="preserve">Cumulative plants won</t>
  </si>
  <si>
    <t xml:space="preserve">Paid pilots needed</t>
  </si>
  <si>
    <t xml:space="preserve">Factory audits needed</t>
  </si>
  <si>
    <t xml:space="preserve">New plants per month</t>
  </si>
  <si>
    <t xml:space="preserve">Exit ARR (₹ Cr)</t>
  </si>
  <si>
    <t xml:space="preserve">Recognised revenue (₹ Cr)</t>
  </si>
  <si>
    <t xml:space="preserve">Share of SAM (plants)</t>
  </si>
  <si>
    <t xml:space="preserve">Share of launch market (plants)</t>
  </si>
  <si>
    <t xml:space="preserve">Check: plan reaches target?</t>
  </si>
  <si>
    <t xml:space="preserve">Churn is applied to opening plants. Recognised revenue = average live plants × weighted price (even onboarding through the year).</t>
  </si>
  <si>
    <t xml:space="preserve">SOM headline uses exit ARR at the 600-plant target; FY31 recognised revenue is the P&amp;L figure.</t>
  </si>
  <si>
    <t xml:space="preserve">Sensitivity – low / base / high</t>
  </si>
  <si>
    <t xml:space="preserve">Driver</t>
  </si>
  <si>
    <t xml:space="preserve">Low</t>
  </si>
  <si>
    <t xml:space="preserve">Base</t>
  </si>
  <si>
    <t xml:space="preserve">High</t>
  </si>
  <si>
    <t xml:space="preserve">SAM plants (7 industries, 100+ workers)</t>
  </si>
  <si>
    <t xml:space="preserve">Starter price (₹ L)</t>
  </si>
  <si>
    <t xml:space="preserve">SAM price per plant (₹ L)</t>
  </si>
  <si>
    <t xml:space="preserve">SOM live plants (FY31)</t>
  </si>
  <si>
    <t xml:space="preserve">Our weighted price (₹ L)</t>
  </si>
  <si>
    <t xml:space="preserve">Output</t>
  </si>
  <si>
    <t xml:space="preserve">TAM (₹ Cr)</t>
  </si>
  <si>
    <t xml:space="preserve">SAM (₹ Cr)</t>
  </si>
  <si>
    <t xml:space="preserve">SOM ARR (₹ Cr)</t>
  </si>
  <si>
    <t xml:space="preserve">Low/high ranges are placeholders; tighten once ASI counts and pilot pricing are confirmed.</t>
  </si>
  <si>
    <t xml:space="preserve">Competitor pricing reference (from team research – re-check links before citing)</t>
  </si>
  <si>
    <t xml:space="preserve">Vendor</t>
  </si>
  <si>
    <t xml:space="preserve">Category</t>
  </si>
  <si>
    <t xml:space="preserve">Published price</t>
  </si>
  <si>
    <t xml:space="preserve">Approx. annual (₹ L)</t>
  </si>
  <si>
    <t xml:space="preserve">Comparable to us?</t>
  </si>
  <si>
    <t xml:space="preserve">Infinite Uptime – PlantOS</t>
  </si>
  <si>
    <t xml:space="preserve">Prescriptive asset-reliability AI</t>
  </si>
  <si>
    <t xml:space="preserve">Custom quote</t>
  </si>
  <si>
    <t xml:space="preserve">Closest strategic benchmark; reliability-led, not production re-planning</t>
  </si>
  <si>
    <t xml:space="preserve">Sight Machine</t>
  </si>
  <si>
    <t xml:space="preserve">Agentic manufacturing platform</t>
  </si>
  <si>
    <t xml:space="preserve">US$5,000/month (AWS Marketplace, 1-month option)</t>
  </si>
  <si>
    <t xml:space="preserve">List price, not negotiated annual contract; ~US$60k/yr</t>
  </si>
  <si>
    <t xml:space="preserve">Augury</t>
  </si>
  <si>
    <t xml:space="preserve">Machine health / predictive maintenance</t>
  </si>
  <si>
    <t xml:space="preserve">Per machine per year, quote-based</t>
  </si>
  <si>
    <t xml:space="preserve">Priced per machine; plant cost scales with machine count</t>
  </si>
  <si>
    <t xml:space="preserve">Tulip</t>
  </si>
  <si>
    <t xml:space="preserve">Operations app platform</t>
  </si>
  <si>
    <t xml:space="preserve">US$100–250 per interface/month, min 10</t>
  </si>
  <si>
    <t xml:space="preserve">~US$12k–30k/yr at 10 interfaces; not a decision engine</t>
  </si>
  <si>
    <t xml:space="preserve">Fiix</t>
  </si>
  <si>
    <t xml:space="preserve">CMMS (maintenance workflow)</t>
  </si>
  <si>
    <t xml:space="preserve">US$45–75 per user/month</t>
  </si>
  <si>
    <t xml:space="preserve">Workflow tool, cheaper category</t>
  </si>
  <si>
    <t xml:space="preserve">Proqura</t>
  </si>
  <si>
    <t xml:space="preserve">Factory management SaaS (India)</t>
  </si>
  <si>
    <t xml:space="preserve">₹12,000–30,000/month billed yearly</t>
  </si>
  <si>
    <t xml:space="preserve">₹1.44–3.6 L/yr; basic scope, not comparable</t>
  </si>
  <si>
    <t xml:space="preserve">Positioning: we price on value delivered (verified savings), not on matching the cheapest factory software.</t>
  </si>
  <si>
    <t xml:space="preserve">Sources and validation checklist</t>
  </si>
  <si>
    <t xml:space="preserve">Item</t>
  </si>
  <si>
    <t xml:space="preserve">Status</t>
  </si>
  <si>
    <t xml:space="preserve">Action before pitch</t>
  </si>
  <si>
    <t xml:space="preserve">63,728 factories in 7 industries</t>
  </si>
  <si>
    <t xml:space="preserve">Sourced (team)</t>
  </si>
  <si>
    <t xml:space="preserve">Cite the exact ASI 2023-24 table and NIC codes on the appendix slide.</t>
  </si>
  <si>
    <t xml:space="preserve">20,263 SAM plants</t>
  </si>
  <si>
    <t xml:space="preserve">Model estimate</t>
  </si>
  <si>
    <t xml:space="preserve">Earlier count used 9 segments; re-pull ASI for the same 7 industries × 100+ workers.</t>
  </si>
  <si>
    <t xml:space="preserve">Tier prices ₹15 / 30 / 50 L</t>
  </si>
  <si>
    <t xml:space="preserve">Hypothesis</t>
  </si>
  <si>
    <t xml:space="preserve">Test in 10+ plant-leader interviews; get at least 2–3 paid pilots at these levels.</t>
  </si>
  <si>
    <t xml:space="preserve">Weighted price ₹29.5 L → needs ~₹89 L savings/plant</t>
  </si>
  <si>
    <t xml:space="preserve">Measure baseline disruption losses in pilots; keep ROI ≥3x.</t>
  </si>
  <si>
    <t xml:space="preserve">600 live plants FY31</t>
  </si>
  <si>
    <t xml:space="preserve">Update the financial model (still 120) and hiring plan so all slides agree.</t>
  </si>
  <si>
    <t xml:space="preserve">Year-5: 300 new plants (25/month)</t>
  </si>
  <si>
    <t xml:space="preserve">Stretch</t>
  </si>
  <si>
    <t xml:space="preserve">Show partner channel (OEMs, system integrators) and multi-plant groups as the route.</t>
  </si>
  <si>
    <t xml:space="preserve">Pilot 65% / audit 45% conversion, 10% churn</t>
  </si>
  <si>
    <t xml:space="preserve">Track from first cohort; update SOM Build.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</si>
</sst>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\₹#,##0.0&quot; L&quot;;&quot;(₹&quot;#,##0.0&quot; L)&quot;;\-"/>
    <numFmt numFmtId="167" formatCode="\₹#,##0&quot; Cr&quot;;&quot;(₹&quot;#,##0&quot; Cr)&quot;;\-"/>
    <numFmt numFmtId="168" formatCode="0.0%;\(0.0%\);\-"/>
    <numFmt numFmtId="169" formatCode="\₹#,##0.0&quot; Cr&quot;;&quot;(₹&quot;#,##0.0&quot; Cr)&quot;;\-"/>
    <numFmt numFmtId="170" formatCode="0.0\x"/>
    <numFmt numFmtId="171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8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26.8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  <c r="C6" s="6" t="n">
        <f aca="false">Inputs!$C$6</f>
        <v>63728</v>
      </c>
      <c r="D6" s="7" t="n">
        <f aca="false">IFERROR(E6/C6*100,0)</f>
        <v>21.3592141601808</v>
      </c>
      <c r="E6" s="8" t="n">
        <f aca="false">(Inputs!$C$27*Inputs!$C$10+Inputs!$C$7*Inputs!$C$28)/100</f>
        <v>13611.8</v>
      </c>
      <c r="F6" s="5" t="s">
        <v>10</v>
      </c>
    </row>
    <row r="7" customFormat="false" ht="15" hidden="false" customHeight="false" outlineLevel="0" collapsed="false">
      <c r="A7" s="4" t="s">
        <v>11</v>
      </c>
      <c r="B7" s="5" t="s">
        <v>12</v>
      </c>
      <c r="C7" s="6" t="n">
        <f aca="false">Inputs!$C$7</f>
        <v>20263</v>
      </c>
      <c r="D7" s="9" t="n">
        <f aca="false">Inputs!$C$28</f>
        <v>35</v>
      </c>
      <c r="E7" s="8" t="n">
        <f aca="false">C7*D7/100</f>
        <v>7092.05</v>
      </c>
      <c r="F7" s="5" t="s">
        <v>13</v>
      </c>
    </row>
    <row r="8" customFormat="false" ht="15" hidden="false" customHeight="false" outlineLevel="0" collapsed="false">
      <c r="A8" s="10" t="s">
        <v>14</v>
      </c>
      <c r="B8" s="5" t="s">
        <v>15</v>
      </c>
      <c r="C8" s="11" t="n">
        <f aca="false">ROUND(C7*Inputs!$C$8,0)</f>
        <v>10800</v>
      </c>
      <c r="D8" s="7" t="n">
        <f aca="false">D7</f>
        <v>35</v>
      </c>
      <c r="E8" s="12" t="n">
        <f aca="false">C8*D8/100</f>
        <v>3780</v>
      </c>
      <c r="F8" s="5" t="s">
        <v>16</v>
      </c>
    </row>
    <row r="9" customFormat="false" ht="15" hidden="false" customHeight="false" outlineLevel="0" collapsed="false">
      <c r="A9" s="4" t="s">
        <v>17</v>
      </c>
      <c r="B9" s="5" t="s">
        <v>18</v>
      </c>
      <c r="C9" s="6" t="n">
        <f aca="false">Inputs!$C$20</f>
        <v>600</v>
      </c>
      <c r="D9" s="9" t="n">
        <f aca="false">Inputs!$C$29</f>
        <v>29.5</v>
      </c>
      <c r="E9" s="8" t="n">
        <f aca="false">C9*D9/100</f>
        <v>177</v>
      </c>
      <c r="F9" s="5" t="s">
        <v>19</v>
      </c>
    </row>
    <row r="11" customFormat="false" ht="15" hidden="false" customHeight="false" outlineLevel="0" collapsed="false">
      <c r="A11" s="3" t="s">
        <v>20</v>
      </c>
      <c r="B11" s="3" t="s">
        <v>21</v>
      </c>
      <c r="C11" s="3" t="s">
        <v>22</v>
      </c>
      <c r="D11" s="3"/>
      <c r="E11" s="3"/>
      <c r="F11" s="3"/>
    </row>
    <row r="12" customFormat="false" ht="15" hidden="false" customHeight="false" outlineLevel="0" collapsed="false">
      <c r="A12" s="5" t="s">
        <v>23</v>
      </c>
      <c r="B12" s="5" t="s">
        <v>24</v>
      </c>
      <c r="C12" s="13" t="n">
        <f aca="false">IFERROR(C9/C7,0)</f>
        <v>0.0296106203424962</v>
      </c>
    </row>
    <row r="13" customFormat="false" ht="15" hidden="false" customHeight="false" outlineLevel="0" collapsed="false">
      <c r="A13" s="5" t="s">
        <v>25</v>
      </c>
      <c r="B13" s="5" t="s">
        <v>26</v>
      </c>
      <c r="C13" s="14" t="n">
        <f aca="false">IFERROR(E9/E7,0)</f>
        <v>0.0249575228601039</v>
      </c>
    </row>
    <row r="14" customFormat="false" ht="15" hidden="false" customHeight="false" outlineLevel="0" collapsed="false">
      <c r="A14" s="5" t="s">
        <v>27</v>
      </c>
      <c r="B14" s="5" t="s">
        <v>28</v>
      </c>
      <c r="C14" s="14" t="n">
        <f aca="false">IFERROR(C9/C8,0)</f>
        <v>0.0555555555555556</v>
      </c>
    </row>
    <row r="15" customFormat="false" ht="15" hidden="false" customHeight="false" outlineLevel="0" collapsed="false">
      <c r="A15" s="5" t="s">
        <v>29</v>
      </c>
      <c r="B15" s="5" t="s">
        <v>30</v>
      </c>
      <c r="C15" s="14" t="n">
        <f aca="false">IFERROR(C9/C6,0)</f>
        <v>0.00941501380868692</v>
      </c>
    </row>
    <row r="16" customFormat="false" ht="15" hidden="false" customHeight="false" outlineLevel="0" collapsed="false">
      <c r="A16" s="5" t="s">
        <v>31</v>
      </c>
      <c r="B16" s="5" t="s">
        <v>32</v>
      </c>
      <c r="C16" s="14" t="n">
        <f aca="false">IFERROR(E7/E6,0)</f>
        <v>0.521022201325321</v>
      </c>
    </row>
    <row r="18" customFormat="false" ht="15" hidden="false" customHeight="false" outlineLevel="0" collapsed="false">
      <c r="A18" s="3" t="s">
        <v>33</v>
      </c>
      <c r="B18" s="3" t="s">
        <v>34</v>
      </c>
      <c r="C18" s="3" t="s">
        <v>4</v>
      </c>
      <c r="D18" s="3" t="s">
        <v>35</v>
      </c>
      <c r="E18" s="3" t="s">
        <v>36</v>
      </c>
      <c r="F18" s="3"/>
    </row>
    <row r="19" customFormat="false" ht="15" hidden="false" customHeight="false" outlineLevel="0" collapsed="false">
      <c r="A19" s="5"/>
      <c r="B19" s="5" t="s">
        <v>37</v>
      </c>
      <c r="C19" s="6" t="n">
        <f aca="false">C$9*Inputs!$C$16</f>
        <v>180</v>
      </c>
      <c r="D19" s="9" t="n">
        <f aca="false">Inputs!$C$10</f>
        <v>15</v>
      </c>
      <c r="E19" s="15" t="n">
        <f aca="false">C19*D19/100</f>
        <v>27</v>
      </c>
    </row>
    <row r="20" customFormat="false" ht="15" hidden="false" customHeight="false" outlineLevel="0" collapsed="false">
      <c r="A20" s="5"/>
      <c r="B20" s="5" t="s">
        <v>38</v>
      </c>
      <c r="C20" s="6" t="n">
        <f aca="false">C$9*Inputs!$C$17</f>
        <v>300</v>
      </c>
      <c r="D20" s="9" t="n">
        <f aca="false">Inputs!$C$11</f>
        <v>30</v>
      </c>
      <c r="E20" s="15" t="n">
        <f aca="false">C20*D20/100</f>
        <v>90</v>
      </c>
    </row>
    <row r="21" customFormat="false" ht="15" hidden="false" customHeight="false" outlineLevel="0" collapsed="false">
      <c r="A21" s="5"/>
      <c r="B21" s="5" t="s">
        <v>39</v>
      </c>
      <c r="C21" s="6" t="n">
        <f aca="false">C$9*Inputs!$C$18</f>
        <v>120</v>
      </c>
      <c r="D21" s="9" t="n">
        <f aca="false">Inputs!$C$12</f>
        <v>50</v>
      </c>
      <c r="E21" s="15" t="n">
        <f aca="false">C21*D21/100</f>
        <v>60</v>
      </c>
    </row>
    <row r="22" customFormat="false" ht="15" hidden="false" customHeight="false" outlineLevel="0" collapsed="false">
      <c r="B22" s="4" t="s">
        <v>40</v>
      </c>
      <c r="C22" s="11" t="n">
        <f aca="false">SUM(C19:C21)</f>
        <v>600</v>
      </c>
      <c r="D22" s="7" t="n">
        <f aca="false">IFERROR(E22/C22*100,0)</f>
        <v>29.5</v>
      </c>
      <c r="E22" s="16" t="n">
        <f aca="false">SUM(E19:E21)</f>
        <v>177</v>
      </c>
    </row>
    <row r="24" customFormat="false" ht="15" hidden="false" customHeight="false" outlineLevel="0" collapsed="false">
      <c r="A24" s="17" t="s">
        <v>41</v>
      </c>
      <c r="B24" s="0" t="str">
        <f aca="false">"A ₹"&amp;TEXT(E6,"#,##0")&amp;" Cr market; ₹"&amp;TEXT(E7,"#,##0")&amp;" Cr serviceable in machine-intensive plants; we target ₹"&amp;TEXT(E9,"#,##0")&amp;" Cr ARR from "&amp;TEXT(C9,"#,##0")&amp;" live plants by FY31 – "&amp;TEXT(C12,"0.0%")&amp;" of serviceable plants."</f>
        <v>A ₹13,612 Cr market; ₹7,092 Cr serviceable in machine-intensive plants; we target ₹177 Cr ARR from 600 live plants by FY31 – 3.0% of serviceable plants.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4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22</v>
      </c>
      <c r="D4" s="3" t="s">
        <v>46</v>
      </c>
      <c r="E4" s="3" t="s">
        <v>47</v>
      </c>
    </row>
    <row r="5" customFormat="false" ht="15" hidden="false" customHeight="false" outlineLevel="0" collapsed="false">
      <c r="B5" s="17" t="s">
        <v>48</v>
      </c>
    </row>
    <row r="6" customFormat="false" ht="15" hidden="false" customHeight="false" outlineLevel="0" collapsed="false">
      <c r="A6" s="5" t="n">
        <v>1</v>
      </c>
      <c r="B6" s="5" t="s">
        <v>49</v>
      </c>
      <c r="C6" s="18" t="n">
        <v>63728</v>
      </c>
      <c r="D6" s="5" t="s">
        <v>50</v>
      </c>
      <c r="E6" s="5" t="s">
        <v>51</v>
      </c>
    </row>
    <row r="7" customFormat="false" ht="15" hidden="false" customHeight="false" outlineLevel="0" collapsed="false">
      <c r="A7" s="5" t="n">
        <v>2</v>
      </c>
      <c r="B7" s="5" t="s">
        <v>52</v>
      </c>
      <c r="C7" s="19" t="n">
        <v>20263</v>
      </c>
      <c r="D7" s="5" t="s">
        <v>50</v>
      </c>
      <c r="E7" s="5" t="s">
        <v>53</v>
      </c>
    </row>
    <row r="8" customFormat="false" ht="15" hidden="false" customHeight="false" outlineLevel="0" collapsed="false">
      <c r="A8" s="5" t="n">
        <v>3</v>
      </c>
      <c r="B8" s="5" t="s">
        <v>54</v>
      </c>
      <c r="C8" s="20" t="n">
        <v>0.533</v>
      </c>
      <c r="D8" s="5" t="s">
        <v>55</v>
      </c>
      <c r="E8" s="5" t="s">
        <v>56</v>
      </c>
    </row>
    <row r="9" customFormat="false" ht="15" hidden="false" customHeight="false" outlineLevel="0" collapsed="false">
      <c r="B9" s="17" t="s">
        <v>57</v>
      </c>
    </row>
    <row r="10" customFormat="false" ht="15" hidden="false" customHeight="false" outlineLevel="0" collapsed="false">
      <c r="A10" s="5" t="n">
        <v>4</v>
      </c>
      <c r="B10" s="5" t="s">
        <v>58</v>
      </c>
      <c r="C10" s="21" t="n">
        <v>15</v>
      </c>
      <c r="D10" s="5" t="s">
        <v>59</v>
      </c>
      <c r="E10" s="5" t="s">
        <v>60</v>
      </c>
    </row>
    <row r="11" customFormat="false" ht="15" hidden="false" customHeight="false" outlineLevel="0" collapsed="false">
      <c r="A11" s="5" t="n">
        <v>5</v>
      </c>
      <c r="B11" s="5" t="s">
        <v>61</v>
      </c>
      <c r="C11" s="21" t="n">
        <v>30</v>
      </c>
      <c r="D11" s="5" t="s">
        <v>59</v>
      </c>
      <c r="E11" s="5" t="s">
        <v>62</v>
      </c>
    </row>
    <row r="12" customFormat="false" ht="15" hidden="false" customHeight="false" outlineLevel="0" collapsed="false">
      <c r="A12" s="5" t="n">
        <v>6</v>
      </c>
      <c r="B12" s="5" t="s">
        <v>63</v>
      </c>
      <c r="C12" s="21" t="n">
        <v>50</v>
      </c>
      <c r="D12" s="5" t="s">
        <v>59</v>
      </c>
      <c r="E12" s="5" t="s">
        <v>64</v>
      </c>
    </row>
    <row r="13" customFormat="false" ht="15" hidden="false" customHeight="false" outlineLevel="0" collapsed="false">
      <c r="B13" s="17" t="s">
        <v>65</v>
      </c>
    </row>
    <row r="14" customFormat="false" ht="15" hidden="false" customHeight="false" outlineLevel="0" collapsed="false">
      <c r="A14" s="5" t="n">
        <v>7</v>
      </c>
      <c r="B14" s="5" t="s">
        <v>66</v>
      </c>
      <c r="C14" s="22" t="n">
        <v>0.75</v>
      </c>
      <c r="D14" s="5" t="s">
        <v>55</v>
      </c>
      <c r="E14" s="5" t="s">
        <v>67</v>
      </c>
    </row>
    <row r="15" customFormat="false" ht="15" hidden="false" customHeight="false" outlineLevel="0" collapsed="false">
      <c r="B15" s="17" t="s">
        <v>68</v>
      </c>
    </row>
    <row r="16" customFormat="false" ht="15" hidden="false" customHeight="false" outlineLevel="0" collapsed="false">
      <c r="A16" s="5" t="n">
        <v>8</v>
      </c>
      <c r="B16" s="5" t="s">
        <v>69</v>
      </c>
      <c r="C16" s="22" t="n">
        <v>0.3</v>
      </c>
      <c r="D16" s="5" t="s">
        <v>55</v>
      </c>
      <c r="E16" s="5" t="s">
        <v>70</v>
      </c>
    </row>
    <row r="17" customFormat="false" ht="15" hidden="false" customHeight="false" outlineLevel="0" collapsed="false">
      <c r="A17" s="5" t="n">
        <v>9</v>
      </c>
      <c r="B17" s="5" t="s">
        <v>71</v>
      </c>
      <c r="C17" s="22" t="n">
        <v>0.5</v>
      </c>
      <c r="D17" s="5" t="s">
        <v>55</v>
      </c>
      <c r="E17" s="5" t="s">
        <v>72</v>
      </c>
    </row>
    <row r="18" customFormat="false" ht="15" hidden="false" customHeight="false" outlineLevel="0" collapsed="false">
      <c r="A18" s="5" t="n">
        <v>10</v>
      </c>
      <c r="B18" s="5" t="s">
        <v>73</v>
      </c>
      <c r="C18" s="22" t="n">
        <v>0.2</v>
      </c>
      <c r="D18" s="5" t="s">
        <v>55</v>
      </c>
      <c r="E18" s="5" t="s">
        <v>74</v>
      </c>
    </row>
    <row r="19" customFormat="false" ht="15" hidden="false" customHeight="false" outlineLevel="0" collapsed="false">
      <c r="B19" s="17" t="s">
        <v>75</v>
      </c>
    </row>
    <row r="20" customFormat="false" ht="15" hidden="false" customHeight="false" outlineLevel="0" collapsed="false">
      <c r="A20" s="5" t="n">
        <v>11</v>
      </c>
      <c r="B20" s="5" t="s">
        <v>76</v>
      </c>
      <c r="C20" s="19" t="n">
        <v>600</v>
      </c>
      <c r="D20" s="5" t="s">
        <v>50</v>
      </c>
      <c r="E20" s="5" t="s">
        <v>77</v>
      </c>
    </row>
    <row r="21" customFormat="false" ht="15" hidden="false" customHeight="false" outlineLevel="0" collapsed="false">
      <c r="A21" s="5" t="n">
        <v>12</v>
      </c>
      <c r="B21" s="5" t="s">
        <v>78</v>
      </c>
      <c r="C21" s="22" t="n">
        <v>0.1</v>
      </c>
      <c r="D21" s="5" t="s">
        <v>55</v>
      </c>
      <c r="E21" s="5" t="s">
        <v>79</v>
      </c>
    </row>
    <row r="22" customFormat="false" ht="15" hidden="false" customHeight="false" outlineLevel="0" collapsed="false">
      <c r="A22" s="5" t="n">
        <v>13</v>
      </c>
      <c r="B22" s="5" t="s">
        <v>80</v>
      </c>
      <c r="C22" s="22" t="n">
        <v>0.65</v>
      </c>
      <c r="D22" s="5" t="s">
        <v>55</v>
      </c>
      <c r="E22" s="5" t="s">
        <v>81</v>
      </c>
    </row>
    <row r="23" customFormat="false" ht="15" hidden="false" customHeight="false" outlineLevel="0" collapsed="false">
      <c r="A23" s="5" t="n">
        <v>14</v>
      </c>
      <c r="B23" s="5" t="s">
        <v>82</v>
      </c>
      <c r="C23" s="22" t="n">
        <v>0.45</v>
      </c>
      <c r="D23" s="5" t="s">
        <v>55</v>
      </c>
      <c r="E23" s="5" t="s">
        <v>81</v>
      </c>
    </row>
    <row r="24" customFormat="false" ht="15" hidden="false" customHeight="false" outlineLevel="0" collapsed="false">
      <c r="A24" s="5" t="n">
        <v>15</v>
      </c>
      <c r="B24" s="5" t="s">
        <v>83</v>
      </c>
      <c r="C24" s="23" t="n">
        <v>3</v>
      </c>
      <c r="D24" s="5" t="s">
        <v>84</v>
      </c>
      <c r="E24" s="5" t="s">
        <v>85</v>
      </c>
    </row>
    <row r="26" customFormat="false" ht="15" hidden="false" customHeight="false" outlineLevel="0" collapsed="false">
      <c r="B26" s="17" t="s">
        <v>86</v>
      </c>
    </row>
    <row r="27" customFormat="false" ht="15" hidden="false" customHeight="false" outlineLevel="0" collapsed="false">
      <c r="A27" s="5" t="n">
        <v>16</v>
      </c>
      <c r="B27" s="5" t="s">
        <v>87</v>
      </c>
      <c r="C27" s="11" t="n">
        <f aca="false">$C$6-$C$7</f>
        <v>43465</v>
      </c>
      <c r="D27" s="5" t="s">
        <v>50</v>
      </c>
      <c r="E27" s="5" t="s">
        <v>88</v>
      </c>
    </row>
    <row r="28" customFormat="false" ht="15" hidden="false" customHeight="false" outlineLevel="0" collapsed="false">
      <c r="A28" s="5" t="n">
        <v>17</v>
      </c>
      <c r="B28" s="5" t="s">
        <v>89</v>
      </c>
      <c r="C28" s="24" t="n">
        <f aca="false">$C$11*$C$14+$C$12*(1-$C$14)</f>
        <v>35</v>
      </c>
      <c r="D28" s="5" t="s">
        <v>59</v>
      </c>
      <c r="E28" s="5" t="s">
        <v>90</v>
      </c>
    </row>
    <row r="29" customFormat="false" ht="15" hidden="false" customHeight="false" outlineLevel="0" collapsed="false">
      <c r="A29" s="5" t="n">
        <v>18</v>
      </c>
      <c r="B29" s="5" t="s">
        <v>91</v>
      </c>
      <c r="C29" s="24" t="n">
        <f aca="false">$C$10*$C$16+$C$11*$C$17+$C$12*$C$18</f>
        <v>29.5</v>
      </c>
      <c r="D29" s="5" t="s">
        <v>59</v>
      </c>
      <c r="E29" s="5" t="s">
        <v>92</v>
      </c>
    </row>
    <row r="30" customFormat="false" ht="15" hidden="false" customHeight="false" outlineLevel="0" collapsed="false">
      <c r="A30" s="5" t="n">
        <v>19</v>
      </c>
      <c r="B30" s="5" t="s">
        <v>93</v>
      </c>
      <c r="C30" s="14" t="n">
        <f aca="false">$C$16+$C$17+$C$18</f>
        <v>1</v>
      </c>
      <c r="D30" s="5" t="s">
        <v>55</v>
      </c>
      <c r="E30" s="5" t="s">
        <v>94</v>
      </c>
    </row>
    <row r="31" customFormat="false" ht="15" hidden="false" customHeight="false" outlineLevel="0" collapsed="false">
      <c r="A31" s="5" t="n">
        <v>20</v>
      </c>
      <c r="B31" s="5" t="s">
        <v>95</v>
      </c>
      <c r="C31" s="7" t="n">
        <f aca="false">$C$29*$C$24</f>
        <v>88.5</v>
      </c>
      <c r="D31" s="5" t="s">
        <v>59</v>
      </c>
      <c r="E31" s="5" t="s">
        <v>96</v>
      </c>
    </row>
    <row r="33" customFormat="false" ht="15" hidden="false" customHeight="false" outlineLevel="0" collapsed="false">
      <c r="B33" s="2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3" t="s">
        <v>100</v>
      </c>
      <c r="B4" s="3" t="s">
        <v>101</v>
      </c>
      <c r="C4" s="3" t="s">
        <v>102</v>
      </c>
      <c r="D4" s="3" t="s">
        <v>103</v>
      </c>
      <c r="E4" s="3" t="s">
        <v>104</v>
      </c>
      <c r="F4" s="3" t="s">
        <v>105</v>
      </c>
    </row>
    <row r="5" customFormat="false" ht="15" hidden="false" customHeight="false" outlineLevel="0" collapsed="false">
      <c r="A5" s="5" t="s">
        <v>106</v>
      </c>
      <c r="B5" s="19" t="n">
        <v>15</v>
      </c>
      <c r="C5" s="19" t="n">
        <v>55</v>
      </c>
      <c r="D5" s="19" t="n">
        <v>120</v>
      </c>
      <c r="E5" s="19" t="n">
        <v>200</v>
      </c>
      <c r="F5" s="19" t="n">
        <v>300</v>
      </c>
    </row>
    <row r="6" customFormat="false" ht="15" hidden="false" customHeight="false" outlineLevel="0" collapsed="false">
      <c r="A6" s="5" t="s">
        <v>107</v>
      </c>
      <c r="B6" s="11" t="n">
        <v>0</v>
      </c>
      <c r="C6" s="11" t="n">
        <f aca="false">B8</f>
        <v>15</v>
      </c>
      <c r="D6" s="11" t="n">
        <f aca="false">C8</f>
        <v>68.5</v>
      </c>
      <c r="E6" s="11" t="n">
        <f aca="false">D8</f>
        <v>181.65</v>
      </c>
      <c r="F6" s="11" t="n">
        <f aca="false">E8</f>
        <v>363.485</v>
      </c>
    </row>
    <row r="7" customFormat="false" ht="15" hidden="false" customHeight="false" outlineLevel="0" collapsed="false">
      <c r="A7" s="5" t="s">
        <v>108</v>
      </c>
      <c r="B7" s="11" t="n">
        <f aca="false">B6*Inputs!$C$21</f>
        <v>0</v>
      </c>
      <c r="C7" s="11" t="n">
        <f aca="false">C6*Inputs!$C$21</f>
        <v>1.5</v>
      </c>
      <c r="D7" s="11" t="n">
        <f aca="false">D6*Inputs!$C$21</f>
        <v>6.85</v>
      </c>
      <c r="E7" s="11" t="n">
        <f aca="false">E6*Inputs!$C$21</f>
        <v>18.165</v>
      </c>
      <c r="F7" s="11" t="n">
        <f aca="false">F6*Inputs!$C$21</f>
        <v>36.3485</v>
      </c>
    </row>
    <row r="8" customFormat="false" ht="15" hidden="false" customHeight="false" outlineLevel="0" collapsed="false">
      <c r="A8" s="4" t="s">
        <v>109</v>
      </c>
      <c r="B8" s="25" t="n">
        <f aca="false">B6-B7+B5</f>
        <v>15</v>
      </c>
      <c r="C8" s="25" t="n">
        <f aca="false">C6-C7+C5</f>
        <v>68.5</v>
      </c>
      <c r="D8" s="25" t="n">
        <f aca="false">D6-D7+D5</f>
        <v>181.65</v>
      </c>
      <c r="E8" s="25" t="n">
        <f aca="false">E6-E7+E5</f>
        <v>363.485</v>
      </c>
      <c r="F8" s="25" t="n">
        <f aca="false">F6-F7+F5</f>
        <v>627.1365</v>
      </c>
    </row>
    <row r="9" customFormat="false" ht="15" hidden="false" customHeight="false" outlineLevel="0" collapsed="false">
      <c r="A9" s="5" t="s">
        <v>110</v>
      </c>
      <c r="B9" s="11" t="n">
        <f aca="false">B5</f>
        <v>15</v>
      </c>
      <c r="C9" s="11" t="n">
        <f aca="false">B9+C5</f>
        <v>70</v>
      </c>
      <c r="D9" s="11" t="n">
        <f aca="false">C9+D5</f>
        <v>190</v>
      </c>
      <c r="E9" s="11" t="n">
        <f aca="false">D9+E5</f>
        <v>390</v>
      </c>
      <c r="F9" s="11" t="n">
        <f aca="false">E9+F5</f>
        <v>690</v>
      </c>
    </row>
    <row r="10" customFormat="false" ht="15" hidden="false" customHeight="false" outlineLevel="0" collapsed="false">
      <c r="A10" s="5" t="s">
        <v>111</v>
      </c>
      <c r="B10" s="11" t="n">
        <f aca="false">ROUNDUP(B5/Inputs!$C$22,0)</f>
        <v>24</v>
      </c>
      <c r="C10" s="11" t="n">
        <f aca="false">ROUNDUP(C5/Inputs!$C$22,0)</f>
        <v>85</v>
      </c>
      <c r="D10" s="11" t="n">
        <f aca="false">ROUNDUP(D5/Inputs!$C$22,0)</f>
        <v>185</v>
      </c>
      <c r="E10" s="11" t="n">
        <f aca="false">ROUNDUP(E5/Inputs!$C$22,0)</f>
        <v>308</v>
      </c>
      <c r="F10" s="11" t="n">
        <f aca="false">ROUNDUP(F5/Inputs!$C$22,0)</f>
        <v>462</v>
      </c>
    </row>
    <row r="11" customFormat="false" ht="15" hidden="false" customHeight="false" outlineLevel="0" collapsed="false">
      <c r="A11" s="5" t="s">
        <v>112</v>
      </c>
      <c r="B11" s="11" t="n">
        <f aca="false">ROUNDUP(B10/Inputs!$C$23,0)</f>
        <v>54</v>
      </c>
      <c r="C11" s="11" t="n">
        <f aca="false">ROUNDUP(C10/Inputs!$C$23,0)</f>
        <v>189</v>
      </c>
      <c r="D11" s="11" t="n">
        <f aca="false">ROUNDUP(D10/Inputs!$C$23,0)</f>
        <v>412</v>
      </c>
      <c r="E11" s="11" t="n">
        <f aca="false">ROUNDUP(E10/Inputs!$C$23,0)</f>
        <v>685</v>
      </c>
      <c r="F11" s="11" t="n">
        <f aca="false">ROUNDUP(F10/Inputs!$C$23,0)</f>
        <v>1027</v>
      </c>
    </row>
    <row r="12" customFormat="false" ht="15" hidden="false" customHeight="false" outlineLevel="0" collapsed="false">
      <c r="A12" s="5" t="s">
        <v>113</v>
      </c>
      <c r="B12" s="26" t="n">
        <f aca="false">B5/12</f>
        <v>1.25</v>
      </c>
      <c r="C12" s="26" t="n">
        <f aca="false">C5/12</f>
        <v>4.58333333333333</v>
      </c>
      <c r="D12" s="26" t="n">
        <f aca="false">D5/12</f>
        <v>10</v>
      </c>
      <c r="E12" s="26" t="n">
        <f aca="false">E5/12</f>
        <v>16.6666666666667</v>
      </c>
      <c r="F12" s="26" t="n">
        <f aca="false">F5/12</f>
        <v>25</v>
      </c>
    </row>
    <row r="13" customFormat="false" ht="15" hidden="false" customHeight="false" outlineLevel="0" collapsed="false">
      <c r="A13" s="4" t="s">
        <v>114</v>
      </c>
      <c r="B13" s="16" t="n">
        <f aca="false">B8*Inputs!$C$29/100</f>
        <v>4.425</v>
      </c>
      <c r="C13" s="16" t="n">
        <f aca="false">C8*Inputs!$C$29/100</f>
        <v>20.2075</v>
      </c>
      <c r="D13" s="16" t="n">
        <f aca="false">D8*Inputs!$C$29/100</f>
        <v>53.58675</v>
      </c>
      <c r="E13" s="16" t="n">
        <f aca="false">E8*Inputs!$C$29/100</f>
        <v>107.228075</v>
      </c>
      <c r="F13" s="16" t="n">
        <f aca="false">F8*Inputs!$C$29/100</f>
        <v>185.0052675</v>
      </c>
    </row>
    <row r="14" customFormat="false" ht="15" hidden="false" customHeight="false" outlineLevel="0" collapsed="false">
      <c r="A14" s="5" t="s">
        <v>115</v>
      </c>
      <c r="B14" s="15" t="n">
        <f aca="false">(B6+B8)/2*Inputs!$C$29/100</f>
        <v>2.2125</v>
      </c>
      <c r="C14" s="15" t="n">
        <f aca="false">(C6+C8)/2*Inputs!$C$29/100</f>
        <v>12.31625</v>
      </c>
      <c r="D14" s="15" t="n">
        <f aca="false">(D6+D8)/2*Inputs!$C$29/100</f>
        <v>36.897125</v>
      </c>
      <c r="E14" s="15" t="n">
        <f aca="false">(E6+E8)/2*Inputs!$C$29/100</f>
        <v>80.4074125</v>
      </c>
      <c r="F14" s="15" t="n">
        <f aca="false">(F6+F8)/2*Inputs!$C$29/100</f>
        <v>146.11667125</v>
      </c>
    </row>
    <row r="15" customFormat="false" ht="15" hidden="false" customHeight="false" outlineLevel="0" collapsed="false">
      <c r="A15" s="5" t="s">
        <v>116</v>
      </c>
      <c r="B15" s="27" t="n">
        <f aca="false">B8/Funnel!$C$7</f>
        <v>0.000740265508562404</v>
      </c>
      <c r="C15" s="27" t="n">
        <f aca="false">C8/Funnel!$C$7</f>
        <v>0.00338054582243498</v>
      </c>
      <c r="D15" s="27" t="n">
        <f aca="false">D8/Funnel!$C$7</f>
        <v>0.00896461530869072</v>
      </c>
      <c r="E15" s="27" t="n">
        <f aca="false">E8/Funnel!$C$7</f>
        <v>0.0179383605586537</v>
      </c>
      <c r="F15" s="27" t="n">
        <f aca="false">F8/Funnel!$C$7</f>
        <v>0.0309498346740364</v>
      </c>
    </row>
    <row r="16" customFormat="false" ht="15" hidden="false" customHeight="false" outlineLevel="0" collapsed="false">
      <c r="A16" s="5" t="s">
        <v>117</v>
      </c>
      <c r="B16" s="27" t="n">
        <f aca="false">B8/Funnel!$C$8</f>
        <v>0.00138888888888889</v>
      </c>
      <c r="C16" s="27" t="n">
        <f aca="false">C8/Funnel!$C$8</f>
        <v>0.00634259259259259</v>
      </c>
      <c r="D16" s="27" t="n">
        <f aca="false">D8/Funnel!$C$8</f>
        <v>0.0168194444444444</v>
      </c>
      <c r="E16" s="27" t="n">
        <f aca="false">E8/Funnel!$C$8</f>
        <v>0.0336560185185185</v>
      </c>
      <c r="F16" s="27" t="n">
        <f aca="false">F8/Funnel!$C$8</f>
        <v>0.0580681944444445</v>
      </c>
    </row>
    <row r="18" customFormat="false" ht="15" hidden="false" customHeight="false" outlineLevel="0" collapsed="false">
      <c r="A18" s="4" t="s">
        <v>118</v>
      </c>
      <c r="B18" s="5" t="str">
        <f aca="false">IF(F8&gt;=Inputs!$C$20,"Yes – "&amp;TEXT(F8-Inputs!$C$20,"0")&amp;" plants of cushion","No – short by "&amp;TEXT(Inputs!$C$20-F8,"0"))</f>
        <v>Yes – 27 plants of cushion</v>
      </c>
    </row>
    <row r="20" customFormat="false" ht="15" hidden="false" customHeight="false" outlineLevel="0" collapsed="false">
      <c r="A20" s="2" t="s">
        <v>119</v>
      </c>
    </row>
    <row r="21" customFormat="false" ht="15" hidden="false" customHeight="false" outlineLevel="0" collapsed="false">
      <c r="A21" s="2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121</v>
      </c>
    </row>
    <row r="3" customFormat="false" ht="15" hidden="false" customHeight="false" outlineLevel="0" collapsed="false">
      <c r="A3" s="3" t="s">
        <v>122</v>
      </c>
      <c r="B3" s="3" t="s">
        <v>123</v>
      </c>
      <c r="C3" s="3" t="s">
        <v>124</v>
      </c>
      <c r="D3" s="3" t="s">
        <v>125</v>
      </c>
    </row>
    <row r="4" customFormat="false" ht="15" hidden="false" customHeight="false" outlineLevel="0" collapsed="false">
      <c r="A4" s="5" t="s">
        <v>126</v>
      </c>
      <c r="B4" s="18" t="n">
        <v>16000</v>
      </c>
      <c r="C4" s="6" t="n">
        <f aca="false">Inputs!$C$7</f>
        <v>20263</v>
      </c>
      <c r="D4" s="18" t="n">
        <v>24000</v>
      </c>
    </row>
    <row r="5" customFormat="false" ht="15" hidden="false" customHeight="false" outlineLevel="0" collapsed="false">
      <c r="A5" s="5" t="s">
        <v>127</v>
      </c>
      <c r="B5" s="28" t="n">
        <v>12</v>
      </c>
      <c r="C5" s="9" t="n">
        <f aca="false">Inputs!$C$10</f>
        <v>15</v>
      </c>
      <c r="D5" s="28" t="n">
        <v>18</v>
      </c>
    </row>
    <row r="6" customFormat="false" ht="15" hidden="false" customHeight="false" outlineLevel="0" collapsed="false">
      <c r="A6" s="5" t="s">
        <v>128</v>
      </c>
      <c r="B6" s="28" t="n">
        <v>27</v>
      </c>
      <c r="C6" s="9" t="n">
        <f aca="false">Inputs!$C$28</f>
        <v>35</v>
      </c>
      <c r="D6" s="28" t="n">
        <v>45</v>
      </c>
    </row>
    <row r="7" customFormat="false" ht="15" hidden="false" customHeight="false" outlineLevel="0" collapsed="false">
      <c r="A7" s="5" t="s">
        <v>129</v>
      </c>
      <c r="B7" s="18" t="n">
        <v>400</v>
      </c>
      <c r="C7" s="6" t="n">
        <f aca="false">Inputs!$C$20</f>
        <v>600</v>
      </c>
      <c r="D7" s="18" t="n">
        <v>700</v>
      </c>
    </row>
    <row r="8" customFormat="false" ht="15" hidden="false" customHeight="false" outlineLevel="0" collapsed="false">
      <c r="A8" s="5" t="s">
        <v>130</v>
      </c>
      <c r="B8" s="28" t="n">
        <v>20</v>
      </c>
      <c r="C8" s="9" t="n">
        <f aca="false">Inputs!$C$29</f>
        <v>29.5</v>
      </c>
      <c r="D8" s="28" t="n">
        <v>35</v>
      </c>
    </row>
    <row r="10" customFormat="false" ht="15" hidden="false" customHeight="false" outlineLevel="0" collapsed="false">
      <c r="A10" s="3" t="s">
        <v>131</v>
      </c>
      <c r="B10" s="3" t="s">
        <v>123</v>
      </c>
      <c r="C10" s="3" t="s">
        <v>124</v>
      </c>
      <c r="D10" s="3" t="s">
        <v>125</v>
      </c>
    </row>
    <row r="11" customFormat="false" ht="15" hidden="false" customHeight="false" outlineLevel="0" collapsed="false">
      <c r="A11" s="4" t="s">
        <v>132</v>
      </c>
      <c r="B11" s="12" t="n">
        <f aca="false">((Inputs!$C$6)-B4)*B5/100+B4*B6/100</f>
        <v>10047.36</v>
      </c>
      <c r="C11" s="12" t="n">
        <f aca="false">((Inputs!$C$6)-C4)*C5/100+C4*C6/100</f>
        <v>13611.8</v>
      </c>
      <c r="D11" s="12" t="n">
        <f aca="false">((Inputs!$C$6)-D4)*D5/100+D4*D6/100</f>
        <v>17951.04</v>
      </c>
    </row>
    <row r="12" customFormat="false" ht="15" hidden="false" customHeight="false" outlineLevel="0" collapsed="false">
      <c r="A12" s="4" t="s">
        <v>133</v>
      </c>
      <c r="B12" s="12" t="n">
        <f aca="false">B4*B6/100</f>
        <v>4320</v>
      </c>
      <c r="C12" s="12" t="n">
        <f aca="false">C4*C6/100</f>
        <v>7092.05</v>
      </c>
      <c r="D12" s="12" t="n">
        <f aca="false">D4*D6/100</f>
        <v>10800</v>
      </c>
    </row>
    <row r="13" customFormat="false" ht="15" hidden="false" customHeight="false" outlineLevel="0" collapsed="false">
      <c r="A13" s="4" t="s">
        <v>134</v>
      </c>
      <c r="B13" s="12" t="n">
        <f aca="false">B7*B8/100</f>
        <v>80</v>
      </c>
      <c r="C13" s="12" t="n">
        <f aca="false">C7*C8/100</f>
        <v>177</v>
      </c>
      <c r="D13" s="12" t="n">
        <f aca="false">D7*D8/100</f>
        <v>245</v>
      </c>
    </row>
    <row r="14" customFormat="false" ht="15" hidden="false" customHeight="false" outlineLevel="0" collapsed="false">
      <c r="A14" s="4" t="s">
        <v>23</v>
      </c>
      <c r="B14" s="14" t="n">
        <f aca="false">IFERROR(B7/B4,0)</f>
        <v>0.025</v>
      </c>
      <c r="C14" s="14" t="n">
        <f aca="false">IFERROR(C7/C4,0)</f>
        <v>0.0296106203424962</v>
      </c>
      <c r="D14" s="14" t="n">
        <f aca="false">IFERROR(D7/D4,0)</f>
        <v>0.0291666666666667</v>
      </c>
    </row>
    <row r="16" customFormat="false" ht="15" hidden="false" customHeight="false" outlineLevel="0" collapsed="false">
      <c r="A16" s="2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64"/>
  </cols>
  <sheetData>
    <row r="1" customFormat="false" ht="17.35" hidden="false" customHeight="false" outlineLevel="0" collapsed="false">
      <c r="A1" s="1" t="s">
        <v>136</v>
      </c>
    </row>
    <row r="3" customFormat="false" ht="26.85" hidden="false" customHeight="false" outlineLevel="0" collapsed="false">
      <c r="A3" s="3" t="s">
        <v>137</v>
      </c>
      <c r="B3" s="3" t="s">
        <v>138</v>
      </c>
      <c r="C3" s="3" t="s">
        <v>139</v>
      </c>
      <c r="D3" s="3" t="s">
        <v>140</v>
      </c>
      <c r="E3" s="3" t="s">
        <v>141</v>
      </c>
    </row>
    <row r="4" customFormat="false" ht="15" hidden="false" customHeight="false" outlineLevel="0" collapsed="false">
      <c r="A4" s="5" t="s">
        <v>142</v>
      </c>
      <c r="B4" s="5" t="s">
        <v>143</v>
      </c>
      <c r="C4" s="5" t="s">
        <v>144</v>
      </c>
      <c r="D4" s="7"/>
      <c r="E4" s="5" t="s">
        <v>145</v>
      </c>
    </row>
    <row r="5" customFormat="false" ht="15" hidden="false" customHeight="false" outlineLevel="0" collapsed="false">
      <c r="A5" s="5" t="s">
        <v>146</v>
      </c>
      <c r="B5" s="5" t="s">
        <v>147</v>
      </c>
      <c r="C5" s="5" t="s">
        <v>148</v>
      </c>
      <c r="D5" s="28" t="n">
        <v>50</v>
      </c>
      <c r="E5" s="5" t="s">
        <v>149</v>
      </c>
    </row>
    <row r="6" customFormat="false" ht="15" hidden="false" customHeight="false" outlineLevel="0" collapsed="false">
      <c r="A6" s="5" t="s">
        <v>150</v>
      </c>
      <c r="B6" s="5" t="s">
        <v>151</v>
      </c>
      <c r="C6" s="5" t="s">
        <v>152</v>
      </c>
      <c r="D6" s="7"/>
      <c r="E6" s="5" t="s">
        <v>153</v>
      </c>
    </row>
    <row r="7" customFormat="false" ht="15" hidden="false" customHeight="false" outlineLevel="0" collapsed="false">
      <c r="A7" s="5" t="s">
        <v>154</v>
      </c>
      <c r="B7" s="5" t="s">
        <v>155</v>
      </c>
      <c r="C7" s="5" t="s">
        <v>156</v>
      </c>
      <c r="D7" s="7"/>
      <c r="E7" s="5" t="s">
        <v>157</v>
      </c>
    </row>
    <row r="8" customFormat="false" ht="15" hidden="false" customHeight="false" outlineLevel="0" collapsed="false">
      <c r="A8" s="5" t="s">
        <v>158</v>
      </c>
      <c r="B8" s="5" t="s">
        <v>159</v>
      </c>
      <c r="C8" s="5" t="s">
        <v>160</v>
      </c>
      <c r="D8" s="7"/>
      <c r="E8" s="5" t="s">
        <v>161</v>
      </c>
    </row>
    <row r="9" customFormat="false" ht="15" hidden="false" customHeight="false" outlineLevel="0" collapsed="false">
      <c r="A9" s="5" t="s">
        <v>162</v>
      </c>
      <c r="B9" s="5" t="s">
        <v>163</v>
      </c>
      <c r="C9" s="5" t="s">
        <v>164</v>
      </c>
      <c r="D9" s="28" t="n">
        <v>3.6</v>
      </c>
      <c r="E9" s="5" t="s">
        <v>165</v>
      </c>
    </row>
    <row r="11" customFormat="false" ht="15" hidden="false" customHeight="false" outlineLevel="0" collapsed="false">
      <c r="A11" s="2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167</v>
      </c>
    </row>
    <row r="3" customFormat="false" ht="15" hidden="false" customHeight="false" outlineLevel="0" collapsed="false">
      <c r="A3" s="3" t="s">
        <v>168</v>
      </c>
      <c r="B3" s="3" t="s">
        <v>169</v>
      </c>
      <c r="C3" s="3" t="s">
        <v>170</v>
      </c>
    </row>
    <row r="4" customFormat="false" ht="15" hidden="false" customHeight="false" outlineLevel="0" collapsed="false">
      <c r="A4" s="5" t="s">
        <v>171</v>
      </c>
      <c r="B4" s="5" t="s">
        <v>172</v>
      </c>
      <c r="C4" s="5" t="s">
        <v>173</v>
      </c>
    </row>
    <row r="5" customFormat="false" ht="15" hidden="false" customHeight="false" outlineLevel="0" collapsed="false">
      <c r="A5" s="5" t="s">
        <v>174</v>
      </c>
      <c r="B5" s="5" t="s">
        <v>175</v>
      </c>
      <c r="C5" s="5" t="s">
        <v>176</v>
      </c>
    </row>
    <row r="6" customFormat="false" ht="15" hidden="false" customHeight="false" outlineLevel="0" collapsed="false">
      <c r="A6" s="5" t="s">
        <v>177</v>
      </c>
      <c r="B6" s="5" t="s">
        <v>178</v>
      </c>
      <c r="C6" s="5" t="s">
        <v>179</v>
      </c>
    </row>
    <row r="7" customFormat="false" ht="15" hidden="false" customHeight="false" outlineLevel="0" collapsed="false">
      <c r="A7" s="5" t="s">
        <v>180</v>
      </c>
      <c r="B7" s="5" t="s">
        <v>79</v>
      </c>
      <c r="C7" s="5" t="s">
        <v>181</v>
      </c>
    </row>
    <row r="8" customFormat="false" ht="15" hidden="false" customHeight="false" outlineLevel="0" collapsed="false">
      <c r="A8" s="5" t="s">
        <v>182</v>
      </c>
      <c r="B8" s="5" t="s">
        <v>77</v>
      </c>
      <c r="C8" s="5" t="s">
        <v>183</v>
      </c>
    </row>
    <row r="9" customFormat="false" ht="15" hidden="false" customHeight="false" outlineLevel="0" collapsed="false">
      <c r="A9" s="5" t="s">
        <v>184</v>
      </c>
      <c r="B9" s="5" t="s">
        <v>185</v>
      </c>
      <c r="C9" s="5" t="s">
        <v>186</v>
      </c>
    </row>
    <row r="10" customFormat="false" ht="15" hidden="false" customHeight="false" outlineLevel="0" collapsed="false">
      <c r="A10" s="5" t="s">
        <v>187</v>
      </c>
      <c r="B10" s="5" t="s">
        <v>79</v>
      </c>
      <c r="C10" s="5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2026-10-11T11:04:32Z</dcterms:created>
  <dc:creator>openpyxl</dc:creator>
  <dc:description/>
  <dc:language>en-US</dc:language>
  <cp:lastModifiedBy/>
  <dcterms:modified xsi:type="dcterms:W3CDTF">2026-10-11T11:04:32Z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
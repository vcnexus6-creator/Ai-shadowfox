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PV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<sst xmlns="http://schemas.openxmlformats.org/spreadsheetml/2006/main" count="155" uniqueCount="107">
  <si>
    <t xml:space="preserve">Factory Shadow: Simplified NPV Model with Revenue and Cost Projections</t>
  </si>
  <si>
    <t xml:space="preserve">Present Value of Projected Cash Flows (₹ Cr)</t>
  </si>
  <si>
    <t xml:space="preserve">₹ lakh unless stated (₹1 Cr = ₹100 lakh). Blue cells on cream = inputs you can change; everything else is a formula. FY27 = Year 1 (Apr-2026 to Mar-2027).</t>
  </si>
  <si>
    <t xml:space="preserve">Key assumptions</t>
  </si>
  <si>
    <t xml:space="preserve">Unit</t>
  </si>
  <si>
    <t xml:space="preserve">Value</t>
  </si>
  <si>
    <t xml:space="preserve">Pricing tier</t>
  </si>
  <si>
    <t xml:space="preserve">Subscription (₹ L/yr)</t>
  </si>
  <si>
    <t xml:space="preserve">Implementation fee (₹ L)</t>
  </si>
  <si>
    <t xml:space="preserve">Customer mix</t>
  </si>
  <si>
    <t xml:space="preserve">Discount rate (WACC)</t>
  </si>
  <si>
    <t xml:space="preserve">%</t>
  </si>
  <si>
    <t xml:space="preserve">Starter</t>
  </si>
  <si>
    <t xml:space="preserve">Terminal growth rate</t>
  </si>
  <si>
    <t xml:space="preserve">Professional</t>
  </si>
  <si>
    <t xml:space="preserve">Annual price escalation</t>
  </si>
  <si>
    <t xml:space="preserve">Enterprise</t>
  </si>
  <si>
    <t xml:space="preserve">Annual customer churn</t>
  </si>
  <si>
    <t xml:space="preserve">Blended (weighted by mix)</t>
  </si>
  <si>
    <t xml:space="preserve">Paid pilot → annual contract</t>
  </si>
  <si>
    <t xml:space="preserve">Check: mix = 100%</t>
  </si>
  <si>
    <t xml:space="preserve">Paid pilot fee (per pilot)</t>
  </si>
  <si>
    <t xml:space="preserve">₹ lakh</t>
  </si>
  <si>
    <t xml:space="preserve">Cost to serve per live plant</t>
  </si>
  <si>
    <t xml:space="preserve">₹ lakh/yr</t>
  </si>
  <si>
    <t xml:space="preserve">Unit economics per new plant</t>
  </si>
  <si>
    <t xml:space="preserve">Delivery cost per go-live</t>
  </si>
  <si>
    <t xml:space="preserve">Annual gross profit per plant (₹ L)</t>
  </si>
  <si>
    <t xml:space="preserve">Delivery cost per pilot</t>
  </si>
  <si>
    <t xml:space="preserve">CAC payback (months)</t>
  </si>
  <si>
    <t xml:space="preserve">Sales &amp; marketing cost per new plant (CAC)</t>
  </si>
  <si>
    <t xml:space="preserve">5-year gross profit ÷ CAC (x)</t>
  </si>
  <si>
    <t xml:space="preserve">Corporate tax rate</t>
  </si>
  <si>
    <t xml:space="preserve">Steady-state EBITDA margin (terminal)</t>
  </si>
  <si>
    <t xml:space="preserve">Return on new capital (terminal)</t>
  </si>
  <si>
    <t xml:space="preserve">Year-5 live-plant target</t>
  </si>
  <si>
    <t xml:space="preserve">plants</t>
  </si>
  <si>
    <t xml:space="preserve">NPV hurdle set by the team</t>
  </si>
  <si>
    <t xml:space="preserve">₹ Cr</t>
  </si>
  <si>
    <t xml:space="preserve">Particulars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</si>
  <si>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</si>
  <si>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</si>
  <si>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</si>
  <si>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</si>
  <si>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</si>
  <si>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Terminal</t>
  </si>
  <si>
    <t xml:space="preserve">Key Insights</t>
  </si>
  <si>
    <t xml:space="preserve">Year number (t)</t>
  </si>
  <si>
    <t xml:space="preserve">#</t>
  </si>
  <si>
    <t xml:space="preserve">A. PLANTS</t>
  </si>
  <si>
    <t xml:space="preserve">[A] New plants going live</t>
  </si>
  <si>
    <t xml:space="preserve">[B] Live plants: opening</t>
  </si>
  <si>
    <t xml:space="preserve">[C] Plants churned</t>
  </si>
  <si>
    <t xml:space="preserve">[D] Live plants: closing  [B − C + A]</t>
  </si>
  <si>
    <t xml:space="preserve">[E] Average live plants (billing base)</t>
  </si>
  <si>
    <t xml:space="preserve">[F] Paid pilots run  [A ÷ conversion]</t>
  </si>
  <si>
    <t xml:space="preserve">B. REVENUE</t>
  </si>
  <si>
    <t xml:space="preserve">[G] Subscription price per plant</t>
  </si>
  <si>
    <t xml:space="preserve">[E × G] Subscription revenue</t>
  </si>
  <si>
    <t xml:space="preserve">[A × fee] Implementation revenue</t>
  </si>
  <si>
    <t xml:space="preserve">[F × fee] Paid pilot revenue</t>
  </si>
  <si>
    <t xml:space="preserve">Total revenue</t>
  </si>
  <si>
    <t xml:space="preserve">C. COSTS</t>
  </si>
  <si>
    <t xml:space="preserve">[−] Cost to serve live plants (cloud, AI, support)</t>
  </si>
  <si>
    <t xml:space="preserve">[−] Delivery: implementations and pilots</t>
  </si>
  <si>
    <t xml:space="preserve">[−] Sales &amp; marketing  [A × CAC]</t>
  </si>
  <si>
    <t xml:space="preserve">[−] Product, engineering &amp; G&amp;A team (fixed)</t>
  </si>
  <si>
    <t xml:space="preserve">Total costs</t>
  </si>
  <si>
    <t xml:space="preserve">EBITDA</t>
  </si>
  <si>
    <t xml:space="preserve">EBITDA margin</t>
  </si>
  <si>
    <t xml:space="preserve">[−] Tax (after using earlier losses)</t>
  </si>
  <si>
    <t xml:space="preserve">[−] Capex (laptops, test rig, lab)</t>
  </si>
  <si>
    <t xml:space="preserve">Free cash flow</t>
  </si>
  <si>
    <t xml:space="preserve">Cumulative free cash flow</t>
  </si>
  <si>
    <t xml:space="preserve">Discount factor  [1 ÷ (1 + WACC)^t]</t>
  </si>
  <si>
    <t xml:space="preserve">x</t>
  </si>
  <si>
    <t xml:space="preserve">PV of free cash flow</t>
  </si>
  <si>
    <t xml:space="preserve">Terminal value at FY31  [steady-state margin; g ÷ RONIC reinvested]</t>
  </si>
  <si>
    <t xml:space="preserve">PV of terminal value</t>
  </si>
  <si>
    <t xml:space="preserve">NPV</t>
  </si>
  <si>
    <t xml:space="preserve">Key outputs</t>
  </si>
  <si>
    <t xml:space="preserve">NPV (₹ Crore)</t>
  </si>
  <si>
    <t xml:space="preserve">EBITDA break-even year</t>
  </si>
  <si>
    <t xml:space="preserve">FY31 exit ARR (subscription, ₹ Cr)</t>
  </si>
  <si>
    <t xml:space="preserve">Cash payback year</t>
  </si>
  <si>
    <t xml:space="preserve">Check: Year-5 plants vs target</t>
  </si>
  <si>
    <t xml:space="preserve">Peak funding need (₹ Cr)</t>
  </si>
  <si>
    <t xml:space="preserve">Terminal value share of NPV</t>
  </si>
  <si>
    <t xml:space="preserve">FY31 revenue (₹ Cr)</t>
  </si>
  <si>
    <t xml:space="preserve">FY31 EBITDA (₹ Cr)</t>
  </si>
  <si>
    <t xml:space="preserve">Year</t>
  </si>
  <si>
    <t xml:space="preserve">Terminal value</t>
  </si>
  <si>
    <t xml:space="preserve">PV of cash flows (₹ Cr)</t>
  </si>
  <si>
    <t xml:space="preserve">Revenue (₹ Cr)</t>
  </si>
  <si>
    <t xml:space="preserve">EBITDA (₹ Cr)</t>
  </si>
  <si>
    <t xml:space="preserve">Assumptions</t>
  </si>
  <si>
    <t xml:space="preserve">•  Free cash flow = EBITDA − tax − capex. Working capital is ignored for simplicity (it is small: about 2% of revenue in the full v4 model).</t>
  </si>
  <si>
    <t xml:space="preserve">•  Plant ramp (3 → 600 live plants by FY31) follows the v4 bull case, i.e. the team's 600-plant target. Churn of 9% a year is applied to opening plants.</t>
  </si>
  <si>
    <t xml:space="preserve">•  Prices: Starter ₹15 L, Professional ₹30 L, Enterprise ₹50 L a year (mix 30 / 50 / 20), escalating 5% a year. Implementation and pilot fees are one-time and excluded from ARR.</t>
  </si>
  <si>
    <t xml:space="preserve">•  Gain-share, IoT kit resale and expansion revenue (upsell) are excluded, so revenue is conservative versus the v4 model.</t>
  </si>
  <si>
    <t xml:space="preserve">•  Costs per plant, team cost (R&amp;D + G&amp;A) and capex are taken from the v4 base case; CAC of ₹11 L per new plant matches v4's fully loaded FY29-FY31 CAC.</t>
  </si>
  <si>
    <t xml:space="preserve">•  Terminal value assumes the business settles at a 25% EBITDA margin and 5% growth, reinvesting g ÷ RONIC of profit. Cash flows are discounted at year end at 12%.</t>
  </si>
  <si>
    <t xml:space="preserve">•  Seed (₹9 Cr) and Series A (₹9 Cr) equity are financing, not project cash flows, so they do not enter the NPV. Annual totals understate the intra-year cash dip shown in the monthly v4 model.</t>
  </si>
  <si>
    <t xml:space="preserve">Helper: free cash flow incl. terminal value</t>
  </si>
  <si>
    <t xml:space="preserve">Helper: year EBITDA first positive</t>
  </si>
  <si>
    <t xml:space="preserve">t</t>
  </si>
  <si>
    <t xml:space="preserve">Helper: year cumulative cash turns positive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</si>
</sst>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%;\(0%\);\-"/>
    <numFmt numFmtId="166" formatCode="#,##0.0;\(#,##0.0\);\-"/>
    <numFmt numFmtId="167" formatCode="0.00"/>
    <numFmt numFmtId="168" formatCode="0.0\x"/>
    <numFmt numFmtId="169" formatCode="#,##0;\(#,##0\);\-"/>
    <numFmt numFmtId="170" formatCode="0.000"/>
    <numFmt numFmtId="171" formatCode="#,##0.0"/>
    <numFmt numFmtId="172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sz val="9"/>
      <name val="Arial"/>
      <family val="0"/>
      <charset val="1"/>
    </font>
    <font>
      <sz val="9"/>
      <color rgb="FF7F7F7F"/>
      <name val="Arial"/>
      <family val="0"/>
      <charset val="1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8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rgb="FFF2F2F2"/>
        <bgColor rgb="FFDDEBF7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dashed">
        <color rgb="FF7F7F7F"/>
      </left>
      <right style="dashed">
        <color rgb="FF7F7F7F"/>
      </right>
      <top style="dashed">
        <color rgb="FF7F7F7F"/>
      </top>
      <bottom/>
      <diagonal/>
    </border>
    <border diagonalUp="false" diagonalDown="false">
      <left style="dashed">
        <color rgb="FF7F7F7F"/>
      </left>
      <right style="dashed">
        <color rgb="FF7F7F7F"/>
      </right>
      <top/>
      <bottom/>
      <diagonal/>
    </border>
    <border diagonalUp="false" diagonalDown="false">
      <left style="dashed">
        <color rgb="FF7F7F7F"/>
      </left>
      <right style="dashed">
        <color rgb="FF7F7F7F"/>
      </right>
      <top/>
      <bottom style="dashed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6A6A6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70AD47"/>
      <rgbColor rgb="FFFFCC00"/>
      <rgbColor rgb="FFFF9900"/>
      <rgbColor rgb="FFFF6600"/>
      <rgbColor rgb="FF666699"/>
      <rgbColor rgb="FF878787"/>
      <rgbColor rgb="FF003366"/>
      <rgbColor rgb="FF00B050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2e75b6"/>
            </a:solidFill>
            <a:ln w="9360">
              <a:solidFill>
                <a:srgbClr val="2e75b6"/>
              </a:solidFill>
              <a:round/>
            </a:ln>
          </c:spPr>
          <c:invertIfNegative val="0"/>
          <c:dLbls>
            <c:numFmt formatCode="#,##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'NPV Model'!$C$65:$H$65</c:f>
              <c:strCache>
                <c:ptCount val="6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  <c:pt idx="5">
                  <c:v>Terminal value</c:v>
                </c:pt>
              </c:strCache>
            </c:strRef>
          </c:cat>
          <c:val>
            <c:numRef>
              <c:f>'NPV Model'!$C$66:$H$66</c:f>
              <c:numCache>
                <c:formatCode>#,##0.0;\(#,##0.0\);\-</c:formatCode>
                <c:ptCount val="6"/>
                <c:pt idx="0">
                  <c:v>-1.01544642857143</c:v>
                </c:pt>
                <c:pt idx="1">
                  <c:v>0.663707200653699</c:v>
                </c:pt>
                <c:pt idx="2">
                  <c:v>7.74035455987335</c:v>
                </c:pt>
                <c:pt idx="3">
                  <c:v>25.0296358130605</c:v>
                </c:pt>
                <c:pt idx="4">
                  <c:v>53.7127530823022</c:v>
                </c:pt>
                <c:pt idx="5">
                  <c:v>235.807071542567</c:v>
                </c:pt>
              </c:numCache>
            </c:numRef>
          </c:val>
        </c:ser>
        <c:gapWidth val="60"/>
        <c:overlap val="0"/>
        <c:axId val="2632330"/>
        <c:axId val="50656253"/>
      </c:barChart>
      <c:catAx>
        <c:axId val="26323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56253"/>
        <c:crosses val="autoZero"/>
        <c:auto val="1"/>
        <c:lblAlgn val="ctr"/>
        <c:lblOffset val="100"/>
        <c:noMultiLvlLbl val="0"/>
      </c:catAx>
      <c:valAx>
        <c:axId val="5065625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Cr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23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and EBITDA (₹ Cr)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"Revenue"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'NPV Model'!$C$65:$G$65</c:f>
              <c:multiLvlStrCache>
                <c:ptCount val="1"/>
                <c:lvl>
                  <c:pt idx="0">
                    <c:v>FY31</c:v>
                  </c:pt>
                </c:lvl>
                <c:lvl>
                  <c:pt idx="0">
                    <c:v>FY30</c:v>
                  </c:pt>
                </c:lvl>
                <c:lvl>
                  <c:pt idx="0">
                    <c:v>FY29</c:v>
                  </c:pt>
                </c:lvl>
                <c:lvl>
                  <c:pt idx="0">
                    <c:v>FY28</c:v>
                  </c:pt>
                </c:lvl>
                <c:lvl>
                  <c:pt idx="0">
                    <c:v>FY27</c:v>
                  </c:pt>
                </c:lvl>
              </c:multiLvlStrCache>
            </c:multiLvlStrRef>
          </c:cat>
          <c:val>
            <c:numRef>
              <c:f>'NPV Model'!$C$67:$G$67</c:f>
              <c:numCache>
                <c:formatCode>#,##0.0;\(#,##0.0\);\-</c:formatCode>
                <c:ptCount val="5"/>
                <c:pt idx="0">
                  <c:v>0.7565</c:v>
                </c:pt>
                <c:pt idx="1">
                  <c:v>9.19276708333333</c:v>
                </c:pt>
                <c:pt idx="2">
                  <c:v>36.446600948125</c:v>
                </c:pt>
                <c:pt idx="3">
                  <c:v>96.1482713309334</c:v>
                </c:pt>
                <c:pt idx="4">
                  <c:v>197.012210428582</c:v>
                </c:pt>
              </c:numCache>
            </c:numRef>
          </c:val>
        </c:ser>
        <c:ser>
          <c:idx val="1"/>
          <c:order val="1"/>
          <c:tx>
            <c:strRef>
              <c:f>"EBITDA"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'NPV Model'!$C$65:$G$65</c:f>
              <c:multiLvlStrCache>
                <c:ptCount val="1"/>
                <c:lvl>
                  <c:pt idx="0">
                    <c:v>FY31</c:v>
                  </c:pt>
                </c:lvl>
                <c:lvl>
                  <c:pt idx="0">
                    <c:v>FY30</c:v>
                  </c:pt>
                </c:lvl>
                <c:lvl>
                  <c:pt idx="0">
                    <c:v>FY29</c:v>
                  </c:pt>
                </c:lvl>
                <c:lvl>
                  <c:pt idx="0">
                    <c:v>FY28</c:v>
                  </c:pt>
                </c:lvl>
                <c:lvl>
                  <c:pt idx="0">
                    <c:v>FY27</c:v>
                  </c:pt>
                </c:lvl>
              </c:multiLvlStrCache>
            </c:multiLvlStrRef>
          </c:cat>
          <c:val>
            <c:numRef>
              <c:f>'NPV Model'!$C$68:$G$68</c:f>
              <c:numCache>
                <c:formatCode>#,##0.0;\(#,##0.0\);\-</c:formatCode>
                <c:ptCount val="5"/>
                <c:pt idx="0">
                  <c:v>-0.9073</c:v>
                </c:pt>
                <c:pt idx="1">
                  <c:v>1.03430575</c:v>
                </c:pt>
                <c:pt idx="2">
                  <c:v>14.952854468125</c:v>
                </c:pt>
                <c:pt idx="3">
                  <c:v>53.0728220341334</c:v>
                </c:pt>
                <c:pt idx="4">
                  <c:v>126.853631568494</c:v>
                </c:pt>
              </c:numCache>
            </c:numRef>
          </c:val>
        </c:ser>
        <c:gapWidth val="150"/>
        <c:overlap val="0"/>
        <c:axId val="64977759"/>
        <c:axId val="84894957"/>
      </c:barChart>
      <c:catAx>
        <c:axId val="64977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894957"/>
        <c:crosses val="autoZero"/>
        <c:auto val="1"/>
        <c:lblAlgn val="ctr"/>
        <c:lblOffset val="100"/>
        <c:noMultiLvlLbl val="0"/>
      </c:catAx>
      <c:valAx>
        <c:axId val="8489495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9777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0</xdr:rowOff>
    </xdr:from>
    <xdr:to>
      <xdr:col>17</xdr:col>
      <xdr:colOff>480600</xdr:colOff>
      <xdr:row>17</xdr:row>
      <xdr:rowOff>181440</xdr:rowOff>
    </xdr:to>
    <xdr:graphicFrame>
      <xdr:nvGraphicFramePr>
        <xdr:cNvPr id="0" name="Chart 1"/>
        <xdr:cNvGraphicFramePr/>
      </xdr:nvGraphicFramePr>
      <xdr:xfrm>
        <a:off x="9374400" y="324000"/>
        <a:ext cx="611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34</xdr:row>
      <xdr:rowOff>160560</xdr:rowOff>
    </xdr:from>
    <xdr:to>
      <xdr:col>17</xdr:col>
      <xdr:colOff>480600</xdr:colOff>
      <xdr:row>50</xdr:row>
      <xdr:rowOff>172080</xdr:rowOff>
    </xdr:to>
    <xdr:graphicFrame>
      <xdr:nvGraphicFramePr>
        <xdr:cNvPr id="1" name="Chart 2"/>
        <xdr:cNvGraphicFramePr/>
      </xdr:nvGraphicFramePr>
      <xdr:xfrm>
        <a:off x="9374400" y="699120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7" min="6" style="0" width="12"/>
    <col collapsed="false" customWidth="true" hidden="false" outlineLevel="0" max="8" min="8" style="0" width="13"/>
    <col collapsed="false" customWidth="true" hidden="false" outlineLevel="0" max="9" min="9" style="0" width="3"/>
    <col collapsed="false" customWidth="true" hidden="false" outlineLevel="0" max="18" min="10" style="0" width="1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J1" s="1" t="s">
        <v>1</v>
      </c>
      <c r="K1" s="1"/>
      <c r="L1" s="1"/>
      <c r="M1" s="1"/>
      <c r="N1" s="1"/>
      <c r="O1" s="1"/>
      <c r="P1" s="1"/>
      <c r="Q1" s="1"/>
      <c r="R1" s="1"/>
    </row>
    <row r="2" customFormat="false" ht="15" hidden="false" customHeight="false" outlineLevel="0" collapsed="false">
      <c r="A2" s="2" t="s">
        <v>2</v>
      </c>
    </row>
    <row r="4" customFormat="false" ht="30" hidden="false" customHeight="true" outlineLevel="0" collapsed="false">
      <c r="A4" s="3" t="s">
        <v>3</v>
      </c>
      <c r="B4" s="3" t="s">
        <v>4</v>
      </c>
      <c r="C4" s="3" t="s">
        <v>5</v>
      </c>
      <c r="E4" s="3" t="s">
        <v>6</v>
      </c>
      <c r="F4" s="4" t="s">
        <v>7</v>
      </c>
      <c r="G4" s="4" t="s">
        <v>8</v>
      </c>
      <c r="H4" s="5" t="s">
        <v>9</v>
      </c>
    </row>
    <row r="5" customFormat="false" ht="15" hidden="false" customHeight="false" outlineLevel="0" collapsed="false">
      <c r="A5" s="6" t="s">
        <v>10</v>
      </c>
      <c r="B5" s="6" t="s">
        <v>11</v>
      </c>
      <c r="C5" s="7" t="n">
        <v>0.12</v>
      </c>
      <c r="E5" s="6" t="s">
        <v>12</v>
      </c>
      <c r="F5" s="8" t="n">
        <v>15</v>
      </c>
      <c r="G5" s="8" t="n">
        <v>3</v>
      </c>
      <c r="H5" s="7" t="n">
        <v>0.3</v>
      </c>
    </row>
    <row r="6" customFormat="false" ht="15" hidden="false" customHeight="false" outlineLevel="0" collapsed="false">
      <c r="A6" s="6" t="s">
        <v>13</v>
      </c>
      <c r="B6" s="6" t="s">
        <v>11</v>
      </c>
      <c r="C6" s="7" t="n">
        <v>0.05</v>
      </c>
      <c r="E6" s="6" t="s">
        <v>14</v>
      </c>
      <c r="F6" s="8" t="n">
        <v>30</v>
      </c>
      <c r="G6" s="8" t="n">
        <v>6</v>
      </c>
      <c r="H6" s="7" t="n">
        <v>0.5</v>
      </c>
    </row>
    <row r="7" customFormat="false" ht="15" hidden="false" customHeight="false" outlineLevel="0" collapsed="false">
      <c r="A7" s="6" t="s">
        <v>15</v>
      </c>
      <c r="B7" s="6" t="s">
        <v>11</v>
      </c>
      <c r="C7" s="7" t="n">
        <v>0.05</v>
      </c>
      <c r="E7" s="6" t="s">
        <v>16</v>
      </c>
      <c r="F7" s="8" t="n">
        <v>50</v>
      </c>
      <c r="G7" s="8" t="n">
        <v>12</v>
      </c>
      <c r="H7" s="7" t="n">
        <v>0.2</v>
      </c>
    </row>
    <row r="8" customFormat="false" ht="15" hidden="false" customHeight="false" outlineLevel="0" collapsed="false">
      <c r="A8" s="6" t="s">
        <v>17</v>
      </c>
      <c r="B8" s="6" t="s">
        <v>11</v>
      </c>
      <c r="C8" s="7" t="n">
        <v>0.09</v>
      </c>
      <c r="E8" s="9" t="s">
        <v>18</v>
      </c>
      <c r="F8" s="10" t="n">
        <f aca="false">SUMPRODUCT(F5:F7,$H$5:$H$7)</f>
        <v>29.5</v>
      </c>
      <c r="G8" s="10" t="n">
        <f aca="false">SUMPRODUCT(G5:G7,$H$5:$H$7)</f>
        <v>6.3</v>
      </c>
      <c r="H8" s="11" t="n">
        <f aca="false">SUM(H5:H7)</f>
        <v>1</v>
      </c>
    </row>
    <row r="9" customFormat="false" ht="15" hidden="false" customHeight="false" outlineLevel="0" collapsed="false">
      <c r="A9" s="6" t="s">
        <v>19</v>
      </c>
      <c r="B9" s="6" t="s">
        <v>11</v>
      </c>
      <c r="C9" s="7" t="n">
        <v>0.6</v>
      </c>
      <c r="E9" s="6" t="s">
        <v>20</v>
      </c>
      <c r="F9" s="9" t="str">
        <f aca="false">IF(ROUND(H8,4)=1,"OK","FIX MIX")</f>
        <v>OK</v>
      </c>
    </row>
    <row r="10" customFormat="false" ht="15" hidden="false" customHeight="false" outlineLevel="0" collapsed="false">
      <c r="A10" s="6" t="s">
        <v>21</v>
      </c>
      <c r="B10" s="6" t="s">
        <v>22</v>
      </c>
      <c r="C10" s="8" t="n">
        <v>2.5</v>
      </c>
    </row>
    <row r="11" customFormat="false" ht="15" hidden="false" customHeight="false" outlineLevel="0" collapsed="false">
      <c r="A11" s="6" t="s">
        <v>23</v>
      </c>
      <c r="B11" s="6" t="s">
        <v>24</v>
      </c>
      <c r="C11" s="12" t="n">
        <v>2.72</v>
      </c>
      <c r="E11" s="3" t="s">
        <v>25</v>
      </c>
      <c r="F11" s="3"/>
      <c r="G11" s="3"/>
      <c r="H11" s="3" t="s">
        <v>5</v>
      </c>
    </row>
    <row r="12" customFormat="false" ht="15" hidden="false" customHeight="false" outlineLevel="0" collapsed="false">
      <c r="A12" s="6" t="s">
        <v>26</v>
      </c>
      <c r="B12" s="6" t="s">
        <v>22</v>
      </c>
      <c r="C12" s="8" t="n">
        <v>3.1</v>
      </c>
      <c r="E12" s="6" t="s">
        <v>27</v>
      </c>
      <c r="F12" s="6"/>
      <c r="G12" s="6"/>
      <c r="H12" s="13" t="n">
        <f aca="false">$F$8-$C$11</f>
        <v>26.78</v>
      </c>
    </row>
    <row r="13" customFormat="false" ht="15" hidden="false" customHeight="false" outlineLevel="0" collapsed="false">
      <c r="A13" s="6" t="s">
        <v>28</v>
      </c>
      <c r="B13" s="6" t="s">
        <v>22</v>
      </c>
      <c r="C13" s="8" t="n">
        <v>1</v>
      </c>
      <c r="E13" s="6" t="s">
        <v>29</v>
      </c>
      <c r="F13" s="6"/>
      <c r="G13" s="6"/>
      <c r="H13" s="13" t="n">
        <f aca="false">IFERROR($C$14/H12*12,0)</f>
        <v>4.92905153099328</v>
      </c>
    </row>
    <row r="14" customFormat="false" ht="15" hidden="false" customHeight="false" outlineLevel="0" collapsed="false">
      <c r="A14" s="6" t="s">
        <v>30</v>
      </c>
      <c r="B14" s="6" t="s">
        <v>22</v>
      </c>
      <c r="C14" s="8" t="n">
        <v>11</v>
      </c>
      <c r="E14" s="6" t="s">
        <v>31</v>
      </c>
      <c r="F14" s="6"/>
      <c r="G14" s="6"/>
      <c r="H14" s="14" t="n">
        <f aca="false">IFERROR(H12*5/$C$14,0)</f>
        <v>12.1727272727273</v>
      </c>
    </row>
    <row r="15" customFormat="false" ht="15" hidden="false" customHeight="false" outlineLevel="0" collapsed="false">
      <c r="A15" s="6" t="s">
        <v>32</v>
      </c>
      <c r="B15" s="6" t="s">
        <v>11</v>
      </c>
      <c r="C15" s="7" t="n">
        <v>0.25</v>
      </c>
    </row>
    <row r="16" customFormat="false" ht="15" hidden="false" customHeight="false" outlineLevel="0" collapsed="false">
      <c r="A16" s="6" t="s">
        <v>33</v>
      </c>
      <c r="B16" s="6" t="s">
        <v>11</v>
      </c>
      <c r="C16" s="7" t="n">
        <v>0.25</v>
      </c>
    </row>
    <row r="17" customFormat="false" ht="15" hidden="false" customHeight="false" outlineLevel="0" collapsed="false">
      <c r="A17" s="6" t="s">
        <v>34</v>
      </c>
      <c r="B17" s="6" t="s">
        <v>11</v>
      </c>
      <c r="C17" s="7" t="n">
        <v>0.2</v>
      </c>
    </row>
    <row r="18" customFormat="false" ht="15" hidden="false" customHeight="false" outlineLevel="0" collapsed="false">
      <c r="A18" s="6" t="s">
        <v>35</v>
      </c>
      <c r="B18" s="6" t="s">
        <v>36</v>
      </c>
      <c r="C18" s="15" t="n">
        <v>600</v>
      </c>
    </row>
    <row r="19" customFormat="false" ht="15" hidden="false" customHeight="false" outlineLevel="0" collapsed="false">
      <c r="A19" s="6" t="s">
        <v>37</v>
      </c>
      <c r="B19" s="6" t="s">
        <v>38</v>
      </c>
      <c r="C19" s="15" t="n">
        <v>10</v>
      </c>
    </row>
    <row r="22" customFormat="false" ht="17.35" hidden="false" customHeight="false" outlineLevel="0" collapsed="false">
      <c r="A22" s="3" t="s">
        <v>39</v>
      </c>
      <c r="B22" s="3" t="s">
        <v>4</v>
      </c>
      <c r="C22" s="5" t="s">
        <v>40</v>
      </c>
      <c r="D22" s="5" t="s">
        <v>41</v>
      </c>
      <c r="E22" s="5" t="s">
        <v>42</v>
      </c>
      <c r="F22" s="5" t="s">
        <v>43</v>
      </c>
      <c r="G22" s="5" t="s">
        <v>44</v>
      </c>
      <c r="H22" s="5" t="s">
        <v>45</v>
      </c>
      <c r="J22" s="16" t="s">
        <v>46</v>
      </c>
      <c r="K22" s="16"/>
      <c r="L22" s="16"/>
      <c r="M22" s="16"/>
      <c r="N22" s="16"/>
      <c r="O22" s="16"/>
      <c r="P22" s="16"/>
      <c r="Q22" s="16"/>
      <c r="R22" s="16"/>
    </row>
    <row r="23" customFormat="false" ht="15" hidden="false" customHeight="false" outlineLevel="0" collapsed="false">
      <c r="A23" s="6" t="s">
        <v>47</v>
      </c>
      <c r="B23" s="6" t="s">
        <v>48</v>
      </c>
      <c r="C23" s="17" t="n">
        <v>1</v>
      </c>
      <c r="D23" s="17" t="n">
        <v>2</v>
      </c>
      <c r="E23" s="17" t="n">
        <v>3</v>
      </c>
      <c r="F23" s="17" t="n">
        <v>4</v>
      </c>
      <c r="G23" s="17" t="n">
        <v>5</v>
      </c>
      <c r="J23" s="18" t="str">
        <f aca="false">"Factory Shadow delivers an NPV of ₹"&amp;TEXT(C58,"#,##0")&amp;" Cr at a "&amp;TEXT($C$5,"0%")&amp;" discount rate, well above the team's ₹"&amp;TEXT($C$19,"0")&amp;" Cr hurdle. Exit ARR in FY31 is ₹"&amp;TEXT(C59,"#,##0")&amp;" Cr from "&amp;TEXT(G29,"#,##0")&amp;" live plants."</f>
        <v>Factory Shadow delivers an NPV of ₹322 Cr at a 12% discount rate, well above the team's ₹10 Cr hurdle. Exit ARR in FY31 is ₹215 Cr from 601 live plants.</v>
      </c>
      <c r="K23" s="18"/>
      <c r="L23" s="18"/>
      <c r="M23" s="18"/>
      <c r="N23" s="18"/>
      <c r="O23" s="18"/>
      <c r="P23" s="18"/>
      <c r="Q23" s="18"/>
      <c r="R23" s="18"/>
    </row>
    <row r="24" customFormat="false" ht="15" hidden="false" customHeight="false" outlineLevel="0" collapsed="false">
      <c r="J24" s="18"/>
      <c r="K24" s="18"/>
      <c r="L24" s="18"/>
      <c r="M24" s="18"/>
      <c r="N24" s="18"/>
      <c r="O24" s="18"/>
      <c r="P24" s="18"/>
      <c r="Q24" s="18"/>
      <c r="R24" s="18"/>
    </row>
    <row r="25" customFormat="false" ht="15" hidden="false" customHeight="false" outlineLevel="0" collapsed="false">
      <c r="A25" s="19" t="s">
        <v>49</v>
      </c>
      <c r="J25" s="18" t="str">
        <f aca="false">"EBITDA turns positive in "&amp;H58&amp;" and cumulative free cash flow turns positive in "&amp;H59&amp;". On annual figures the peak cash need is about ₹"&amp;TEXT(H60,"0.0")&amp;" Cr; the monthly v4 model shows ₹6.9 Cr, which the ₹9 Cr seed covers."</f>
        <v>EBITDA turns positive in FY28 and cumulative free cash flow turns positive in FY29. On annual figures the peak cash need is about ₹1.1 Cr; the monthly v4 model shows ₹6.9 Cr, which the ₹9 Cr seed covers.</v>
      </c>
      <c r="K25" s="18"/>
      <c r="L25" s="18"/>
      <c r="M25" s="18"/>
      <c r="N25" s="18"/>
      <c r="O25" s="18"/>
      <c r="P25" s="18"/>
      <c r="Q25" s="18"/>
      <c r="R25" s="18"/>
    </row>
    <row r="26" customFormat="false" ht="15" hidden="false" customHeight="false" outlineLevel="0" collapsed="false">
      <c r="A26" s="6" t="s">
        <v>50</v>
      </c>
      <c r="B26" s="6" t="s">
        <v>48</v>
      </c>
      <c r="C26" s="15" t="n">
        <v>3</v>
      </c>
      <c r="D26" s="15" t="n">
        <v>32</v>
      </c>
      <c r="E26" s="15" t="n">
        <v>96</v>
      </c>
      <c r="F26" s="15" t="n">
        <v>198</v>
      </c>
      <c r="G26" s="15" t="n">
        <v>315</v>
      </c>
      <c r="J26" s="18"/>
      <c r="K26" s="18"/>
      <c r="L26" s="18"/>
      <c r="M26" s="18"/>
      <c r="N26" s="18"/>
      <c r="O26" s="18"/>
      <c r="P26" s="18"/>
      <c r="Q26" s="18"/>
      <c r="R26" s="18"/>
    </row>
    <row r="27" customFormat="false" ht="15" hidden="false" customHeight="false" outlineLevel="0" collapsed="false">
      <c r="A27" s="6" t="s">
        <v>51</v>
      </c>
      <c r="B27" s="6" t="s">
        <v>48</v>
      </c>
      <c r="C27" s="17" t="n">
        <v>0</v>
      </c>
      <c r="D27" s="17" t="n">
        <f aca="false">C29</f>
        <v>3</v>
      </c>
      <c r="E27" s="17" t="n">
        <f aca="false">D29</f>
        <v>34.73</v>
      </c>
      <c r="F27" s="17" t="n">
        <f aca="false">E29</f>
        <v>127.6043</v>
      </c>
      <c r="G27" s="17" t="n">
        <f aca="false">F29</f>
        <v>314.119913</v>
      </c>
      <c r="J27" s="18" t="str">
        <f aca="false">"Revenue grows from ₹"&amp;TEXT(C38/100,"0.0")&amp;" Cr in FY27 to ₹"&amp;TEXT(G38/100,"#,##0")&amp;" Cr in FY31 as live plants reach "&amp;TEXT(G29,"#,##0")&amp;"."</f>
        <v>Revenue grows from ₹0.8 Cr in FY27 to ₹197 Cr in FY31 as live plants reach 601.</v>
      </c>
      <c r="K27" s="18"/>
      <c r="L27" s="18"/>
      <c r="M27" s="18"/>
      <c r="N27" s="18"/>
      <c r="O27" s="18"/>
      <c r="P27" s="18"/>
      <c r="Q27" s="18"/>
      <c r="R27" s="18"/>
    </row>
    <row r="28" customFormat="false" ht="15" hidden="false" customHeight="false" outlineLevel="0" collapsed="false">
      <c r="A28" s="6" t="s">
        <v>52</v>
      </c>
      <c r="B28" s="6" t="s">
        <v>48</v>
      </c>
      <c r="C28" s="13" t="n">
        <f aca="false">C27*$C$8</f>
        <v>0</v>
      </c>
      <c r="D28" s="13" t="n">
        <f aca="false">D27*$C$8</f>
        <v>0.27</v>
      </c>
      <c r="E28" s="13" t="n">
        <f aca="false">E27*$C$8</f>
        <v>3.1257</v>
      </c>
      <c r="F28" s="13" t="n">
        <f aca="false">F27*$C$8</f>
        <v>11.484387</v>
      </c>
      <c r="G28" s="13" t="n">
        <f aca="false">G27*$C$8</f>
        <v>28.27079217</v>
      </c>
      <c r="J28" s="18"/>
      <c r="K28" s="18"/>
      <c r="L28" s="18"/>
      <c r="M28" s="18"/>
      <c r="N28" s="18"/>
      <c r="O28" s="18"/>
      <c r="P28" s="18"/>
      <c r="Q28" s="18"/>
      <c r="R28" s="18"/>
    </row>
    <row r="29" customFormat="false" ht="15" hidden="false" customHeight="false" outlineLevel="0" collapsed="false">
      <c r="A29" s="20" t="s">
        <v>53</v>
      </c>
      <c r="B29" s="21" t="s">
        <v>48</v>
      </c>
      <c r="C29" s="22" t="n">
        <f aca="false">C27-C28+C26</f>
        <v>3</v>
      </c>
      <c r="D29" s="22" t="n">
        <f aca="false">D27-D28+D26</f>
        <v>34.73</v>
      </c>
      <c r="E29" s="22" t="n">
        <f aca="false">E27-E28+E26</f>
        <v>127.6043</v>
      </c>
      <c r="F29" s="22" t="n">
        <f aca="false">F27-F28+F26</f>
        <v>314.119913</v>
      </c>
      <c r="G29" s="22" t="n">
        <f aca="false">G27-G28+G26</f>
        <v>600.84912083</v>
      </c>
      <c r="J29" s="18" t="str">
        <f aca="false">"Subscription is "&amp;TEXT(G35/G38,"0%")&amp;" of FY31 revenue, so most value is recurring. Implementation and pilot fees fund deployment rather than drive value."</f>
        <v>Subscription is 83% of FY31 revenue, so most value is recurring. Implementation and pilot fees fund deployment rather than drive value.</v>
      </c>
      <c r="K29" s="18"/>
      <c r="L29" s="18"/>
      <c r="M29" s="18"/>
      <c r="N29" s="18"/>
      <c r="O29" s="18"/>
      <c r="P29" s="18"/>
      <c r="Q29" s="18"/>
      <c r="R29" s="18"/>
    </row>
    <row r="30" customFormat="false" ht="15" hidden="false" customHeight="false" outlineLevel="0" collapsed="false">
      <c r="A30" s="6" t="s">
        <v>54</v>
      </c>
      <c r="B30" s="6" t="s">
        <v>48</v>
      </c>
      <c r="C30" s="13" t="n">
        <f aca="false">(C27+C29)/2</f>
        <v>1.5</v>
      </c>
      <c r="D30" s="13" t="n">
        <f aca="false">(D27+D29)/2</f>
        <v>18.865</v>
      </c>
      <c r="E30" s="13" t="n">
        <f aca="false">(E27+E29)/2</f>
        <v>81.16715</v>
      </c>
      <c r="F30" s="13" t="n">
        <f aca="false">(F27+F29)/2</f>
        <v>220.8621065</v>
      </c>
      <c r="G30" s="13" t="n">
        <f aca="false">(G27+G29)/2</f>
        <v>457.484516915</v>
      </c>
      <c r="J30" s="18"/>
      <c r="K30" s="18"/>
      <c r="L30" s="18"/>
      <c r="M30" s="18"/>
      <c r="N30" s="18"/>
      <c r="O30" s="18"/>
      <c r="P30" s="18"/>
      <c r="Q30" s="18"/>
      <c r="R30" s="18"/>
    </row>
    <row r="31" customFormat="false" ht="15" hidden="false" customHeight="false" outlineLevel="0" collapsed="false">
      <c r="A31" s="6" t="s">
        <v>55</v>
      </c>
      <c r="B31" s="6" t="s">
        <v>48</v>
      </c>
      <c r="C31" s="17" t="n">
        <f aca="false">C26/$C$9</f>
        <v>5</v>
      </c>
      <c r="D31" s="17" t="n">
        <f aca="false">D26/$C$9</f>
        <v>53.3333333333333</v>
      </c>
      <c r="E31" s="17" t="n">
        <f aca="false">E26/$C$9</f>
        <v>160</v>
      </c>
      <c r="F31" s="17" t="n">
        <f aca="false">F26/$C$9</f>
        <v>330</v>
      </c>
      <c r="G31" s="17" t="n">
        <f aca="false">G26/$C$9</f>
        <v>525</v>
      </c>
      <c r="J31" s="18" t="str">
        <f aca="false">"Each new plant earns about ₹"&amp;TEXT(H12,"0.0")&amp;" L of gross profit a year against a ₹"&amp;TEXT($C$14,"0")&amp;" L acquisition cost: payback in about "&amp;TEXT(H13,"0")&amp;" months."</f>
        <v>Each new plant earns about ₹26.8 L of gross profit a year against a ₹11 L acquisition cost: payback in about 5 months.</v>
      </c>
      <c r="K31" s="18"/>
      <c r="L31" s="18"/>
      <c r="M31" s="18"/>
      <c r="N31" s="18"/>
      <c r="O31" s="18"/>
      <c r="P31" s="18"/>
      <c r="Q31" s="18"/>
      <c r="R31" s="18"/>
    </row>
    <row r="32" customFormat="false" ht="15" hidden="false" customHeight="false" outlineLevel="0" collapsed="false">
      <c r="J32" s="18"/>
      <c r="K32" s="18"/>
      <c r="L32" s="18"/>
      <c r="M32" s="18"/>
      <c r="N32" s="18"/>
      <c r="O32" s="18"/>
      <c r="P32" s="18"/>
      <c r="Q32" s="18"/>
      <c r="R32" s="18"/>
    </row>
    <row r="33" customFormat="false" ht="15" hidden="false" customHeight="false" outlineLevel="0" collapsed="false">
      <c r="A33" s="19" t="s">
        <v>56</v>
      </c>
      <c r="J33" s="18" t="str">
        <f aca="false">"The terminal value is "&amp;TEXT(H61,"0%")&amp;" of NPV. It assumes a "&amp;TEXT($C$16,"0%")&amp;" steady-state EBITDA margin, far below the "&amp;TEXT(G47,"0%")&amp;" modelled in FY31, so the valuation does not rely on peak margins."</f>
        <v>The terminal value is 73% of NPV. It assumes a 25% steady-state EBITDA margin, far below the 64% modelled in FY31, so the valuation does not rely on peak margins.</v>
      </c>
      <c r="K33" s="18"/>
      <c r="L33" s="18"/>
      <c r="M33" s="18"/>
      <c r="N33" s="18"/>
      <c r="O33" s="18"/>
      <c r="P33" s="18"/>
      <c r="Q33" s="18"/>
      <c r="R33" s="18"/>
    </row>
    <row r="34" customFormat="false" ht="15" hidden="false" customHeight="false" outlineLevel="0" collapsed="false">
      <c r="A34" s="6" t="s">
        <v>57</v>
      </c>
      <c r="B34" s="6" t="s">
        <v>22</v>
      </c>
      <c r="C34" s="13" t="n">
        <f aca="false">$F$8*(1+$C$7)^(C23-1)</f>
        <v>29.5</v>
      </c>
      <c r="D34" s="13" t="n">
        <f aca="false">$F$8*(1+$C$7)^(D23-1)</f>
        <v>30.975</v>
      </c>
      <c r="E34" s="13" t="n">
        <f aca="false">$F$8*(1+$C$7)^(E23-1)</f>
        <v>32.52375</v>
      </c>
      <c r="F34" s="13" t="n">
        <f aca="false">$F$8*(1+$C$7)^(F23-1)</f>
        <v>34.1499375</v>
      </c>
      <c r="G34" s="13" t="n">
        <f aca="false">$F$8*(1+$C$7)^(G23-1)</f>
        <v>35.857434375</v>
      </c>
      <c r="J34" s="18"/>
      <c r="K34" s="18"/>
      <c r="L34" s="18"/>
      <c r="M34" s="18"/>
      <c r="N34" s="18"/>
      <c r="O34" s="18"/>
      <c r="P34" s="18"/>
      <c r="Q34" s="18"/>
      <c r="R34" s="18"/>
    </row>
    <row r="35" customFormat="false" ht="15" hidden="false" customHeight="false" outlineLevel="0" collapsed="false">
      <c r="A35" s="6" t="s">
        <v>58</v>
      </c>
      <c r="B35" s="6" t="s">
        <v>22</v>
      </c>
      <c r="C35" s="17" t="n">
        <f aca="false">C30*C34</f>
        <v>44.25</v>
      </c>
      <c r="D35" s="17" t="n">
        <f aca="false">D30*D34</f>
        <v>584.343375</v>
      </c>
      <c r="E35" s="17" t="n">
        <f aca="false">E30*E34</f>
        <v>2639.8600948125</v>
      </c>
      <c r="F35" s="17" t="n">
        <f aca="false">F30*F34</f>
        <v>7542.42713309334</v>
      </c>
      <c r="G35" s="17" t="n">
        <f aca="false">G30*G34</f>
        <v>16404.2210428582</v>
      </c>
    </row>
    <row r="36" customFormat="false" ht="15" hidden="false" customHeight="false" outlineLevel="0" collapsed="false">
      <c r="A36" s="6" t="s">
        <v>59</v>
      </c>
      <c r="B36" s="6" t="s">
        <v>22</v>
      </c>
      <c r="C36" s="17" t="n">
        <f aca="false">C26*$G$8</f>
        <v>18.9</v>
      </c>
      <c r="D36" s="17" t="n">
        <f aca="false">D26*$G$8</f>
        <v>201.6</v>
      </c>
      <c r="E36" s="17" t="n">
        <f aca="false">E26*$G$8</f>
        <v>604.8</v>
      </c>
      <c r="F36" s="17" t="n">
        <f aca="false">F26*$G$8</f>
        <v>1247.4</v>
      </c>
      <c r="G36" s="17" t="n">
        <f aca="false">G26*$G$8</f>
        <v>1984.5</v>
      </c>
    </row>
    <row r="37" customFormat="false" ht="15" hidden="false" customHeight="false" outlineLevel="0" collapsed="false">
      <c r="A37" s="6" t="s">
        <v>60</v>
      </c>
      <c r="B37" s="6" t="s">
        <v>22</v>
      </c>
      <c r="C37" s="17" t="n">
        <f aca="false">C31*$C$10</f>
        <v>12.5</v>
      </c>
      <c r="D37" s="17" t="n">
        <f aca="false">D31*$C$10</f>
        <v>133.333333333333</v>
      </c>
      <c r="E37" s="17" t="n">
        <f aca="false">E31*$C$10</f>
        <v>400</v>
      </c>
      <c r="F37" s="17" t="n">
        <f aca="false">F31*$C$10</f>
        <v>825</v>
      </c>
      <c r="G37" s="17" t="n">
        <f aca="false">G31*$C$10</f>
        <v>1312.5</v>
      </c>
    </row>
    <row r="38" customFormat="false" ht="15" hidden="false" customHeight="false" outlineLevel="0" collapsed="false">
      <c r="A38" s="20" t="s">
        <v>61</v>
      </c>
      <c r="B38" s="21" t="s">
        <v>22</v>
      </c>
      <c r="C38" s="22" t="n">
        <f aca="false">SUM(C35:C37)</f>
        <v>75.65</v>
      </c>
      <c r="D38" s="22" t="n">
        <f aca="false">SUM(D35:D37)</f>
        <v>919.276708333333</v>
      </c>
      <c r="E38" s="22" t="n">
        <f aca="false">SUM(E35:E37)</f>
        <v>3644.6600948125</v>
      </c>
      <c r="F38" s="22" t="n">
        <f aca="false">SUM(F35:F37)</f>
        <v>9614.82713309334</v>
      </c>
      <c r="G38" s="22" t="n">
        <f aca="false">SUM(G35:G37)</f>
        <v>19701.2210428582</v>
      </c>
    </row>
    <row r="40" customFormat="false" ht="15" hidden="false" customHeight="false" outlineLevel="0" collapsed="false">
      <c r="A40" s="19" t="s">
        <v>62</v>
      </c>
    </row>
    <row r="41" customFormat="false" ht="15" hidden="false" customHeight="false" outlineLevel="0" collapsed="false">
      <c r="A41" s="6" t="s">
        <v>63</v>
      </c>
      <c r="B41" s="6" t="s">
        <v>22</v>
      </c>
      <c r="C41" s="17" t="n">
        <f aca="false">-C30*$C$11</f>
        <v>-4.08</v>
      </c>
      <c r="D41" s="17" t="n">
        <f aca="false">-D30*$C$11</f>
        <v>-51.3128</v>
      </c>
      <c r="E41" s="17" t="n">
        <f aca="false">-E30*$C$11</f>
        <v>-220.774648</v>
      </c>
      <c r="F41" s="17" t="n">
        <f aca="false">-F30*$C$11</f>
        <v>-600.74492968</v>
      </c>
      <c r="G41" s="17" t="n">
        <f aca="false">-G30*$C$11</f>
        <v>-1244.3578860088</v>
      </c>
    </row>
    <row r="42" customFormat="false" ht="15" hidden="false" customHeight="false" outlineLevel="0" collapsed="false">
      <c r="A42" s="6" t="s">
        <v>64</v>
      </c>
      <c r="B42" s="6" t="s">
        <v>22</v>
      </c>
      <c r="C42" s="17" t="n">
        <f aca="false">-(C26*$C$12+C31*$C$13)</f>
        <v>-14.3</v>
      </c>
      <c r="D42" s="17" t="n">
        <f aca="false">-(D26*$C$12+D31*$C$13)</f>
        <v>-152.533333333333</v>
      </c>
      <c r="E42" s="17" t="n">
        <f aca="false">-(E26*$C$12+E31*$C$13)</f>
        <v>-457.6</v>
      </c>
      <c r="F42" s="17" t="n">
        <f aca="false">-(F26*$C$12+F31*$C$13)</f>
        <v>-943.8</v>
      </c>
      <c r="G42" s="17" t="n">
        <f aca="false">-(G26*$C$12+G31*$C$13)</f>
        <v>-1501.5</v>
      </c>
    </row>
    <row r="43" customFormat="false" ht="15" hidden="false" customHeight="false" outlineLevel="0" collapsed="false">
      <c r="A43" s="6" t="s">
        <v>65</v>
      </c>
      <c r="B43" s="6" t="s">
        <v>22</v>
      </c>
      <c r="C43" s="17" t="n">
        <f aca="false">-C26*$C$14</f>
        <v>-33</v>
      </c>
      <c r="D43" s="17" t="n">
        <f aca="false">-D26*$C$14</f>
        <v>-352</v>
      </c>
      <c r="E43" s="17" t="n">
        <f aca="false">-E26*$C$14</f>
        <v>-1056</v>
      </c>
      <c r="F43" s="17" t="n">
        <f aca="false">-F26*$C$14</f>
        <v>-2178</v>
      </c>
      <c r="G43" s="17" t="n">
        <f aca="false">-G26*$C$14</f>
        <v>-3465</v>
      </c>
    </row>
    <row r="44" customFormat="false" ht="15" hidden="false" customHeight="false" outlineLevel="0" collapsed="false">
      <c r="A44" s="6" t="s">
        <v>66</v>
      </c>
      <c r="B44" s="6" t="s">
        <v>22</v>
      </c>
      <c r="C44" s="15" t="n">
        <v>-115</v>
      </c>
      <c r="D44" s="15" t="n">
        <v>-260</v>
      </c>
      <c r="E44" s="15" t="n">
        <v>-415</v>
      </c>
      <c r="F44" s="15" t="n">
        <v>-585</v>
      </c>
      <c r="G44" s="15" t="n">
        <v>-805</v>
      </c>
    </row>
    <row r="45" customFormat="false" ht="15" hidden="false" customHeight="false" outlineLevel="0" collapsed="false">
      <c r="A45" s="9" t="s">
        <v>67</v>
      </c>
      <c r="B45" s="6" t="s">
        <v>22</v>
      </c>
      <c r="C45" s="23" t="n">
        <f aca="false">SUM(C41:C44)</f>
        <v>-166.38</v>
      </c>
      <c r="D45" s="23" t="n">
        <f aca="false">SUM(D41:D44)</f>
        <v>-815.846133333333</v>
      </c>
      <c r="E45" s="23" t="n">
        <f aca="false">SUM(E41:E44)</f>
        <v>-2149.374648</v>
      </c>
      <c r="F45" s="23" t="n">
        <f aca="false">SUM(F41:F44)</f>
        <v>-4307.54492968</v>
      </c>
      <c r="G45" s="23" t="n">
        <f aca="false">SUM(G41:G44)</f>
        <v>-7015.8578860088</v>
      </c>
    </row>
    <row r="46" customFormat="false" ht="15" hidden="false" customHeight="false" outlineLevel="0" collapsed="false">
      <c r="A46" s="20" t="s">
        <v>68</v>
      </c>
      <c r="B46" s="21" t="s">
        <v>22</v>
      </c>
      <c r="C46" s="22" t="n">
        <f aca="false">C38+C45</f>
        <v>-90.73</v>
      </c>
      <c r="D46" s="22" t="n">
        <f aca="false">D38+D45</f>
        <v>103.430575</v>
      </c>
      <c r="E46" s="22" t="n">
        <f aca="false">E38+E45</f>
        <v>1495.2854468125</v>
      </c>
      <c r="F46" s="22" t="n">
        <f aca="false">F38+F45</f>
        <v>5307.28220341334</v>
      </c>
      <c r="G46" s="22" t="n">
        <f aca="false">G38+G45</f>
        <v>12685.3631568494</v>
      </c>
    </row>
    <row r="47" customFormat="false" ht="15" hidden="false" customHeight="false" outlineLevel="0" collapsed="false">
      <c r="A47" s="6" t="s">
        <v>69</v>
      </c>
      <c r="B47" s="6" t="s">
        <v>11</v>
      </c>
      <c r="C47" s="24" t="n">
        <f aca="false">IFERROR(C46/C38,0)</f>
        <v>-1.19933906146728</v>
      </c>
      <c r="D47" s="24" t="n">
        <f aca="false">IFERROR(D46/D38,0)</f>
        <v>0.112512994251232</v>
      </c>
      <c r="E47" s="24" t="n">
        <f aca="false">IFERROR(E46/E38,0)</f>
        <v>0.410267461961888</v>
      </c>
      <c r="F47" s="24" t="n">
        <f aca="false">IFERROR(F46/F38,0)</f>
        <v>0.551989352481042</v>
      </c>
      <c r="G47" s="24" t="n">
        <f aca="false">IFERROR(G46/G38,0)</f>
        <v>0.643887154468931</v>
      </c>
    </row>
    <row r="48" customFormat="false" ht="15" hidden="false" customHeight="false" outlineLevel="0" collapsed="false">
      <c r="A48" s="6" t="s">
        <v>70</v>
      </c>
      <c r="B48" s="6" t="s">
        <v>22</v>
      </c>
      <c r="C48" s="17" t="n">
        <f aca="false">-MAX(0,MIN(C46,SUM($C46:C46)))*$C$15</f>
        <v>-0</v>
      </c>
      <c r="D48" s="17" t="n">
        <f aca="false">-MAX(0,MIN(D46,SUM($C46:D46)))*$C$15</f>
        <v>-3.17514375</v>
      </c>
      <c r="E48" s="17" t="n">
        <f aca="false">-MAX(0,MIN(E46,SUM($C46:E46)))*$C$15</f>
        <v>-373.821361703125</v>
      </c>
      <c r="F48" s="17" t="n">
        <f aca="false">-MAX(0,MIN(F46,SUM($C46:F46)))*$C$15</f>
        <v>-1326.82055085334</v>
      </c>
      <c r="G48" s="17" t="n">
        <f aca="false">-MAX(0,MIN(G46,SUM($C46:G46)))*$C$15</f>
        <v>-3171.34078921235</v>
      </c>
    </row>
    <row r="49" customFormat="false" ht="15" hidden="false" customHeight="false" outlineLevel="0" collapsed="false">
      <c r="A49" s="6" t="s">
        <v>71</v>
      </c>
      <c r="B49" s="6" t="s">
        <v>22</v>
      </c>
      <c r="C49" s="15" t="n">
        <v>-23</v>
      </c>
      <c r="D49" s="15" t="n">
        <v>-17</v>
      </c>
      <c r="E49" s="15" t="n">
        <v>-34</v>
      </c>
      <c r="F49" s="15" t="n">
        <v>-42</v>
      </c>
      <c r="G49" s="15" t="n">
        <v>-48</v>
      </c>
    </row>
    <row r="50" customFormat="false" ht="15" hidden="false" customHeight="false" outlineLevel="0" collapsed="false">
      <c r="A50" s="20" t="s">
        <v>72</v>
      </c>
      <c r="B50" s="21" t="s">
        <v>22</v>
      </c>
      <c r="C50" s="22" t="n">
        <f aca="false">C46+C48+C49</f>
        <v>-113.73</v>
      </c>
      <c r="D50" s="22" t="n">
        <f aca="false">D46+D48+D49</f>
        <v>83.25543125</v>
      </c>
      <c r="E50" s="22" t="n">
        <f aca="false">E46+E48+E49</f>
        <v>1087.46408510938</v>
      </c>
      <c r="F50" s="22" t="n">
        <f aca="false">F46+F48+F49</f>
        <v>3938.46165256001</v>
      </c>
      <c r="G50" s="22" t="n">
        <f aca="false">G46+G48+G49</f>
        <v>9466.02236763704</v>
      </c>
    </row>
    <row r="51" customFormat="false" ht="15" hidden="false" customHeight="false" outlineLevel="0" collapsed="false">
      <c r="A51" s="6" t="s">
        <v>73</v>
      </c>
      <c r="B51" s="6" t="s">
        <v>22</v>
      </c>
      <c r="C51" s="17" t="n">
        <f aca="false">C50</f>
        <v>-113.73</v>
      </c>
      <c r="D51" s="17" t="n">
        <f aca="false">C51+D50</f>
        <v>-30.47456875</v>
      </c>
      <c r="E51" s="17" t="n">
        <f aca="false">D51+E50</f>
        <v>1056.98951635938</v>
      </c>
      <c r="F51" s="17" t="n">
        <f aca="false">E51+F50</f>
        <v>4995.45116891938</v>
      </c>
      <c r="G51" s="17" t="n">
        <f aca="false">F51+G50</f>
        <v>14461.4735365564</v>
      </c>
    </row>
    <row r="52" customFormat="false" ht="15" hidden="false" customHeight="false" outlineLevel="0" collapsed="false">
      <c r="A52" s="6" t="s">
        <v>74</v>
      </c>
      <c r="B52" s="6" t="s">
        <v>75</v>
      </c>
      <c r="C52" s="25" t="n">
        <f aca="false">1/(1+$C$5)^C23</f>
        <v>0.892857142857143</v>
      </c>
      <c r="D52" s="25" t="n">
        <f aca="false">1/(1+$C$5)^D23</f>
        <v>0.79719387755102</v>
      </c>
      <c r="E52" s="25" t="n">
        <f aca="false">1/(1+$C$5)^E23</f>
        <v>0.711780247813411</v>
      </c>
      <c r="F52" s="25" t="n">
        <f aca="false">1/(1+$C$5)^F23</f>
        <v>0.635518078404831</v>
      </c>
      <c r="G52" s="25" t="n">
        <f aca="false">1/(1+$C$5)^G23</f>
        <v>0.567426855718599</v>
      </c>
    </row>
    <row r="53" customFormat="false" ht="15" hidden="false" customHeight="false" outlineLevel="0" collapsed="false">
      <c r="A53" s="9" t="s">
        <v>76</v>
      </c>
      <c r="B53" s="6" t="s">
        <v>22</v>
      </c>
      <c r="C53" s="23" t="n">
        <f aca="false">C50*C52</f>
        <v>-101.544642857143</v>
      </c>
      <c r="D53" s="23" t="n">
        <f aca="false">D50*D52</f>
        <v>66.3707200653699</v>
      </c>
      <c r="E53" s="23" t="n">
        <f aca="false">E50*E52</f>
        <v>774.035455987335</v>
      </c>
      <c r="F53" s="23" t="n">
        <f aca="false">F50*F52</f>
        <v>2502.96358130605</v>
      </c>
      <c r="G53" s="23" t="n">
        <f aca="false">G50*G52</f>
        <v>5371.27530823022</v>
      </c>
    </row>
    <row r="54" customFormat="false" ht="15" hidden="false" customHeight="false" outlineLevel="0" collapsed="false">
      <c r="A54" s="6" t="s">
        <v>77</v>
      </c>
      <c r="B54" s="6" t="s">
        <v>22</v>
      </c>
      <c r="H54" s="17" t="n">
        <f aca="false">G38*(1+$C$6)*$C$16*(1-$C$15)*(1-$C$6/$C$17)/($C$5-$C$6)</f>
        <v>41557.263137279</v>
      </c>
    </row>
    <row r="55" customFormat="false" ht="15" hidden="false" customHeight="false" outlineLevel="0" collapsed="false">
      <c r="A55" s="9" t="s">
        <v>78</v>
      </c>
      <c r="B55" s="6" t="s">
        <v>22</v>
      </c>
      <c r="H55" s="23" t="n">
        <f aca="false">H54*G52</f>
        <v>23580.7071542567</v>
      </c>
    </row>
    <row r="57" customFormat="false" ht="15" hidden="false" customHeight="false" outlineLevel="0" collapsed="false">
      <c r="A57" s="9" t="s">
        <v>79</v>
      </c>
      <c r="B57" s="6" t="s">
        <v>22</v>
      </c>
      <c r="C57" s="23" t="n">
        <f aca="false">SUM(C53:G53)+H55</f>
        <v>32193.8075769885</v>
      </c>
      <c r="E57" s="3" t="s">
        <v>80</v>
      </c>
      <c r="F57" s="3"/>
      <c r="G57" s="3"/>
      <c r="H57" s="3" t="s">
        <v>5</v>
      </c>
    </row>
    <row r="58" customFormat="false" ht="15" hidden="false" customHeight="false" outlineLevel="0" collapsed="false">
      <c r="A58" s="26" t="s">
        <v>81</v>
      </c>
      <c r="B58" s="27" t="s">
        <v>38</v>
      </c>
      <c r="C58" s="28" t="n">
        <f aca="false">C57/100</f>
        <v>321.938075769885</v>
      </c>
      <c r="E58" s="6" t="s">
        <v>82</v>
      </c>
      <c r="F58" s="6"/>
      <c r="G58" s="6"/>
      <c r="H58" s="29" t="str">
        <f aca="false">IF(MIN(C81:G81)=99,"After FY31",INDEX($C$22:$G$22,MIN(C81:G81)))</f>
        <v>FY28</v>
      </c>
    </row>
    <row r="59" customFormat="false" ht="15" hidden="false" customHeight="false" outlineLevel="0" collapsed="false">
      <c r="A59" s="6" t="s">
        <v>83</v>
      </c>
      <c r="B59" s="6" t="s">
        <v>38</v>
      </c>
      <c r="C59" s="30" t="n">
        <f aca="false">G29*G34/100</f>
        <v>215.449079194382</v>
      </c>
      <c r="E59" s="6" t="s">
        <v>84</v>
      </c>
      <c r="F59" s="6"/>
      <c r="G59" s="6"/>
      <c r="H59" s="29" t="str">
        <f aca="false">IF(MIN(C82:G82)=99,"After FY31",INDEX($C$22:$G$22,MIN(C82:G82)))</f>
        <v>FY29</v>
      </c>
    </row>
    <row r="60" customFormat="false" ht="15" hidden="false" customHeight="false" outlineLevel="0" collapsed="false">
      <c r="A60" s="6" t="s">
        <v>85</v>
      </c>
      <c r="B60" s="6"/>
      <c r="C60" s="9" t="str">
        <f aca="false">IF(G29&gt;=$C$18-1,"On target ("&amp;TEXT(G29,"0")&amp;")","Short by "&amp;TEXT($C$18-G29,"0"))</f>
        <v>On target (601)</v>
      </c>
      <c r="E60" s="6" t="s">
        <v>86</v>
      </c>
      <c r="F60" s="6"/>
      <c r="G60" s="6"/>
      <c r="H60" s="31" t="n">
        <f aca="false">-MIN(0,MIN(C51:G51))/100</f>
        <v>1.1373</v>
      </c>
    </row>
    <row r="61" customFormat="false" ht="15" hidden="false" customHeight="false" outlineLevel="0" collapsed="false">
      <c r="E61" s="6" t="s">
        <v>87</v>
      </c>
      <c r="F61" s="6"/>
      <c r="G61" s="6"/>
      <c r="H61" s="32" t="n">
        <f aca="false">IFERROR(H55/C57,0)</f>
        <v>0.732460958458101</v>
      </c>
    </row>
    <row r="62" customFormat="false" ht="15" hidden="false" customHeight="false" outlineLevel="0" collapsed="false">
      <c r="E62" s="6" t="s">
        <v>88</v>
      </c>
      <c r="F62" s="6"/>
      <c r="G62" s="6"/>
      <c r="H62" s="31" t="n">
        <f aca="false">G38/100</f>
        <v>197.012210428582</v>
      </c>
    </row>
    <row r="63" customFormat="false" ht="15" hidden="false" customHeight="false" outlineLevel="0" collapsed="false">
      <c r="E63" s="6" t="s">
        <v>89</v>
      </c>
      <c r="F63" s="6"/>
      <c r="G63" s="6"/>
      <c r="H63" s="31" t="n">
        <f aca="false">G46/100</f>
        <v>126.853631568494</v>
      </c>
    </row>
    <row r="65" customFormat="false" ht="15" hidden="false" customHeight="false" outlineLevel="0" collapsed="false">
      <c r="A65" s="33" t="s">
        <v>90</v>
      </c>
      <c r="C65" s="34" t="s">
        <v>40</v>
      </c>
      <c r="D65" s="34" t="s">
        <v>41</v>
      </c>
      <c r="E65" s="34" t="s">
        <v>42</v>
      </c>
      <c r="F65" s="34" t="s">
        <v>43</v>
      </c>
      <c r="G65" s="34" t="s">
        <v>44</v>
      </c>
      <c r="H65" s="34" t="s">
        <v>91</v>
      </c>
    </row>
    <row r="66" customFormat="false" ht="15" hidden="false" customHeight="false" outlineLevel="0" collapsed="false">
      <c r="A66" s="35" t="s">
        <v>92</v>
      </c>
      <c r="C66" s="36" t="n">
        <f aca="false">C53/100</f>
        <v>-1.01544642857143</v>
      </c>
      <c r="D66" s="36" t="n">
        <f aca="false">D53/100</f>
        <v>0.663707200653699</v>
      </c>
      <c r="E66" s="36" t="n">
        <f aca="false">E53/100</f>
        <v>7.74035455987335</v>
      </c>
      <c r="F66" s="36" t="n">
        <f aca="false">F53/100</f>
        <v>25.0296358130605</v>
      </c>
      <c r="G66" s="36" t="n">
        <f aca="false">G53/100</f>
        <v>53.7127530823022</v>
      </c>
      <c r="H66" s="36" t="n">
        <f aca="false">H55/100</f>
        <v>235.807071542567</v>
      </c>
    </row>
    <row r="67" customFormat="false" ht="15" hidden="false" customHeight="false" outlineLevel="0" collapsed="false">
      <c r="A67" s="35" t="s">
        <v>93</v>
      </c>
      <c r="C67" s="36" t="n">
        <f aca="false">C38/100</f>
        <v>0.7565</v>
      </c>
      <c r="D67" s="36" t="n">
        <f aca="false">D38/100</f>
        <v>9.19276708333333</v>
      </c>
      <c r="E67" s="36" t="n">
        <f aca="false">E38/100</f>
        <v>36.446600948125</v>
      </c>
      <c r="F67" s="36" t="n">
        <f aca="false">F38/100</f>
        <v>96.1482713309334</v>
      </c>
      <c r="G67" s="36" t="n">
        <f aca="false">G38/100</f>
        <v>197.012210428582</v>
      </c>
    </row>
    <row r="68" customFormat="false" ht="15" hidden="false" customHeight="false" outlineLevel="0" collapsed="false">
      <c r="A68" s="35" t="s">
        <v>94</v>
      </c>
      <c r="C68" s="36" t="n">
        <f aca="false">C46/100</f>
        <v>-0.9073</v>
      </c>
      <c r="D68" s="36" t="n">
        <f aca="false">D46/100</f>
        <v>1.03430575</v>
      </c>
      <c r="E68" s="36" t="n">
        <f aca="false">E46/100</f>
        <v>14.952854468125</v>
      </c>
      <c r="F68" s="36" t="n">
        <f aca="false">F46/100</f>
        <v>53.0728220341334</v>
      </c>
      <c r="G68" s="36" t="n">
        <f aca="false">G46/100</f>
        <v>126.853631568494</v>
      </c>
    </row>
    <row r="70" customFormat="false" ht="16.15" hidden="false" customHeight="false" outlineLevel="0" collapsed="false">
      <c r="A70" s="37" t="s">
        <v>95</v>
      </c>
      <c r="B70" s="37"/>
      <c r="C70" s="37"/>
      <c r="D70" s="37"/>
      <c r="E70" s="37"/>
      <c r="F70" s="37"/>
      <c r="G70" s="37"/>
      <c r="H70" s="37"/>
    </row>
    <row r="71" customFormat="false" ht="25.5" hidden="false" customHeight="true" outlineLevel="0" collapsed="false">
      <c r="A71" s="38" t="s">
        <v>96</v>
      </c>
      <c r="B71" s="38"/>
      <c r="C71" s="38"/>
      <c r="D71" s="38"/>
      <c r="E71" s="38"/>
      <c r="F71" s="38"/>
      <c r="G71" s="38"/>
      <c r="H71" s="38"/>
    </row>
    <row r="72" customFormat="false" ht="25.5" hidden="false" customHeight="true" outlineLevel="0" collapsed="false">
      <c r="A72" s="38" t="s">
        <v>97</v>
      </c>
      <c r="B72" s="38"/>
      <c r="C72" s="38"/>
      <c r="D72" s="38"/>
      <c r="E72" s="38"/>
      <c r="F72" s="38"/>
      <c r="G72" s="38"/>
      <c r="H72" s="38"/>
    </row>
    <row r="73" customFormat="false" ht="25.5" hidden="false" customHeight="true" outlineLevel="0" collapsed="false">
      <c r="A73" s="38" t="s">
        <v>98</v>
      </c>
      <c r="B73" s="38"/>
      <c r="C73" s="38"/>
      <c r="D73" s="38"/>
      <c r="E73" s="38"/>
      <c r="F73" s="38"/>
      <c r="G73" s="38"/>
      <c r="H73" s="38"/>
    </row>
    <row r="74" customFormat="false" ht="25.5" hidden="false" customHeight="true" outlineLevel="0" collapsed="false">
      <c r="A74" s="38" t="s">
        <v>99</v>
      </c>
      <c r="B74" s="38"/>
      <c r="C74" s="38"/>
      <c r="D74" s="38"/>
      <c r="E74" s="38"/>
      <c r="F74" s="38"/>
      <c r="G74" s="38"/>
      <c r="H74" s="38"/>
    </row>
    <row r="75" customFormat="false" ht="25.5" hidden="false" customHeight="true" outlineLevel="0" collapsed="false">
      <c r="A75" s="38" t="s">
        <v>100</v>
      </c>
      <c r="B75" s="38"/>
      <c r="C75" s="38"/>
      <c r="D75" s="38"/>
      <c r="E75" s="38"/>
      <c r="F75" s="38"/>
      <c r="G75" s="38"/>
      <c r="H75" s="38"/>
    </row>
    <row r="76" customFormat="false" ht="25.5" hidden="false" customHeight="true" outlineLevel="0" collapsed="false">
      <c r="A76" s="38" t="s">
        <v>101</v>
      </c>
      <c r="B76" s="38"/>
      <c r="C76" s="38"/>
      <c r="D76" s="38"/>
      <c r="E76" s="38"/>
      <c r="F76" s="38"/>
      <c r="G76" s="38"/>
      <c r="H76" s="38"/>
    </row>
    <row r="77" customFormat="false" ht="25.5" hidden="false" customHeight="true" outlineLevel="0" collapsed="false">
      <c r="A77" s="39" t="s">
        <v>102</v>
      </c>
      <c r="B77" s="39"/>
      <c r="C77" s="39"/>
      <c r="D77" s="39"/>
      <c r="E77" s="39"/>
      <c r="F77" s="39"/>
      <c r="G77" s="39"/>
      <c r="H77" s="39"/>
    </row>
    <row r="80" customFormat="false" ht="15" hidden="false" customHeight="false" outlineLevel="0" collapsed="false">
      <c r="A80" s="40" t="s">
        <v>103</v>
      </c>
      <c r="B80" s="6" t="s">
        <v>22</v>
      </c>
      <c r="C80" s="41" t="n">
        <f aca="false">C50</f>
        <v>-113.73</v>
      </c>
      <c r="D80" s="41" t="n">
        <f aca="false">D50</f>
        <v>83.25543125</v>
      </c>
      <c r="E80" s="41" t="n">
        <f aca="false">E50</f>
        <v>1087.46408510938</v>
      </c>
      <c r="F80" s="41" t="n">
        <f aca="false">F50</f>
        <v>3938.46165256001</v>
      </c>
      <c r="G80" s="41" t="n">
        <f aca="false">G50+H54</f>
        <v>51023.2855049161</v>
      </c>
    </row>
    <row r="81" customFormat="false" ht="15" hidden="false" customHeight="false" outlineLevel="0" collapsed="false">
      <c r="A81" s="40" t="s">
        <v>104</v>
      </c>
      <c r="B81" s="6" t="s">
        <v>105</v>
      </c>
      <c r="C81" s="41" t="n">
        <f aca="false">IF(C46&gt;0,C23,99)</f>
        <v>99</v>
      </c>
      <c r="D81" s="41" t="n">
        <f aca="false">IF(D46&gt;0,D23,99)</f>
        <v>2</v>
      </c>
      <c r="E81" s="41" t="n">
        <f aca="false">IF(E46&gt;0,E23,99)</f>
        <v>3</v>
      </c>
      <c r="F81" s="41" t="n">
        <f aca="false">IF(F46&gt;0,F23,99)</f>
        <v>4</v>
      </c>
      <c r="G81" s="41" t="n">
        <f aca="false">IF(G46&gt;0,G23,99)</f>
        <v>5</v>
      </c>
    </row>
    <row r="82" customFormat="false" ht="15" hidden="false" customHeight="false" outlineLevel="0" collapsed="false">
      <c r="A82" s="40" t="s">
        <v>106</v>
      </c>
      <c r="B82" s="6" t="s">
        <v>105</v>
      </c>
      <c r="C82" s="41" t="n">
        <f aca="false">IF(C51&gt;0,C23,99)</f>
        <v>99</v>
      </c>
      <c r="D82" s="41" t="n">
        <f aca="false">IF(D51&gt;0,D23,99)</f>
        <v>99</v>
      </c>
      <c r="E82" s="41" t="n">
        <f aca="false">IF(E51&gt;0,E23,99)</f>
        <v>3</v>
      </c>
      <c r="F82" s="41" t="n">
        <f aca="false">IF(F51&gt;0,F23,99)</f>
        <v>4</v>
      </c>
      <c r="G82" s="41" t="n">
        <f aca="false">IF(G51&gt;0,G23,99)</f>
        <v>5</v>
      </c>
    </row>
  </sheetData>
  <mergeCells count="28">
    <mergeCell ref="A1:H1"/>
    <mergeCell ref="J1:R1"/>
    <mergeCell ref="E11:G11"/>
    <mergeCell ref="E12:G12"/>
    <mergeCell ref="E13:G13"/>
    <mergeCell ref="E14:G14"/>
    <mergeCell ref="J22:R22"/>
    <mergeCell ref="J23:R24"/>
    <mergeCell ref="J25:R26"/>
    <mergeCell ref="J27:R28"/>
    <mergeCell ref="J29:R30"/>
    <mergeCell ref="J31:R32"/>
    <mergeCell ref="J33:R34"/>
    <mergeCell ref="E57:G57"/>
    <mergeCell ref="E58:G58"/>
    <mergeCell ref="E59:G59"/>
    <mergeCell ref="E60:G60"/>
    <mergeCell ref="E61:G61"/>
    <mergeCell ref="E62:G62"/>
    <mergeCell ref="E63:G63"/>
    <mergeCell ref="A70:H70"/>
    <mergeCell ref="A71:H71"/>
    <mergeCell ref="A72:H72"/>
    <mergeCell ref="A73:H73"/>
    <mergeCell ref="A74:H74"/>
    <mergeCell ref="A75:H75"/>
    <mergeCell ref="A76:H76"/>
    <mergeCell ref="A77:H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2026-10-11T14:20:17Z</dcterms:created>
  <dc:creator>openpyxl</dc:creator>
  <dc:description/>
  <dc:language>en-US</dc:language>
  <cp:lastModifiedBy/>
  <dcterms:modified xsi:type="dcterms:W3CDTF">2026-10-11T14:20:19Z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
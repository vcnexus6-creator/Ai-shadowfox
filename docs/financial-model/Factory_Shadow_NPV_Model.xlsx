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PV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<sst xmlns="http://schemas.openxmlformats.org/spreadsheetml/2006/main" count="186" uniqueCount="122">
  <si>
    <t xml:space="preserve">AI Plant Operations Optimiser: NPV Model with Revenue and Cost Projections (Base case)</t>
  </si>
  <si>
    <t xml:space="preserve">Present Value of Projected Cash Flows (₹ Cr)</t>
  </si>
  <si>
    <t xml:space="preserve">Valuation assumptions</t>
  </si>
  <si>
    <t xml:space="preserve">Unit</t>
  </si>
  <si>
    <t xml:space="preserve">Value</t>
  </si>
  <si>
    <t xml:space="preserve">Pricing tier</t>
  </si>
  <si>
    <t xml:space="preserve">Subscription ₹ L/yr</t>
  </si>
  <si>
    <t xml:space="preserve">Implementation ₹ L</t>
  </si>
  <si>
    <t xml:space="preserve">New-customer mix</t>
  </si>
  <si>
    <t xml:space="preserve">Cost to serve ₹ L/yr</t>
  </si>
  <si>
    <t xml:space="preserve">Discount rate (WACC)</t>
  </si>
  <si>
    <t xml:space="preserve">%</t>
  </si>
  <si>
    <t xml:space="preserve">Starter</t>
  </si>
  <si>
    <t xml:space="preserve">Terminal growth after FY36</t>
  </si>
  <si>
    <t xml:space="preserve">Professional</t>
  </si>
  <si>
    <t xml:space="preserve">Revenue growth FY32 (first fade year)</t>
  </si>
  <si>
    <t xml:space="preserve">Enterprise</t>
  </si>
  <si>
    <t xml:space="preserve">Revenue growth FY36 (last fade year)</t>
  </si>
  <si>
    <t xml:space="preserve">Blended (by mix)</t>
  </si>
  <si>
    <t xml:space="preserve">Steady-state EBITDA margin</t>
  </si>
  <si>
    <t xml:space="preserve">Max EBITDA-margin change per year</t>
  </si>
  <si>
    <t xml:space="preserve">pts</t>
  </si>
  <si>
    <t xml:space="preserve">Plan targets</t>
  </si>
  <si>
    <t xml:space="preserve">Capex (= D&amp;A) FY32-FY36</t>
  </si>
  <si>
    <t xml:space="preserve">% of rev</t>
  </si>
  <si>
    <t xml:space="preserve">FY31 live paying plants (base target)</t>
  </si>
  <si>
    <t xml:space="preserve">Tax rate (22% + surcharge + cess)</t>
  </si>
  <si>
    <t xml:space="preserve">Peak cumulative cash deficit (₹ Cr, monthly engine)</t>
  </si>
  <si>
    <t xml:space="preserve">Net working capital</t>
  </si>
  <si>
    <t xml:space="preserve">Total equity requirement incl. buffer (₹ Cr)</t>
  </si>
  <si>
    <t xml:space="preserve">Return on new invested capital (terminal)</t>
  </si>
  <si>
    <t xml:space="preserve">EBITDA break-even month (monthly engine)</t>
  </si>
  <si>
    <t xml:space="preserve">Aug-28  (FY29)</t>
  </si>
  <si>
    <t xml:space="preserve">Target NPV (team hurdle)</t>
  </si>
  <si>
    <t xml:space="preserve">₹ Cr</t>
  </si>
  <si>
    <t xml:space="preserve">Particulars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</si>
  <si>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</si>
  <si>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</si>
  <si>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</si>
  <si>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</si>
  <si>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</si>
  <si>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FY32</t>
  </si>
  <si>
    <t xml:space="preserve">FY33</t>
  </si>
  <si>
    <t xml:space="preserve">FY34</t>
  </si>
  <si>
    <t xml:space="preserve">FY35</t>
  </si>
  <si>
    <t xml:space="preserve">FY36</t>
  </si>
  <si>
    <t xml:space="preserve">Terminal</t>
  </si>
  <si>
    <t xml:space="preserve">Year number (t)</t>
  </si>
  <si>
    <t xml:space="preserve">#</t>
  </si>
  <si>
    <t xml:space="preserve">Phase</t>
  </si>
  <si>
    <t xml:space="preserve">Engine</t>
  </si>
  <si>
    <t xml:space="preserve">Fade</t>
  </si>
  <si>
    <t xml:space="preserve">A. CUSTOMERS</t>
  </si>
  <si>
    <t xml:space="preserve">Live paying plants (year end)</t>
  </si>
  <si>
    <t xml:space="preserve">Closing ARR</t>
  </si>
  <si>
    <t xml:space="preserve">₹ lakh</t>
  </si>
  <si>
    <t xml:space="preserve">Key Insights</t>
  </si>
  <si>
    <t xml:space="preserve">ARR per live plant</t>
  </si>
  <si>
    <t xml:space="preserve">B. REVENUE</t>
  </si>
  <si>
    <t xml:space="preserve">Subscription (SaaS) revenue</t>
  </si>
  <si>
    <t xml:space="preserve">Implementation revenue (one-time)</t>
  </si>
  <si>
    <t xml:space="preserve">Paid pilots and IoT kits (one-time)</t>
  </si>
  <si>
    <t xml:space="preserve">Gain-share (expected, not ARR)</t>
  </si>
  <si>
    <t xml:space="preserve">Total revenue</t>
  </si>
  <si>
    <t xml:space="preserve">Revenue growth  [fade: straight line FY32 → FY36]</t>
  </si>
  <si>
    <t xml:space="preserve">C. COSTS AND CASH FLOW</t>
  </si>
  <si>
    <t xml:space="preserve">[−] Cost of revenue</t>
  </si>
  <si>
    <t xml:space="preserve">[−] Research &amp; development</t>
  </si>
  <si>
    <t xml:space="preserve">[−] Sales &amp; marketing</t>
  </si>
  <si>
    <t xml:space="preserve">[−] General &amp; administrative</t>
  </si>
  <si>
    <t xml:space="preserve">EBITDA</t>
  </si>
  <si>
    <t xml:space="preserve">EBITDA margin  [fade: moves ≤3 pts a year to steady state]</t>
  </si>
  <si>
    <t xml:space="preserve">[−] Depreciation &amp; amortisation</t>
  </si>
  <si>
    <t xml:space="preserve">EBIT</t>
  </si>
  <si>
    <t xml:space="preserve">[−] Capex</t>
  </si>
  <si>
    <t xml:space="preserve">[−] Cash taxes</t>
  </si>
  <si>
    <t xml:space="preserve">[±] Working-capital movement</t>
  </si>
  <si>
    <t xml:space="preserve">Free cash flow to the firm (FCFF)</t>
  </si>
  <si>
    <t xml:space="preserve">Cumulative FCFF</t>
  </si>
  <si>
    <t xml:space="preserve">Discount factor  [1 ÷ (1 + WACC)^t]</t>
  </si>
  <si>
    <t xml:space="preserve">x</t>
  </si>
  <si>
    <t xml:space="preserve">PV of FCFF</t>
  </si>
  <si>
    <t xml:space="preserve">Terminal value at end-FY36 (value-driver method, see box)</t>
  </si>
  <si>
    <t xml:space="preserve">PV of terminal value</t>
  </si>
  <si>
    <t xml:space="preserve">PV of FCFF, FY27-FY31 (engine)</t>
  </si>
  <si>
    <t xml:space="preserve">Key outputs</t>
  </si>
  <si>
    <t xml:space="preserve">PV of FCFF, FY32-FY36 (fade)</t>
  </si>
  <si>
    <t xml:space="preserve">Payback year (cumulative FCFF turns positive)</t>
  </si>
  <si>
    <t xml:space="preserve">First full year of positive EBITDA</t>
  </si>
  <si>
    <t xml:space="preserve">NPV (enterprise value at 1-Apr-2026)</t>
  </si>
  <si>
    <t xml:space="preserve">Terminal value share of NPV</t>
  </si>
  <si>
    <t xml:space="preserve">NPV (₹ Crore)</t>
  </si>
  <si>
    <t xml:space="preserve">FY31 revenue / EBITDA (₹ Cr)</t>
  </si>
  <si>
    <t xml:space="preserve">Financial model valuation (₹ Cr)</t>
  </si>
  <si>
    <t xml:space="preserve">FY36 revenue / EBITDA (₹ Cr)</t>
  </si>
  <si>
    <t xml:space="preserve">Meets the ₹10 Cr target?</t>
  </si>
  <si>
    <t xml:space="preserve">NPV without terminal value (₹ Cr)</t>
  </si>
  <si>
    <t xml:space="preserve">Terminal value: steady-state method</t>
  </si>
  <si>
    <t xml:space="preserve">FY37 revenue  [FY36 × (1 + g)]</t>
  </si>
  <si>
    <t xml:space="preserve">Steady-state EBITDA margin  [lower of target and FY36]</t>
  </si>
  <si>
    <t xml:space="preserve">FY37 EBIT  [revenue × (margin − capex %)]</t>
  </si>
  <si>
    <t xml:space="preserve">FY37 NOPAT  [EBIT × (1 − tax)]</t>
  </si>
  <si>
    <t xml:space="preserve">Reinvestment  [NOPAT × g ÷ RONIC]</t>
  </si>
  <si>
    <t xml:space="preserve">FY37 FCFF (steady state)</t>
  </si>
  <si>
    <t xml:space="preserve">Terminal value  [FCFF ÷ (WACC − g)]</t>
  </si>
  <si>
    <t xml:space="preserve">Year</t>
  </si>
  <si>
    <t xml:space="preserve">TV</t>
  </si>
  <si>
    <t xml:space="preserve">PV of cash flows (₹ Cr)</t>
  </si>
  <si>
    <t xml:space="preserve">Revenue (₹ Cr)</t>
  </si>
  <si>
    <t xml:space="preserve">EBITDA (₹ Cr)</t>
  </si>
  <si>
    <t xml:space="preserve">Cash flows (₹ Cr)</t>
  </si>
  <si>
    <t xml:space="preserve">Helper: year cumulative FCFF turns positive</t>
  </si>
  <si>
    <t xml:space="preserve">t</t>
  </si>
  <si>
    <t xml:space="preserve">Helper: year EBITDA first positive</t>
  </si>
  <si>
    <t xml:space="preserve">Assumptions</t>
  </si>
  <si>
    <t xml:space="preserve">•  FY27-FY31 revenue, costs, capex, tax and working capital are the Base-case figures from the financial model (400 live plants by FY31). Nothing in those years is re-estimated here.</t>
  </si>
  <si>
    <t xml:space="preserve">•  FY32-FY36 follow the model's valuation method: revenue growth fades in a straight line from 11% (FY32, team override) to 12% (FY36); EBITDA margin moves at most 3 points a year towards 25%; capex = D&amp;A = 1% of revenue; NWC = 1.76% of revenue.</t>
  </si>
  <si>
    <t xml:space="preserve">•  Terminal value uses the value-driver method: FY37 NOPAT at a 25% margin, less reinvestment of g ÷ RONIC (5% ÷ 20%), capitalised at WACC − g (12% − 5%).</t>
  </si>
  <si>
    <t xml:space="preserve">•  Cash flows are discounted at year end at the team's 12% WACC. NPV is enterprise value at 1-Apr-2026, before seed and Series A financing.</t>
  </si>
  <si>
    <t xml:space="preserve">•  Tax losses: FY27-FY31 cumulative profit before tax is positive, so no losses carry into the fade .</t>
  </si>
  <si>
    <t xml:space="preserve">•  Revenue includes one-time implementation, pilot and IoT fees and expected gain-share (about 25% of FY31 revenue); only subscription counts towards ARR.</t>
  </si>
  <si>
    <t xml:space="preserve">•  All prices, plant counts and conversion rates are unvalidated hypotheses from the model 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</si>
</sst>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;\(0%\);\-"/>
    <numFmt numFmtId="166" formatCode="#,##0.0;\(#,##0.0\);\-"/>
    <numFmt numFmtId="167" formatCode="0.00"/>
    <numFmt numFmtId="168" formatCode="0.0%;\(0.0%\);\-"/>
    <numFmt numFmtId="169" formatCode="#,##0;\(#,##0\);\-"/>
    <numFmt numFmtId="170" formatCode="0.00%"/>
    <numFmt numFmtId="171" formatCode="0.000"/>
    <numFmt numFmtId="172" formatCode="#,##0.00"/>
    <numFmt numFmtId="173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b val="true"/>
      <sz val="14"/>
      <color rgb="FF1F3864"/>
      <name val="Times New Roman"/>
      <family val="0"/>
      <charset val="1"/>
    </font>
    <font>
      <b val="true"/>
      <sz val="13"/>
      <color rgb="FF1F3864"/>
      <name val="Times New Roman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dashed">
        <color rgb="FF7F7F7F"/>
      </left>
      <right style="dashed">
        <color rgb="FF7F7F7F"/>
      </right>
      <top style="dashed">
        <color rgb="FF7F7F7F"/>
      </top>
      <bottom/>
      <diagonal/>
    </border>
    <border diagonalUp="false" diagonalDown="false">
      <left style="dashed">
        <color rgb="FF7F7F7F"/>
      </left>
      <right style="dashed">
        <color rgb="FF7F7F7F"/>
      </right>
      <top/>
      <bottom/>
      <diagonal/>
    </border>
    <border diagonalUp="false" diagonalDown="false">
      <left style="dashed">
        <color rgb="FF7F7F7F"/>
      </left>
      <right style="dashed">
        <color rgb="FF7F7F7F"/>
      </right>
      <top/>
      <bottom style="dashed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'NPV Model'!$C$72:$M$72</c:f>
              <c:strCache>
                <c:ptCount val="11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  <c:pt idx="5">
                  <c:v>FY32</c:v>
                </c:pt>
                <c:pt idx="6">
                  <c:v>FY33</c:v>
                </c:pt>
                <c:pt idx="7">
                  <c:v>FY34</c:v>
                </c:pt>
                <c:pt idx="8">
                  <c:v>FY35</c:v>
                </c:pt>
                <c:pt idx="9">
                  <c:v>FY36</c:v>
                </c:pt>
                <c:pt idx="10">
                  <c:v>TV</c:v>
                </c:pt>
              </c:strCache>
            </c:strRef>
          </c:cat>
          <c:val>
            <c:numRef>
              <c:f>'NPV Model'!$C$73:$M$73</c:f>
              <c:numCache>
                <c:formatCode>#,##0.0;\(#,##0.0\);\-</c:formatCode>
                <c:ptCount val="11"/>
                <c:pt idx="0">
                  <c:v>-1.99826886432669</c:v>
                </c:pt>
                <c:pt idx="1">
                  <c:v>-3.14813443161336</c:v>
                </c:pt>
                <c:pt idx="2">
                  <c:v>1.86643614667333</c:v>
                </c:pt>
                <c:pt idx="3">
                  <c:v>14.180934411849</c:v>
                </c:pt>
                <c:pt idx="4">
                  <c:v>36.5426300975623</c:v>
                </c:pt>
                <c:pt idx="5">
                  <c:v>34.2856656372088</c:v>
                </c:pt>
                <c:pt idx="6">
                  <c:v>32.1603802873163</c:v>
                </c:pt>
                <c:pt idx="7">
                  <c:v>30.1295896369195</c:v>
                </c:pt>
                <c:pt idx="8">
                  <c:v>28.17934437991</c:v>
                </c:pt>
                <c:pt idx="9">
                  <c:v>26.2963658585785</c:v>
                </c:pt>
                <c:pt idx="10">
                  <c:v>169.203396177166</c:v>
                </c:pt>
              </c:numCache>
            </c:numRef>
          </c:val>
        </c:ser>
        <c:gapWidth val="50"/>
        <c:overlap val="0"/>
        <c:axId val="77264011"/>
        <c:axId val="62715412"/>
      </c:barChart>
      <c:catAx>
        <c:axId val="772640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15412"/>
        <c:crosses val="autoZero"/>
        <c:auto val="1"/>
        <c:lblAlgn val="ctr"/>
        <c:lblOffset val="100"/>
        <c:noMultiLvlLbl val="0"/>
      </c:catAx>
      <c:valAx>
        <c:axId val="6271541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640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EBITDA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'NPV Model'!$C$72:$L$72</c:f>
              <c:multiLvlStrCache>
                <c:ptCount val="1"/>
                <c:lvl>
                  <c:pt idx="0">
                    <c:v>FY36</c:v>
                  </c:pt>
                </c:lvl>
                <c:lvl>
                  <c:pt idx="0">
                    <c:v>FY35</c:v>
                  </c:pt>
                </c:lvl>
                <c:lvl>
                  <c:pt idx="0">
                    <c:v>FY34</c:v>
                  </c:pt>
                </c:lvl>
                <c:lvl>
                  <c:pt idx="0">
                    <c:v>FY33</c:v>
                  </c:pt>
                </c:lvl>
                <c:lvl>
                  <c:pt idx="0">
                    <c:v>FY32</c:v>
                  </c:pt>
                </c:lvl>
                <c:lvl>
                  <c:pt idx="0">
                    <c:v>FY31</c:v>
                  </c:pt>
                </c:lvl>
                <c:lvl>
                  <c:pt idx="0">
                    <c:v>FY30</c:v>
                  </c:pt>
                </c:lvl>
                <c:lvl>
                  <c:pt idx="0">
                    <c:v>FY29</c:v>
                  </c:pt>
                </c:lvl>
                <c:lvl>
                  <c:pt idx="0">
                    <c:v>FY28</c:v>
                  </c:pt>
                </c:lvl>
                <c:lvl>
                  <c:pt idx="0">
                    <c:v>FY27</c:v>
                  </c:pt>
                </c:lvl>
              </c:multiLvlStrCache>
            </c:multiLvlStrRef>
          </c:cat>
          <c:val>
            <c:numRef>
              <c:f>'NPV Model'!$C$74:$L$74</c:f>
              <c:numCache>
                <c:formatCode>#,##0.0;\(#,##0.0\);\-</c:formatCode>
                <c:ptCount val="10"/>
                <c:pt idx="0">
                  <c:v>0.286376248328144</c:v>
                </c:pt>
                <c:pt idx="1">
                  <c:v>4.78845035099508</c:v>
                </c:pt>
                <c:pt idx="2">
                  <c:v>24.1114780337274</c:v>
                </c:pt>
                <c:pt idx="3">
                  <c:v>70.2631622245338</c:v>
                </c:pt>
                <c:pt idx="4">
                  <c:v>150.929719681828</c:v>
                </c:pt>
                <c:pt idx="5">
                  <c:v>167.531988846829</c:v>
                </c:pt>
                <c:pt idx="6">
                  <c:v>186.379337592097</c:v>
                </c:pt>
                <c:pt idx="7">
                  <c:v>207.812961415188</c:v>
                </c:pt>
                <c:pt idx="8">
                  <c:v>232.230984381473</c:v>
                </c:pt>
                <c:pt idx="9">
                  <c:v>260.098702507249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'NPV Model'!$C$72:$L$72</c:f>
              <c:multiLvlStrCache>
                <c:ptCount val="1"/>
                <c:lvl>
                  <c:pt idx="0">
                    <c:v>FY36</c:v>
                  </c:pt>
                </c:lvl>
                <c:lvl>
                  <c:pt idx="0">
                    <c:v>FY35</c:v>
                  </c:pt>
                </c:lvl>
                <c:lvl>
                  <c:pt idx="0">
                    <c:v>FY34</c:v>
                  </c:pt>
                </c:lvl>
                <c:lvl>
                  <c:pt idx="0">
                    <c:v>FY33</c:v>
                  </c:pt>
                </c:lvl>
                <c:lvl>
                  <c:pt idx="0">
                    <c:v>FY32</c:v>
                  </c:pt>
                </c:lvl>
                <c:lvl>
                  <c:pt idx="0">
                    <c:v>FY31</c:v>
                  </c:pt>
                </c:lvl>
                <c:lvl>
                  <c:pt idx="0">
                    <c:v>FY30</c:v>
                  </c:pt>
                </c:lvl>
                <c:lvl>
                  <c:pt idx="0">
                    <c:v>FY29</c:v>
                  </c:pt>
                </c:lvl>
                <c:lvl>
                  <c:pt idx="0">
                    <c:v>FY28</c:v>
                  </c:pt>
                </c:lvl>
                <c:lvl>
                  <c:pt idx="0">
                    <c:v>FY27</c:v>
                  </c:pt>
                </c:lvl>
              </c:multiLvlStrCache>
            </c:multiLvlStrRef>
          </c:cat>
          <c:val>
            <c:numRef>
              <c:f>'NPV Model'!$C$75:$L$75</c:f>
              <c:numCache>
                <c:formatCode>#,##0.0;\(#,##0.0\);\-</c:formatCode>
                <c:ptCount val="10"/>
                <c:pt idx="0">
                  <c:v>-2.03334994231797</c:v>
                </c:pt>
                <c:pt idx="1">
                  <c:v>-3.49499344848053</c:v>
                </c:pt>
                <c:pt idx="2">
                  <c:v>3.54794061464275</c:v>
                </c:pt>
                <c:pt idx="3">
                  <c:v>30.6134250288065</c:v>
                </c:pt>
                <c:pt idx="4">
                  <c:v>87.8609553021468</c:v>
                </c:pt>
                <c:pt idx="5">
                  <c:v>92.4997007199781</c:v>
                </c:pt>
                <c:pt idx="6">
                  <c:v>97.3145369232127</c:v>
                </c:pt>
                <c:pt idx="7">
                  <c:v>102.271319826926</c:v>
                </c:pt>
                <c:pt idx="8">
                  <c:v>107.321270375146</c:v>
                </c:pt>
                <c:pt idx="9">
                  <c:v>112.396861744946</c:v>
                </c:pt>
              </c:numCache>
            </c:numRef>
          </c:val>
        </c:ser>
        <c:gapWidth val="150"/>
        <c:overlap val="0"/>
        <c:axId val="22605935"/>
        <c:axId val="50830597"/>
      </c:barChart>
      <c:catAx>
        <c:axId val="2260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30597"/>
        <c:crosses val="autoZero"/>
        <c:auto val="1"/>
        <c:lblAlgn val="ctr"/>
        <c:lblOffset val="100"/>
        <c:noMultiLvlLbl val="0"/>
      </c:catAx>
      <c:valAx>
        <c:axId val="5083059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059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24</xdr:col>
      <xdr:colOff>151200</xdr:colOff>
      <xdr:row>18</xdr:row>
      <xdr:rowOff>170640</xdr:rowOff>
    </xdr:to>
    <xdr:graphicFrame>
      <xdr:nvGraphicFramePr>
        <xdr:cNvPr id="0" name="Chart 1"/>
        <xdr:cNvGraphicFramePr/>
      </xdr:nvGraphicFramePr>
      <xdr:xfrm>
        <a:off x="12444120" y="324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36</xdr:row>
      <xdr:rowOff>160920</xdr:rowOff>
    </xdr:from>
    <xdr:to>
      <xdr:col>24</xdr:col>
      <xdr:colOff>151200</xdr:colOff>
      <xdr:row>53</xdr:row>
      <xdr:rowOff>162000</xdr:rowOff>
    </xdr:to>
    <xdr:graphicFrame>
      <xdr:nvGraphicFramePr>
        <xdr:cNvPr id="1" name="Chart 2"/>
        <xdr:cNvGraphicFramePr/>
      </xdr:nvGraphicFramePr>
      <xdr:xfrm>
        <a:off x="12444120" y="7372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13" min="3" style="0" width="10.51"/>
    <col collapsed="false" customWidth="true" hidden="false" outlineLevel="0" max="14" min="14" style="0" width="3"/>
    <col collapsed="false" customWidth="true" hidden="false" outlineLevel="0" max="24" min="15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 t="s">
        <v>1</v>
      </c>
      <c r="P1" s="1"/>
      <c r="Q1" s="1"/>
      <c r="R1" s="1"/>
      <c r="S1" s="1"/>
      <c r="T1" s="1"/>
      <c r="U1" s="1"/>
      <c r="V1" s="1"/>
      <c r="W1" s="1"/>
      <c r="X1" s="1"/>
    </row>
    <row r="4" customFormat="false" ht="30" hidden="false" customHeight="true" outlineLevel="0" collapsed="false">
      <c r="A4" s="2" t="s">
        <v>2</v>
      </c>
      <c r="B4" s="2" t="s">
        <v>3</v>
      </c>
      <c r="C4" s="2" t="s">
        <v>4</v>
      </c>
      <c r="E4" s="2" t="s">
        <v>5</v>
      </c>
      <c r="F4" s="2"/>
      <c r="G4" s="3" t="s">
        <v>6</v>
      </c>
      <c r="H4" s="3" t="s">
        <v>7</v>
      </c>
      <c r="I4" s="3" t="s">
        <v>8</v>
      </c>
      <c r="J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0.12</v>
      </c>
      <c r="E5" s="4" t="s">
        <v>12</v>
      </c>
      <c r="F5" s="4"/>
      <c r="G5" s="6" t="n">
        <v>15</v>
      </c>
      <c r="H5" s="6" t="n">
        <v>3</v>
      </c>
      <c r="I5" s="5" t="n">
        <v>0.35</v>
      </c>
      <c r="J5" s="7" t="n">
        <v>1.66304</v>
      </c>
    </row>
    <row r="6" customFormat="false" ht="15" hidden="false" customHeight="false" outlineLevel="0" collapsed="false">
      <c r="A6" s="4" t="s">
        <v>13</v>
      </c>
      <c r="B6" s="4" t="s">
        <v>11</v>
      </c>
      <c r="C6" s="5" t="n">
        <v>0.05</v>
      </c>
      <c r="E6" s="4" t="s">
        <v>14</v>
      </c>
      <c r="F6" s="4"/>
      <c r="G6" s="6" t="n">
        <v>30</v>
      </c>
      <c r="H6" s="6" t="n">
        <v>6</v>
      </c>
      <c r="I6" s="5" t="n">
        <v>0.45</v>
      </c>
      <c r="J6" s="7" t="n">
        <v>2.6672</v>
      </c>
    </row>
    <row r="7" customFormat="false" ht="15" hidden="false" customHeight="false" outlineLevel="0" collapsed="false">
      <c r="A7" s="4" t="s">
        <v>15</v>
      </c>
      <c r="B7" s="4" t="s">
        <v>11</v>
      </c>
      <c r="C7" s="5" t="n">
        <v>0.11</v>
      </c>
      <c r="E7" s="4" t="s">
        <v>16</v>
      </c>
      <c r="F7" s="4"/>
      <c r="G7" s="6" t="n">
        <v>50</v>
      </c>
      <c r="H7" s="6" t="n">
        <v>12</v>
      </c>
      <c r="I7" s="5" t="n">
        <v>0.2</v>
      </c>
      <c r="J7" s="7" t="n">
        <v>4.67552</v>
      </c>
    </row>
    <row r="8" customFormat="false" ht="15" hidden="false" customHeight="false" outlineLevel="0" collapsed="false">
      <c r="A8" s="4" t="s">
        <v>17</v>
      </c>
      <c r="B8" s="4" t="s">
        <v>11</v>
      </c>
      <c r="C8" s="5" t="n">
        <v>0.12</v>
      </c>
      <c r="E8" s="8" t="s">
        <v>18</v>
      </c>
      <c r="F8" s="8"/>
      <c r="G8" s="9" t="n">
        <f aca="false">SUMPRODUCT(G5:G7,$I$5:$I$7)</f>
        <v>28.75</v>
      </c>
      <c r="H8" s="9" t="n">
        <f aca="false">SUMPRODUCT(H5:H7,$I$5:$I$7)</f>
        <v>6.15</v>
      </c>
      <c r="I8" s="10" t="n">
        <f aca="false">SUM(I5:I7)</f>
        <v>1</v>
      </c>
      <c r="J8" s="9" t="n">
        <f aca="false">SUMPRODUCT(J5:J7,$I$5:$I$7)</f>
        <v>2.717408</v>
      </c>
    </row>
    <row r="9" customFormat="false" ht="15" hidden="false" customHeight="false" outlineLevel="0" collapsed="false">
      <c r="A9" s="4" t="s">
        <v>19</v>
      </c>
      <c r="B9" s="4" t="s">
        <v>11</v>
      </c>
      <c r="C9" s="5" t="n">
        <v>0.25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5" t="n">
        <v>0.03</v>
      </c>
      <c r="E10" s="2" t="s">
        <v>22</v>
      </c>
      <c r="F10" s="2"/>
      <c r="G10" s="2"/>
      <c r="H10" s="2"/>
      <c r="I10" s="2"/>
      <c r="J10" s="2" t="s">
        <v>4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11" t="n">
        <v>0.01</v>
      </c>
      <c r="E11" s="4" t="s">
        <v>25</v>
      </c>
      <c r="F11" s="4"/>
      <c r="G11" s="4"/>
      <c r="H11" s="4"/>
      <c r="I11" s="4"/>
      <c r="J11" s="12" t="n">
        <v>400</v>
      </c>
    </row>
    <row r="12" customFormat="false" ht="15" hidden="false" customHeight="false" outlineLevel="0" collapsed="false">
      <c r="A12" s="4" t="s">
        <v>26</v>
      </c>
      <c r="B12" s="4" t="s">
        <v>11</v>
      </c>
      <c r="C12" s="13" t="n">
        <v>0.25168</v>
      </c>
      <c r="E12" s="4" t="s">
        <v>27</v>
      </c>
      <c r="F12" s="4"/>
      <c r="G12" s="4"/>
      <c r="H12" s="4"/>
      <c r="I12" s="4"/>
      <c r="J12" s="14" t="n">
        <v>6.92949528528841</v>
      </c>
    </row>
    <row r="13" customFormat="false" ht="15" hidden="false" customHeight="false" outlineLevel="0" collapsed="false">
      <c r="A13" s="4" t="s">
        <v>28</v>
      </c>
      <c r="B13" s="4" t="s">
        <v>24</v>
      </c>
      <c r="C13" s="13" t="n">
        <v>0.017580491532707</v>
      </c>
      <c r="E13" s="4" t="s">
        <v>29</v>
      </c>
      <c r="F13" s="4"/>
      <c r="G13" s="4"/>
      <c r="H13" s="4"/>
      <c r="I13" s="4"/>
      <c r="J13" s="14" t="n">
        <v>11.0291147268624</v>
      </c>
    </row>
    <row r="14" customFormat="false" ht="15" hidden="false" customHeight="false" outlineLevel="0" collapsed="false">
      <c r="A14" s="4" t="s">
        <v>30</v>
      </c>
      <c r="B14" s="4" t="s">
        <v>11</v>
      </c>
      <c r="C14" s="5" t="n">
        <v>0.2</v>
      </c>
      <c r="E14" s="4" t="s">
        <v>31</v>
      </c>
      <c r="F14" s="4"/>
      <c r="G14" s="4"/>
      <c r="H14" s="4"/>
      <c r="I14" s="4"/>
      <c r="J14" s="15" t="s">
        <v>32</v>
      </c>
    </row>
    <row r="15" customFormat="false" ht="15" hidden="false" customHeight="false" outlineLevel="0" collapsed="false">
      <c r="A15" s="4" t="s">
        <v>33</v>
      </c>
      <c r="B15" s="4" t="s">
        <v>34</v>
      </c>
      <c r="C15" s="16" t="n">
        <v>10</v>
      </c>
    </row>
    <row r="18" customFormat="false" ht="15" hidden="false" customHeight="false" outlineLevel="0" collapsed="false">
      <c r="A18" s="2" t="s">
        <v>35</v>
      </c>
      <c r="B18" s="2" t="s">
        <v>3</v>
      </c>
      <c r="C18" s="17" t="s">
        <v>36</v>
      </c>
      <c r="D18" s="17" t="s">
        <v>37</v>
      </c>
      <c r="E18" s="17" t="s">
        <v>38</v>
      </c>
      <c r="F18" s="17" t="s">
        <v>39</v>
      </c>
      <c r="G18" s="17" t="s">
        <v>40</v>
      </c>
      <c r="H18" s="17" t="s">
        <v>41</v>
      </c>
      <c r="I18" s="17" t="s">
        <v>42</v>
      </c>
      <c r="J18" s="17" t="s">
        <v>43</v>
      </c>
      <c r="K18" s="17" t="s">
        <v>44</v>
      </c>
      <c r="L18" s="17" t="s">
        <v>45</v>
      </c>
      <c r="M18" s="17" t="s">
        <v>46</v>
      </c>
    </row>
    <row r="19" customFormat="false" ht="15" hidden="false" customHeight="false" outlineLevel="0" collapsed="false">
      <c r="A19" s="4" t="s">
        <v>47</v>
      </c>
      <c r="B19" s="4" t="s">
        <v>48</v>
      </c>
      <c r="C19" s="16" t="n">
        <v>1</v>
      </c>
      <c r="D19" s="16" t="n">
        <v>2</v>
      </c>
      <c r="E19" s="16" t="n">
        <v>3</v>
      </c>
      <c r="F19" s="16" t="n">
        <v>4</v>
      </c>
      <c r="G19" s="16" t="n">
        <v>5</v>
      </c>
      <c r="H19" s="16" t="n">
        <v>6</v>
      </c>
      <c r="I19" s="16" t="n">
        <v>7</v>
      </c>
      <c r="J19" s="16" t="n">
        <v>8</v>
      </c>
      <c r="K19" s="16" t="n">
        <v>9</v>
      </c>
      <c r="L19" s="16" t="n">
        <v>10</v>
      </c>
    </row>
    <row r="20" customFormat="false" ht="15" hidden="false" customHeight="false" outlineLevel="0" collapsed="false">
      <c r="A20" s="4" t="s">
        <v>49</v>
      </c>
      <c r="B20" s="4"/>
      <c r="C20" s="18" t="s">
        <v>50</v>
      </c>
      <c r="D20" s="18" t="s">
        <v>50</v>
      </c>
      <c r="E20" s="18" t="s">
        <v>50</v>
      </c>
      <c r="F20" s="18" t="s">
        <v>50</v>
      </c>
      <c r="G20" s="18" t="s">
        <v>50</v>
      </c>
      <c r="H20" s="18" t="s">
        <v>51</v>
      </c>
      <c r="I20" s="18" t="s">
        <v>51</v>
      </c>
      <c r="J20" s="18" t="s">
        <v>51</v>
      </c>
      <c r="K20" s="18" t="s">
        <v>51</v>
      </c>
      <c r="L20" s="18" t="s">
        <v>51</v>
      </c>
    </row>
    <row r="22" customFormat="false" ht="15" hidden="false" customHeight="false" outlineLevel="0" collapsed="false">
      <c r="A22" s="19" t="s">
        <v>52</v>
      </c>
    </row>
    <row r="23" customFormat="false" ht="15" hidden="false" customHeight="false" outlineLevel="0" collapsed="false">
      <c r="A23" s="4" t="s">
        <v>53</v>
      </c>
      <c r="B23" s="4" t="s">
        <v>48</v>
      </c>
      <c r="C23" s="16" t="n">
        <v>1.06093534837467</v>
      </c>
      <c r="D23" s="16" t="n">
        <v>17.5985909615109</v>
      </c>
      <c r="E23" s="16" t="n">
        <v>77.249595001917</v>
      </c>
      <c r="F23" s="16" t="n">
        <v>203.400031810899</v>
      </c>
      <c r="G23" s="16" t="n">
        <v>400.000009074275</v>
      </c>
      <c r="H23" s="4"/>
      <c r="I23" s="4"/>
      <c r="J23" s="4"/>
      <c r="K23" s="4"/>
      <c r="L23" s="4"/>
    </row>
    <row r="24" customFormat="false" ht="17.35" hidden="false" customHeight="false" outlineLevel="0" collapsed="false">
      <c r="A24" s="4" t="s">
        <v>54</v>
      </c>
      <c r="B24" s="4" t="s">
        <v>55</v>
      </c>
      <c r="C24" s="16" t="n">
        <v>30.9967989601111</v>
      </c>
      <c r="D24" s="16" t="n">
        <v>552.94498179899</v>
      </c>
      <c r="E24" s="16" t="n">
        <v>2619.64347232039</v>
      </c>
      <c r="F24" s="16" t="n">
        <v>7429.62436790497</v>
      </c>
      <c r="G24" s="16" t="n">
        <v>15745.7780317477</v>
      </c>
      <c r="H24" s="4"/>
      <c r="I24" s="4"/>
      <c r="J24" s="4"/>
      <c r="K24" s="4"/>
      <c r="L24" s="4"/>
      <c r="O24" s="20" t="s">
        <v>56</v>
      </c>
      <c r="P24" s="20"/>
      <c r="Q24" s="20"/>
      <c r="R24" s="20"/>
      <c r="S24" s="20"/>
      <c r="T24" s="20"/>
      <c r="U24" s="20"/>
      <c r="V24" s="20"/>
      <c r="W24" s="20"/>
      <c r="X24" s="20"/>
    </row>
    <row r="25" customFormat="false" ht="15" hidden="false" customHeight="false" outlineLevel="0" collapsed="false">
      <c r="A25" s="4" t="s">
        <v>57</v>
      </c>
      <c r="B25" s="4" t="s">
        <v>55</v>
      </c>
      <c r="C25" s="6" t="n">
        <f aca="false">IFERROR(C24/C23,0)</f>
        <v>29.2164824252465</v>
      </c>
      <c r="D25" s="6" t="n">
        <f aca="false">IFERROR(D24/D23,0)</f>
        <v>31.4198439527522</v>
      </c>
      <c r="E25" s="6" t="n">
        <f aca="false">IFERROR(E24/E23,0)</f>
        <v>33.9114201473209</v>
      </c>
      <c r="F25" s="6" t="n">
        <f aca="false">IFERROR(F24/F23,0)</f>
        <v>36.5271544048346</v>
      </c>
      <c r="G25" s="6" t="n">
        <f aca="false">IFERROR(G24/G23,0)</f>
        <v>39.3644441863599</v>
      </c>
      <c r="H25" s="4"/>
      <c r="I25" s="4"/>
      <c r="J25" s="4"/>
      <c r="K25" s="4"/>
      <c r="L25" s="4"/>
      <c r="O25" s="21" t="str">
        <f aca="false">"The base case delivers an NPV of ₹"&amp;TEXT(C58,"#,##0.0")&amp;" Cr at a "&amp;TEXT($C$5,"0%")&amp;" discount rate, "&amp;TEXT(C58/$C$15,"0")&amp;"x the team's ₹"&amp;TEXT($C$15,"0")&amp;" Cr target. It matches the financial model base valuation."</f>
        <v>The base case delivers an NPV of ₹367.7 Cr at a 12% discount rate, 37x the team's ₹10 Cr target. It matches the financial model base valuation.</v>
      </c>
      <c r="P25" s="21"/>
      <c r="Q25" s="21"/>
      <c r="R25" s="21"/>
      <c r="S25" s="21"/>
      <c r="T25" s="21"/>
      <c r="U25" s="21"/>
      <c r="V25" s="21"/>
      <c r="W25" s="21"/>
      <c r="X25" s="21"/>
    </row>
    <row r="26" customFormat="false" ht="15" hidden="false" customHeight="false" outlineLevel="0" collapsed="false"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customFormat="false" ht="15" hidden="false" customHeight="false" outlineLevel="0" collapsed="false">
      <c r="A27" s="19" t="s">
        <v>58</v>
      </c>
      <c r="O27" s="21" t="str">
        <f aca="false">"Live paying plants grow from "&amp;TEXT(C23,"0")&amp;" in FY27 to "&amp;TEXT(G23,"0")&amp;" in FY31, taking revenue to ₹"&amp;TEXT(G32/100,"0.0")&amp;" Cr and closing ARR to ₹"&amp;TEXT(G24/100,"0.0")&amp;" Cr (₹"&amp;TEXT(G25,"0.0")&amp;" L per plant)."</f>
        <v>Live paying plants grow from 1 in FY27 to 400 in FY31, taking revenue to ₹150.9 Cr and closing ARR to ₹157.5 Cr (₹39.4 L per plant).</v>
      </c>
      <c r="P27" s="21"/>
      <c r="Q27" s="21"/>
      <c r="R27" s="21"/>
      <c r="S27" s="21"/>
      <c r="T27" s="21"/>
      <c r="U27" s="21"/>
      <c r="V27" s="21"/>
      <c r="W27" s="21"/>
      <c r="X27" s="21"/>
    </row>
    <row r="28" customFormat="false" ht="15" hidden="false" customHeight="false" outlineLevel="0" collapsed="false">
      <c r="A28" s="4" t="s">
        <v>59</v>
      </c>
      <c r="B28" s="4" t="s">
        <v>55</v>
      </c>
      <c r="C28" s="16" t="n">
        <v>4.85835509008598</v>
      </c>
      <c r="D28" s="16" t="n">
        <v>187.885074385066</v>
      </c>
      <c r="E28" s="16" t="n">
        <v>1385.31029969027</v>
      </c>
      <c r="F28" s="16" t="n">
        <v>4773.93973353883</v>
      </c>
      <c r="G28" s="16" t="n">
        <v>11320.2833399539</v>
      </c>
      <c r="H28" s="4"/>
      <c r="I28" s="4"/>
      <c r="J28" s="4"/>
      <c r="K28" s="4"/>
      <c r="L28" s="4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customFormat="false" ht="15" hidden="false" customHeight="false" outlineLevel="0" collapsed="false">
      <c r="A29" s="4" t="s">
        <v>60</v>
      </c>
      <c r="B29" s="4" t="s">
        <v>55</v>
      </c>
      <c r="C29" s="16" t="n">
        <v>6.595875</v>
      </c>
      <c r="D29" s="16" t="n">
        <v>110.0331725724</v>
      </c>
      <c r="E29" s="16" t="n">
        <v>429.4382075676</v>
      </c>
      <c r="F29" s="16" t="n">
        <v>984.366709684281</v>
      </c>
      <c r="G29" s="16" t="n">
        <v>1672.03758691012</v>
      </c>
      <c r="H29" s="4"/>
      <c r="I29" s="4"/>
      <c r="J29" s="4"/>
      <c r="K29" s="4"/>
      <c r="L29" s="4"/>
      <c r="O29" s="21" t="str">
        <f aca="false">"EBITDA turns positive in "&amp;J14&amp;" on the monthly engine; cumulative free cash flow pays back in "&amp;J55&amp;". Peak cash deficit is ₹"&amp;TEXT(J12,"0.0")&amp;" Cr against a total equity need of ₹"&amp;TEXT(J13,"0.0")&amp;" Cr."</f>
        <v>EBITDA turns positive in Aug-28  (FY29) on the monthly engine; cumulative free cash flow pays back in FY30. Peak cash deficit is ₹6.9 Cr against a total equity need of ₹11.0 Cr.</v>
      </c>
      <c r="P29" s="21"/>
      <c r="Q29" s="21"/>
      <c r="R29" s="21"/>
      <c r="S29" s="21"/>
      <c r="T29" s="21"/>
      <c r="U29" s="21"/>
      <c r="V29" s="21"/>
      <c r="W29" s="21"/>
      <c r="X29" s="21"/>
    </row>
    <row r="30" customFormat="false" ht="15" hidden="false" customHeight="false" outlineLevel="0" collapsed="false">
      <c r="A30" s="4" t="s">
        <v>61</v>
      </c>
      <c r="B30" s="4" t="s">
        <v>55</v>
      </c>
      <c r="C30" s="16" t="n">
        <v>16.8145625</v>
      </c>
      <c r="D30" s="16" t="n">
        <v>169.206608756</v>
      </c>
      <c r="E30" s="16" t="n">
        <v>519.33964328</v>
      </c>
      <c r="F30" s="16" t="n">
        <v>1024.796182316</v>
      </c>
      <c r="G30" s="16" t="n">
        <v>1569.546908852</v>
      </c>
      <c r="H30" s="4"/>
      <c r="I30" s="4"/>
      <c r="J30" s="4"/>
      <c r="K30" s="4"/>
      <c r="L30" s="4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customFormat="false" ht="15" hidden="false" customHeight="false" outlineLevel="0" collapsed="false">
      <c r="A31" s="4" t="s">
        <v>62</v>
      </c>
      <c r="B31" s="4" t="s">
        <v>55</v>
      </c>
      <c r="C31" s="16" t="n">
        <v>0.368832242728407</v>
      </c>
      <c r="D31" s="16" t="n">
        <v>11.7201793860428</v>
      </c>
      <c r="E31" s="16" t="n">
        <v>77.0596528348753</v>
      </c>
      <c r="F31" s="16" t="n">
        <v>243.213596914274</v>
      </c>
      <c r="G31" s="16" t="n">
        <v>531.104132466704</v>
      </c>
      <c r="H31" s="4"/>
      <c r="I31" s="4"/>
      <c r="J31" s="4"/>
      <c r="K31" s="4"/>
      <c r="L31" s="4"/>
      <c r="O31" s="21" t="str">
        <f aca="false">"Value is spread across the horizon: "&amp;TEXT(C54/C57,"0%")&amp;" from FY27-FY31, "&amp;TEXT(C55/C57,"0%")&amp;" from the FY32-FY36 fade and "&amp;TEXT(C56/C57,"0%")&amp;" from the terminal value. Without any terminal value the NPV is still ₹"&amp;TEXT(J60,"0")&amp;" Cr."</f>
        <v>Value is spread across the horizon: 13% from FY27-FY31, 41% from the FY32-FY36 fade and 46% from the terminal value. Without any terminal value the NPV is still ₹198 Cr.</v>
      </c>
      <c r="P31" s="21"/>
      <c r="Q31" s="21"/>
      <c r="R31" s="21"/>
      <c r="S31" s="21"/>
      <c r="T31" s="21"/>
      <c r="U31" s="21"/>
      <c r="V31" s="21"/>
      <c r="W31" s="21"/>
      <c r="X31" s="21"/>
    </row>
    <row r="32" customFormat="false" ht="15" hidden="false" customHeight="false" outlineLevel="0" collapsed="false">
      <c r="A32" s="22" t="s">
        <v>63</v>
      </c>
      <c r="B32" s="23" t="s">
        <v>55</v>
      </c>
      <c r="C32" s="24" t="n">
        <f aca="false">SUM(C28:C31)</f>
        <v>28.6376248328144</v>
      </c>
      <c r="D32" s="24" t="n">
        <f aca="false">SUM(D28:D31)</f>
        <v>478.845035099508</v>
      </c>
      <c r="E32" s="24" t="n">
        <f aca="false">SUM(E28:E31)</f>
        <v>2411.14780337274</v>
      </c>
      <c r="F32" s="24" t="n">
        <f aca="false">SUM(F28:F31)</f>
        <v>7026.31622245338</v>
      </c>
      <c r="G32" s="24" t="n">
        <f aca="false">SUM(G28:G31)</f>
        <v>15092.9719681828</v>
      </c>
      <c r="H32" s="24" t="n">
        <f aca="false">G32*(1+H33)</f>
        <v>16753.1988846829</v>
      </c>
      <c r="I32" s="24" t="n">
        <f aca="false">H32*(1+I33)</f>
        <v>18637.9337592097</v>
      </c>
      <c r="J32" s="24" t="n">
        <f aca="false">I32*(1+J33)</f>
        <v>20781.2961415188</v>
      </c>
      <c r="K32" s="24" t="n">
        <f aca="false">J32*(1+K33)</f>
        <v>23223.0984381473</v>
      </c>
      <c r="L32" s="24" t="n">
        <f aca="false">K32*(1+L33)</f>
        <v>26009.8702507249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customFormat="false" ht="15" hidden="false" customHeight="false" outlineLevel="0" collapsed="false">
      <c r="A33" s="4" t="s">
        <v>64</v>
      </c>
      <c r="B33" s="4" t="s">
        <v>11</v>
      </c>
      <c r="C33" s="4"/>
      <c r="D33" s="5" t="n">
        <f aca="false">IFERROR(D32/C32-1,0)</f>
        <v>15.7208362388638</v>
      </c>
      <c r="E33" s="5" t="n">
        <f aca="false">IFERROR(E32/D32-1,0)</f>
        <v>4.03534051025857</v>
      </c>
      <c r="F33" s="5" t="n">
        <f aca="false">IFERROR(F32/E32-1,0)</f>
        <v>1.91409602207915</v>
      </c>
      <c r="G33" s="5" t="n">
        <f aca="false">IFERROR(G32/F32-1,0)</f>
        <v>1.14806329381411</v>
      </c>
      <c r="H33" s="5" t="n">
        <f aca="false">$C$7+($C$8-$C$7)*(H19-6)/4</f>
        <v>0.11</v>
      </c>
      <c r="I33" s="5" t="n">
        <f aca="false">$C$7+($C$8-$C$7)*(I19-6)/4</f>
        <v>0.1125</v>
      </c>
      <c r="J33" s="5" t="n">
        <f aca="false">$C$7+($C$8-$C$7)*(J19-6)/4</f>
        <v>0.115</v>
      </c>
      <c r="K33" s="5" t="n">
        <f aca="false">$C$7+($C$8-$C$7)*(K19-6)/4</f>
        <v>0.1175</v>
      </c>
      <c r="L33" s="5" t="n">
        <f aca="false">$C$7+($C$8-$C$7)*(L19-6)/4</f>
        <v>0.12</v>
      </c>
      <c r="O33" s="21" t="str">
        <f aca="false">"The terminal value assumes a "&amp;TEXT(J64,"0%")&amp;" steady-state EBITDA margin, well below the "&amp;TEXT(G41,"0%")&amp;" in FY31, so the valuation does not depend on peak margins."</f>
        <v>The terminal value assumes a 25% steady-state EBITDA margin, well below the 58% in FY31, so the valuation does not depend on peak margins.</v>
      </c>
      <c r="P33" s="21"/>
      <c r="Q33" s="21"/>
      <c r="R33" s="21"/>
      <c r="S33" s="21"/>
      <c r="T33" s="21"/>
      <c r="U33" s="21"/>
      <c r="V33" s="21"/>
      <c r="W33" s="21"/>
      <c r="X33" s="21"/>
    </row>
    <row r="34" customFormat="false" ht="15" hidden="false" customHeight="false" outlineLevel="0" collapsed="false"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customFormat="false" ht="15" hidden="false" customHeight="false" outlineLevel="0" collapsed="false">
      <c r="A35" s="19" t="s">
        <v>65</v>
      </c>
      <c r="O35" s="21" t="str">
        <f aca="false">"Subscription is "&amp;TEXT(G28/G32,"0%")&amp;" of FY31 revenue; the rest is one-time implementation and pilot fees and expected gain-share, which fund deployment rather than drive value."</f>
        <v>Subscription is 75% of FY31 revenue; the rest is one-time implementation and pilot fees and expected gain-share, which fund deployment rather than drive value.</v>
      </c>
      <c r="P35" s="21"/>
      <c r="Q35" s="21"/>
      <c r="R35" s="21"/>
      <c r="S35" s="21"/>
      <c r="T35" s="21"/>
      <c r="U35" s="21"/>
      <c r="V35" s="21"/>
      <c r="W35" s="21"/>
      <c r="X35" s="21"/>
    </row>
    <row r="36" customFormat="false" ht="15" hidden="false" customHeight="false" outlineLevel="0" collapsed="false">
      <c r="A36" s="4" t="s">
        <v>66</v>
      </c>
      <c r="B36" s="4" t="s">
        <v>55</v>
      </c>
      <c r="C36" s="16" t="n">
        <v>-45.1319523979446</v>
      </c>
      <c r="D36" s="16" t="n">
        <v>-261.699664754561</v>
      </c>
      <c r="E36" s="16" t="n">
        <v>-830.896013722867</v>
      </c>
      <c r="F36" s="16" t="n">
        <v>-1822.59325825297</v>
      </c>
      <c r="G36" s="16" t="n">
        <v>-3115.74665238484</v>
      </c>
      <c r="H36" s="4"/>
      <c r="I36" s="4"/>
      <c r="J36" s="4"/>
      <c r="K36" s="4"/>
      <c r="L36" s="4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customFormat="false" ht="15" hidden="false" customHeight="false" outlineLevel="0" collapsed="false">
      <c r="A37" s="4" t="s">
        <v>67</v>
      </c>
      <c r="B37" s="4" t="s">
        <v>55</v>
      </c>
      <c r="C37" s="16" t="n">
        <v>-69.8066666666667</v>
      </c>
      <c r="D37" s="16" t="n">
        <v>-178.1892</v>
      </c>
      <c r="E37" s="16" t="n">
        <v>-255.140928</v>
      </c>
      <c r="F37" s="16" t="n">
        <v>-347.16205692</v>
      </c>
      <c r="G37" s="16" t="n">
        <v>-486.1137824172</v>
      </c>
      <c r="H37" s="4"/>
      <c r="I37" s="4"/>
      <c r="J37" s="4"/>
      <c r="K37" s="4"/>
      <c r="L37" s="4"/>
    </row>
    <row r="38" customFormat="false" ht="15" hidden="false" customHeight="false" outlineLevel="0" collapsed="false">
      <c r="A38" s="4" t="s">
        <v>68</v>
      </c>
      <c r="B38" s="4" t="s">
        <v>55</v>
      </c>
      <c r="C38" s="16" t="n">
        <v>-72.354</v>
      </c>
      <c r="D38" s="16" t="n">
        <v>-306.513515193</v>
      </c>
      <c r="E38" s="16" t="n">
        <v>-812.2577801856</v>
      </c>
      <c r="F38" s="16" t="n">
        <v>-1558.71949727976</v>
      </c>
      <c r="G38" s="16" t="n">
        <v>-2385.41876367645</v>
      </c>
      <c r="H38" s="4"/>
      <c r="I38" s="4"/>
      <c r="J38" s="4"/>
      <c r="K38" s="4"/>
      <c r="L38" s="4"/>
    </row>
    <row r="39" customFormat="false" ht="15" hidden="false" customHeight="false" outlineLevel="0" collapsed="false">
      <c r="A39" s="4" t="s">
        <v>69</v>
      </c>
      <c r="B39" s="4" t="s">
        <v>55</v>
      </c>
      <c r="C39" s="16" t="n">
        <v>-44.68</v>
      </c>
      <c r="D39" s="16" t="n">
        <v>-81.942</v>
      </c>
      <c r="E39" s="16" t="n">
        <v>-158.05902</v>
      </c>
      <c r="F39" s="16" t="n">
        <v>-236.49890712</v>
      </c>
      <c r="G39" s="16" t="n">
        <v>-319.5972394896</v>
      </c>
      <c r="H39" s="4"/>
      <c r="I39" s="4"/>
      <c r="J39" s="4"/>
      <c r="K39" s="4"/>
      <c r="L39" s="4"/>
    </row>
    <row r="40" customFormat="false" ht="15" hidden="false" customHeight="false" outlineLevel="0" collapsed="false">
      <c r="A40" s="22" t="s">
        <v>70</v>
      </c>
      <c r="B40" s="23" t="s">
        <v>55</v>
      </c>
      <c r="C40" s="24" t="n">
        <f aca="false">C32+SUM(C36:C39)</f>
        <v>-203.334994231797</v>
      </c>
      <c r="D40" s="24" t="n">
        <f aca="false">D32+SUM(D36:D39)</f>
        <v>-349.499344848053</v>
      </c>
      <c r="E40" s="24" t="n">
        <f aca="false">E32+SUM(E36:E39)</f>
        <v>354.794061464275</v>
      </c>
      <c r="F40" s="24" t="n">
        <f aca="false">F32+SUM(F36:F39)</f>
        <v>3061.34250288065</v>
      </c>
      <c r="G40" s="24" t="n">
        <f aca="false">G32+SUM(G36:G39)</f>
        <v>8786.09553021468</v>
      </c>
      <c r="H40" s="24" t="n">
        <f aca="false">H32*H41</f>
        <v>9249.97007199781</v>
      </c>
      <c r="I40" s="24" t="n">
        <f aca="false">I32*I41</f>
        <v>9731.45369232127</v>
      </c>
      <c r="J40" s="24" t="n">
        <f aca="false">J32*J41</f>
        <v>10227.1319826926</v>
      </c>
      <c r="K40" s="24" t="n">
        <f aca="false">K32*K41</f>
        <v>10732.1270375146</v>
      </c>
      <c r="L40" s="24" t="n">
        <f aca="false">L32*L41</f>
        <v>11239.6861744946</v>
      </c>
    </row>
    <row r="41" customFormat="false" ht="15" hidden="false" customHeight="false" outlineLevel="0" collapsed="false">
      <c r="A41" s="4" t="s">
        <v>71</v>
      </c>
      <c r="B41" s="4" t="s">
        <v>11</v>
      </c>
      <c r="C41" s="5" t="n">
        <f aca="false">IFERROR(C40/C32,0)</f>
        <v>-7.10027439142948</v>
      </c>
      <c r="D41" s="5" t="n">
        <f aca="false">IFERROR(D40/D32,0)</f>
        <v>-0.729879855129799</v>
      </c>
      <c r="E41" s="5" t="n">
        <f aca="false">IFERROR(E40/E32,0)</f>
        <v>0.147147371458517</v>
      </c>
      <c r="F41" s="5" t="n">
        <f aca="false">IFERROR(F40/F32,0)</f>
        <v>0.435696658954487</v>
      </c>
      <c r="G41" s="5" t="n">
        <f aca="false">IFERROR(G40/G32,0)</f>
        <v>0.582131574135067</v>
      </c>
      <c r="H41" s="5" t="n">
        <f aca="false">G41+MAX(-$C$10,MIN($C$10,$C$9-G41))</f>
        <v>0.552131574135067</v>
      </c>
      <c r="I41" s="5" t="n">
        <f aca="false">H41+MAX(-$C$10,MIN($C$10,$C$9-H41))</f>
        <v>0.522131574135067</v>
      </c>
      <c r="J41" s="5" t="n">
        <f aca="false">I41+MAX(-$C$10,MIN($C$10,$C$9-I41))</f>
        <v>0.492131574135067</v>
      </c>
      <c r="K41" s="5" t="n">
        <f aca="false">J41+MAX(-$C$10,MIN($C$10,$C$9-J41))</f>
        <v>0.462131574135067</v>
      </c>
      <c r="L41" s="5" t="n">
        <f aca="false">K41+MAX(-$C$10,MIN($C$10,$C$9-K41))</f>
        <v>0.432131574135067</v>
      </c>
    </row>
    <row r="42" customFormat="false" ht="15" hidden="false" customHeight="false" outlineLevel="0" collapsed="false">
      <c r="A42" s="4" t="s">
        <v>72</v>
      </c>
      <c r="B42" s="4" t="s">
        <v>55</v>
      </c>
      <c r="C42" s="16" t="n">
        <v>-6.17777777777778</v>
      </c>
      <c r="D42" s="16" t="n">
        <v>-12.5</v>
      </c>
      <c r="E42" s="16" t="n">
        <v>-21.3666666666667</v>
      </c>
      <c r="F42" s="16" t="n">
        <v>-28.0222222222222</v>
      </c>
      <c r="G42" s="16" t="n">
        <v>-36.9666666666667</v>
      </c>
      <c r="H42" s="16" t="n">
        <f aca="false">H44</f>
        <v>-167.531988846829</v>
      </c>
      <c r="I42" s="16" t="n">
        <f aca="false">I44</f>
        <v>-186.379337592097</v>
      </c>
      <c r="J42" s="16" t="n">
        <f aca="false">J44</f>
        <v>-207.812961415188</v>
      </c>
      <c r="K42" s="16" t="n">
        <f aca="false">K44</f>
        <v>-232.230984381473</v>
      </c>
      <c r="L42" s="16" t="n">
        <f aca="false">L44</f>
        <v>-260.098702507249</v>
      </c>
    </row>
    <row r="43" customFormat="false" ht="15" hidden="false" customHeight="false" outlineLevel="0" collapsed="false">
      <c r="A43" s="4" t="s">
        <v>73</v>
      </c>
      <c r="B43" s="4" t="s">
        <v>55</v>
      </c>
      <c r="C43" s="16" t="n">
        <f aca="false">C40+C42</f>
        <v>-209.512772009575</v>
      </c>
      <c r="D43" s="16" t="n">
        <f aca="false">D40+D42</f>
        <v>-361.999344848053</v>
      </c>
      <c r="E43" s="16" t="n">
        <f aca="false">E40+E42</f>
        <v>333.427394797609</v>
      </c>
      <c r="F43" s="16" t="n">
        <f aca="false">F40+F42</f>
        <v>3033.32028065843</v>
      </c>
      <c r="G43" s="16" t="n">
        <f aca="false">G40+G42</f>
        <v>8749.12886354801</v>
      </c>
      <c r="H43" s="16" t="n">
        <f aca="false">H40+H42</f>
        <v>9082.43808315098</v>
      </c>
      <c r="I43" s="16" t="n">
        <f aca="false">I40+I42</f>
        <v>9545.07435472917</v>
      </c>
      <c r="J43" s="16" t="n">
        <f aca="false">J40+J42</f>
        <v>10019.3190212775</v>
      </c>
      <c r="K43" s="16" t="n">
        <f aca="false">K40+K42</f>
        <v>10499.8960531331</v>
      </c>
      <c r="L43" s="16" t="n">
        <f aca="false">L40+L42</f>
        <v>10979.5874719874</v>
      </c>
    </row>
    <row r="44" customFormat="false" ht="15" hidden="false" customHeight="false" outlineLevel="0" collapsed="false">
      <c r="A44" s="4" t="s">
        <v>74</v>
      </c>
      <c r="B44" s="4" t="s">
        <v>55</v>
      </c>
      <c r="C44" s="16" t="n">
        <v>-23.2</v>
      </c>
      <c r="D44" s="16" t="n">
        <v>-16.8</v>
      </c>
      <c r="E44" s="16" t="n">
        <v>-33.6</v>
      </c>
      <c r="F44" s="16" t="n">
        <v>-42</v>
      </c>
      <c r="G44" s="16" t="n">
        <v>-48</v>
      </c>
      <c r="H44" s="16" t="n">
        <f aca="false">-H32*$C$11</f>
        <v>-167.531988846829</v>
      </c>
      <c r="I44" s="16" t="n">
        <f aca="false">-I32*$C$11</f>
        <v>-186.379337592097</v>
      </c>
      <c r="J44" s="16" t="n">
        <f aca="false">-J32*$C$11</f>
        <v>-207.812961415188</v>
      </c>
      <c r="K44" s="16" t="n">
        <f aca="false">-K32*$C$11</f>
        <v>-232.230984381473</v>
      </c>
      <c r="L44" s="16" t="n">
        <f aca="false">-L32*$C$11</f>
        <v>-260.098702507249</v>
      </c>
    </row>
    <row r="45" customFormat="false" ht="15" hidden="false" customHeight="false" outlineLevel="0" collapsed="false">
      <c r="A45" s="4" t="s">
        <v>75</v>
      </c>
      <c r="B45" s="4" t="s">
        <v>55</v>
      </c>
      <c r="C45" s="16" t="n">
        <v>0</v>
      </c>
      <c r="D45" s="16" t="n">
        <v>0</v>
      </c>
      <c r="E45" s="16" t="n">
        <v>0</v>
      </c>
      <c r="F45" s="16" t="n">
        <v>-703.504885388048</v>
      </c>
      <c r="G45" s="16" t="n">
        <v>-2201.98075237776</v>
      </c>
      <c r="H45" s="16" t="n">
        <f aca="false">-MAX(0,H43)*$C$12</f>
        <v>-2285.86801676744</v>
      </c>
      <c r="I45" s="16" t="n">
        <f aca="false">-MAX(0,I43)*$C$12</f>
        <v>-2402.30431359824</v>
      </c>
      <c r="J45" s="16" t="n">
        <f aca="false">-MAX(0,J43)*$C$12</f>
        <v>-2521.66221127511</v>
      </c>
      <c r="K45" s="16" t="n">
        <f aca="false">-MAX(0,K43)*$C$12</f>
        <v>-2642.61383865255</v>
      </c>
      <c r="L45" s="16" t="n">
        <f aca="false">-MAX(0,L43)*$C$12</f>
        <v>-2763.34257494978</v>
      </c>
    </row>
    <row r="46" customFormat="false" ht="15" hidden="false" customHeight="false" outlineLevel="0" collapsed="false">
      <c r="A46" s="4" t="s">
        <v>76</v>
      </c>
      <c r="B46" s="4" t="s">
        <v>55</v>
      </c>
      <c r="C46" s="16" t="n">
        <v>2.72888142720782</v>
      </c>
      <c r="D46" s="16" t="n">
        <v>-28.602638253527</v>
      </c>
      <c r="E46" s="16" t="n">
        <v>-58.9732211969285</v>
      </c>
      <c r="F46" s="16" t="n">
        <v>-84.4401334991477</v>
      </c>
      <c r="G46" s="16" t="n">
        <v>-96.0547543676255</v>
      </c>
      <c r="H46" s="16" t="n">
        <f aca="false">-$C$13*(H32-G32)</f>
        <v>-29.1876052479023</v>
      </c>
      <c r="I46" s="16" t="n">
        <f aca="false">-$C$13*(I32-H32)</f>
        <v>-33.1345655030164</v>
      </c>
      <c r="J46" s="16" t="n">
        <f aca="false">-$C$13*(J32-I32)</f>
        <v>-37.681364213708</v>
      </c>
      <c r="K46" s="16" t="n">
        <f aca="false">-$C$13*(K32-J32)</f>
        <v>-42.9280846004211</v>
      </c>
      <c r="L46" s="16" t="n">
        <f aca="false">-$C$13*(L32-K32)</f>
        <v>-48.9928182546082</v>
      </c>
    </row>
    <row r="47" customFormat="false" ht="15" hidden="false" customHeight="false" outlineLevel="0" collapsed="false">
      <c r="A47" s="22" t="s">
        <v>77</v>
      </c>
      <c r="B47" s="23" t="s">
        <v>55</v>
      </c>
      <c r="C47" s="24" t="n">
        <f aca="false">C40+C44+C45+C46</f>
        <v>-223.806112804589</v>
      </c>
      <c r="D47" s="24" t="n">
        <f aca="false">D40+D44+D45+D46</f>
        <v>-394.90198310158</v>
      </c>
      <c r="E47" s="24" t="n">
        <f aca="false">E40+E44+E45+E46</f>
        <v>262.220840267347</v>
      </c>
      <c r="F47" s="24" t="n">
        <f aca="false">F40+F44+F45+F46</f>
        <v>2231.39748399346</v>
      </c>
      <c r="G47" s="24" t="n">
        <f aca="false">G40+G44+G45+G46</f>
        <v>6440.06002346929</v>
      </c>
      <c r="H47" s="24" t="n">
        <f aca="false">H40+H44+H45+H46</f>
        <v>6767.38246113564</v>
      </c>
      <c r="I47" s="24" t="n">
        <f aca="false">I40+I44+I45+I46</f>
        <v>7109.63547562792</v>
      </c>
      <c r="J47" s="24" t="n">
        <f aca="false">J40+J44+J45+J46</f>
        <v>7459.97544578864</v>
      </c>
      <c r="K47" s="24" t="n">
        <f aca="false">K40+K44+K45+K46</f>
        <v>7814.35412988017</v>
      </c>
      <c r="L47" s="24" t="n">
        <f aca="false">L40+L44+L45+L46</f>
        <v>8167.25207878298</v>
      </c>
    </row>
    <row r="48" customFormat="false" ht="15" hidden="false" customHeight="false" outlineLevel="0" collapsed="false">
      <c r="A48" s="4" t="s">
        <v>78</v>
      </c>
      <c r="B48" s="4" t="s">
        <v>55</v>
      </c>
      <c r="C48" s="16" t="n">
        <f aca="false">C47</f>
        <v>-223.806112804589</v>
      </c>
      <c r="D48" s="16" t="n">
        <f aca="false">C48+D47</f>
        <v>-618.708095906169</v>
      </c>
      <c r="E48" s="16" t="n">
        <f aca="false">D48+E47</f>
        <v>-356.487255638822</v>
      </c>
      <c r="F48" s="16" t="n">
        <f aca="false">E48+F47</f>
        <v>1874.91022835463</v>
      </c>
      <c r="G48" s="16" t="n">
        <f aca="false">F48+G47</f>
        <v>8314.97025182392</v>
      </c>
      <c r="H48" s="16" t="n">
        <f aca="false">G48+H47</f>
        <v>15082.3527129596</v>
      </c>
      <c r="I48" s="16" t="n">
        <f aca="false">H48+I47</f>
        <v>22191.9881885875</v>
      </c>
      <c r="J48" s="16" t="n">
        <f aca="false">I48+J47</f>
        <v>29651.9636343761</v>
      </c>
      <c r="K48" s="16" t="n">
        <f aca="false">J48+K47</f>
        <v>37466.3177642563</v>
      </c>
      <c r="L48" s="16" t="n">
        <f aca="false">K48+L47</f>
        <v>45633.5698430393</v>
      </c>
    </row>
    <row r="49" customFormat="false" ht="15" hidden="false" customHeight="false" outlineLevel="0" collapsed="false">
      <c r="A49" s="4" t="s">
        <v>79</v>
      </c>
      <c r="B49" s="4" t="s">
        <v>80</v>
      </c>
      <c r="C49" s="25" t="n">
        <f aca="false">1/(1+$C$5)^C19</f>
        <v>0.892857142857143</v>
      </c>
      <c r="D49" s="25" t="n">
        <f aca="false">1/(1+$C$5)^D19</f>
        <v>0.79719387755102</v>
      </c>
      <c r="E49" s="25" t="n">
        <f aca="false">1/(1+$C$5)^E19</f>
        <v>0.711780247813411</v>
      </c>
      <c r="F49" s="25" t="n">
        <f aca="false">1/(1+$C$5)^F19</f>
        <v>0.635518078404831</v>
      </c>
      <c r="G49" s="25" t="n">
        <f aca="false">1/(1+$C$5)^G19</f>
        <v>0.567426855718599</v>
      </c>
      <c r="H49" s="25" t="n">
        <f aca="false">1/(1+$C$5)^H19</f>
        <v>0.506631121177321</v>
      </c>
      <c r="I49" s="25" t="n">
        <f aca="false">1/(1+$C$5)^I19</f>
        <v>0.452349215336893</v>
      </c>
      <c r="J49" s="25" t="n">
        <f aca="false">1/(1+$C$5)^J19</f>
        <v>0.403883227979369</v>
      </c>
      <c r="K49" s="25" t="n">
        <f aca="false">1/(1+$C$5)^K19</f>
        <v>0.360610024981579</v>
      </c>
      <c r="L49" s="25" t="n">
        <f aca="false">1/(1+$C$5)^L19</f>
        <v>0.321973236590696</v>
      </c>
    </row>
    <row r="50" customFormat="false" ht="15" hidden="false" customHeight="false" outlineLevel="0" collapsed="false">
      <c r="A50" s="8" t="s">
        <v>81</v>
      </c>
      <c r="B50" s="4" t="s">
        <v>55</v>
      </c>
      <c r="C50" s="26" t="n">
        <f aca="false">C47*C49</f>
        <v>-199.826886432669</v>
      </c>
      <c r="D50" s="26" t="n">
        <f aca="false">D47*D49</f>
        <v>-314.813443161336</v>
      </c>
      <c r="E50" s="26" t="n">
        <f aca="false">E47*E49</f>
        <v>186.643614667333</v>
      </c>
      <c r="F50" s="26" t="n">
        <f aca="false">F47*F49</f>
        <v>1418.0934411849</v>
      </c>
      <c r="G50" s="26" t="n">
        <f aca="false">G47*G49</f>
        <v>3654.26300975623</v>
      </c>
      <c r="H50" s="26" t="n">
        <f aca="false">H47*H49</f>
        <v>3428.56656372088</v>
      </c>
      <c r="I50" s="26" t="n">
        <f aca="false">I47*I49</f>
        <v>3216.03802873163</v>
      </c>
      <c r="J50" s="26" t="n">
        <f aca="false">J47*J49</f>
        <v>3012.95896369195</v>
      </c>
      <c r="K50" s="26" t="n">
        <f aca="false">K47*K49</f>
        <v>2817.934437991</v>
      </c>
      <c r="L50" s="26" t="n">
        <f aca="false">L47*L49</f>
        <v>2629.63658585785</v>
      </c>
    </row>
    <row r="51" customFormat="false" ht="15" hidden="false" customHeight="false" outlineLevel="0" collapsed="false">
      <c r="A51" s="4" t="s">
        <v>82</v>
      </c>
      <c r="B51" s="4" t="s">
        <v>55</v>
      </c>
      <c r="M51" s="16" t="n">
        <f aca="false">J69</f>
        <v>52552.0064862607</v>
      </c>
    </row>
    <row r="52" customFormat="false" ht="15" hidden="false" customHeight="false" outlineLevel="0" collapsed="false">
      <c r="A52" s="8" t="s">
        <v>83</v>
      </c>
      <c r="B52" s="4" t="s">
        <v>55</v>
      </c>
      <c r="M52" s="26" t="n">
        <f aca="false">M51*L49</f>
        <v>16920.3396177166</v>
      </c>
    </row>
    <row r="54" customFormat="false" ht="15" hidden="false" customHeight="false" outlineLevel="0" collapsed="false">
      <c r="A54" s="4" t="s">
        <v>84</v>
      </c>
      <c r="B54" s="4" t="s">
        <v>55</v>
      </c>
      <c r="C54" s="16" t="n">
        <f aca="false">SUM(C50:G50)</f>
        <v>4744.35973601445</v>
      </c>
      <c r="E54" s="2" t="s">
        <v>85</v>
      </c>
      <c r="F54" s="2"/>
      <c r="G54" s="2"/>
      <c r="H54" s="2"/>
      <c r="I54" s="2"/>
      <c r="J54" s="2" t="s">
        <v>4</v>
      </c>
    </row>
    <row r="55" customFormat="false" ht="15" hidden="false" customHeight="false" outlineLevel="0" collapsed="false">
      <c r="A55" s="4" t="s">
        <v>86</v>
      </c>
      <c r="B55" s="4" t="s">
        <v>55</v>
      </c>
      <c r="C55" s="16" t="n">
        <f aca="false">SUM(H50:L50)</f>
        <v>15105.1345799933</v>
      </c>
      <c r="E55" s="4" t="s">
        <v>87</v>
      </c>
      <c r="F55" s="4"/>
      <c r="G55" s="4"/>
      <c r="H55" s="4"/>
      <c r="I55" s="4"/>
      <c r="J55" s="27" t="str">
        <f aca="false">IF(MIN(C82:L82)=99,"After FY36",INDEX($C$18:$L$18,1,MIN(C82:L82)))</f>
        <v>FY30</v>
      </c>
    </row>
    <row r="56" customFormat="false" ht="15" hidden="false" customHeight="false" outlineLevel="0" collapsed="false">
      <c r="A56" s="4" t="s">
        <v>83</v>
      </c>
      <c r="B56" s="4" t="s">
        <v>55</v>
      </c>
      <c r="C56" s="16" t="n">
        <f aca="false">M52</f>
        <v>16920.3396177166</v>
      </c>
      <c r="E56" s="4" t="s">
        <v>88</v>
      </c>
      <c r="F56" s="4"/>
      <c r="G56" s="4"/>
      <c r="H56" s="4"/>
      <c r="I56" s="4"/>
      <c r="J56" s="27" t="str">
        <f aca="false">IF(MIN(C83:L83)=99,"After FY36",INDEX($C$18:$L$18,1,MIN(C83:L83)))</f>
        <v>FY29</v>
      </c>
    </row>
    <row r="57" customFormat="false" ht="15" hidden="false" customHeight="false" outlineLevel="0" collapsed="false">
      <c r="A57" s="8" t="s">
        <v>89</v>
      </c>
      <c r="B57" s="4" t="s">
        <v>55</v>
      </c>
      <c r="C57" s="26" t="n">
        <f aca="false">SUM(C54:C56)</f>
        <v>36769.8339337244</v>
      </c>
      <c r="E57" s="4" t="s">
        <v>90</v>
      </c>
      <c r="F57" s="4"/>
      <c r="G57" s="4"/>
      <c r="H57" s="4"/>
      <c r="I57" s="4"/>
      <c r="J57" s="28" t="n">
        <f aca="false">IFERROR(C56/C57,0)</f>
        <v>0.460169051843275</v>
      </c>
    </row>
    <row r="58" customFormat="false" ht="15" hidden="false" customHeight="false" outlineLevel="0" collapsed="false">
      <c r="A58" s="2" t="s">
        <v>91</v>
      </c>
      <c r="B58" s="29" t="s">
        <v>34</v>
      </c>
      <c r="C58" s="30" t="n">
        <f aca="false">C57/100</f>
        <v>367.698339337244</v>
      </c>
      <c r="E58" s="4" t="s">
        <v>92</v>
      </c>
      <c r="F58" s="4"/>
      <c r="G58" s="4"/>
      <c r="H58" s="4"/>
      <c r="I58" s="4"/>
      <c r="J58" s="27" t="str">
        <f aca="false">TEXT(G32/100,"0.0")&amp;" / "&amp;TEXT(G40/100,"0.0")</f>
        <v>150.9 / 87.9</v>
      </c>
    </row>
    <row r="59" customFormat="false" ht="15" hidden="false" customHeight="false" outlineLevel="0" collapsed="false">
      <c r="A59" s="4" t="s">
        <v>93</v>
      </c>
      <c r="B59" s="4" t="s">
        <v>34</v>
      </c>
      <c r="C59" s="31" t="n">
        <v>367.698339337244</v>
      </c>
      <c r="D59" s="8" t="str">
        <f aca="false">IF(ABS(C58-C59)&lt;0.05,"TIES","DIFFERS")</f>
        <v>TIES</v>
      </c>
      <c r="E59" s="4" t="s">
        <v>94</v>
      </c>
      <c r="F59" s="4"/>
      <c r="G59" s="4"/>
      <c r="H59" s="4"/>
      <c r="I59" s="4"/>
      <c r="J59" s="27" t="str">
        <f aca="false">TEXT(L32/100,"0.0")&amp;" / "&amp;TEXT(L40/100,"0.0")</f>
        <v>260.1 / 112.4</v>
      </c>
    </row>
    <row r="60" customFormat="false" ht="15" hidden="false" customHeight="false" outlineLevel="0" collapsed="false">
      <c r="A60" s="4" t="s">
        <v>95</v>
      </c>
      <c r="B60" s="4"/>
      <c r="C60" s="8" t="str">
        <f aca="false">IF(C58&gt;=$C$15,"YES","NO")</f>
        <v>YES</v>
      </c>
      <c r="E60" s="4" t="s">
        <v>96</v>
      </c>
      <c r="F60" s="4"/>
      <c r="G60" s="4"/>
      <c r="H60" s="4"/>
      <c r="I60" s="4"/>
      <c r="J60" s="32" t="n">
        <f aca="false">(C54+C55)/100</f>
        <v>198.494943160078</v>
      </c>
    </row>
    <row r="62" customFormat="false" ht="15" hidden="false" customHeight="false" outlineLevel="0" collapsed="false">
      <c r="E62" s="2" t="s">
        <v>97</v>
      </c>
      <c r="F62" s="2"/>
      <c r="G62" s="2"/>
      <c r="H62" s="2"/>
      <c r="I62" s="2"/>
      <c r="J62" s="2" t="s">
        <v>4</v>
      </c>
    </row>
    <row r="63" customFormat="false" ht="15" hidden="false" customHeight="false" outlineLevel="0" collapsed="false">
      <c r="E63" s="4" t="s">
        <v>98</v>
      </c>
      <c r="F63" s="4"/>
      <c r="G63" s="4"/>
      <c r="H63" s="4"/>
      <c r="I63" s="4"/>
      <c r="J63" s="16" t="n">
        <f aca="false">L32*(1+$C$6)</f>
        <v>27310.3637632612</v>
      </c>
    </row>
    <row r="64" customFormat="false" ht="15" hidden="false" customHeight="false" outlineLevel="0" collapsed="false">
      <c r="E64" s="4" t="s">
        <v>99</v>
      </c>
      <c r="F64" s="4"/>
      <c r="G64" s="4"/>
      <c r="H64" s="4"/>
      <c r="I64" s="4"/>
      <c r="J64" s="5" t="n">
        <f aca="false">MIN($C$9,L41)</f>
        <v>0.25</v>
      </c>
    </row>
    <row r="65" customFormat="false" ht="15" hidden="false" customHeight="false" outlineLevel="0" collapsed="false">
      <c r="E65" s="4" t="s">
        <v>100</v>
      </c>
      <c r="F65" s="4"/>
      <c r="G65" s="4"/>
      <c r="H65" s="4"/>
      <c r="I65" s="4"/>
      <c r="J65" s="16" t="n">
        <f aca="false">J63*(J64-$C$11)</f>
        <v>6554.48730318268</v>
      </c>
    </row>
    <row r="66" customFormat="false" ht="15" hidden="false" customHeight="false" outlineLevel="0" collapsed="false">
      <c r="E66" s="4" t="s">
        <v>101</v>
      </c>
      <c r="F66" s="4"/>
      <c r="G66" s="4"/>
      <c r="H66" s="4"/>
      <c r="I66" s="4"/>
      <c r="J66" s="16" t="n">
        <f aca="false">MAX(0,J65)*(1-$C$12)</f>
        <v>4904.85393871767</v>
      </c>
    </row>
    <row r="67" customFormat="false" ht="15" hidden="false" customHeight="false" outlineLevel="0" collapsed="false">
      <c r="E67" s="4" t="s">
        <v>102</v>
      </c>
      <c r="F67" s="4"/>
      <c r="G67" s="4"/>
      <c r="H67" s="4"/>
      <c r="I67" s="4"/>
      <c r="J67" s="16" t="n">
        <f aca="false">-J66*$C$6/$C$14</f>
        <v>-1226.21348467942</v>
      </c>
    </row>
    <row r="68" customFormat="false" ht="15" hidden="false" customHeight="false" outlineLevel="0" collapsed="false">
      <c r="E68" s="4" t="s">
        <v>103</v>
      </c>
      <c r="F68" s="4"/>
      <c r="G68" s="4"/>
      <c r="H68" s="4"/>
      <c r="I68" s="4"/>
      <c r="J68" s="16" t="n">
        <f aca="false">J66+J67</f>
        <v>3678.64045403825</v>
      </c>
    </row>
    <row r="69" customFormat="false" ht="15" hidden="false" customHeight="false" outlineLevel="0" collapsed="false">
      <c r="E69" s="4" t="s">
        <v>104</v>
      </c>
      <c r="F69" s="4"/>
      <c r="G69" s="4"/>
      <c r="H69" s="4"/>
      <c r="I69" s="4"/>
      <c r="J69" s="26" t="n">
        <f aca="false">IF(J68&gt;0,J68/($C$5-$C$6),0)</f>
        <v>52552.0064862607</v>
      </c>
    </row>
    <row r="72" customFormat="false" ht="15" hidden="false" customHeight="false" outlineLevel="0" collapsed="false">
      <c r="A72" s="22" t="s">
        <v>105</v>
      </c>
      <c r="B72" s="23"/>
      <c r="C72" s="33" t="s">
        <v>36</v>
      </c>
      <c r="D72" s="33" t="s">
        <v>37</v>
      </c>
      <c r="E72" s="33" t="s">
        <v>38</v>
      </c>
      <c r="F72" s="33" t="s">
        <v>39</v>
      </c>
      <c r="G72" s="33" t="s">
        <v>40</v>
      </c>
      <c r="H72" s="33" t="s">
        <v>41</v>
      </c>
      <c r="I72" s="33" t="s">
        <v>42</v>
      </c>
      <c r="J72" s="33" t="s">
        <v>43</v>
      </c>
      <c r="K72" s="33" t="s">
        <v>44</v>
      </c>
      <c r="L72" s="33" t="s">
        <v>45</v>
      </c>
      <c r="M72" s="33" t="s">
        <v>106</v>
      </c>
    </row>
    <row r="73" customFormat="false" ht="15" hidden="false" customHeight="false" outlineLevel="0" collapsed="false">
      <c r="A73" s="23" t="s">
        <v>107</v>
      </c>
      <c r="B73" s="23" t="s">
        <v>34</v>
      </c>
      <c r="C73" s="34" t="n">
        <f aca="false">C50/100</f>
        <v>-1.99826886432669</v>
      </c>
      <c r="D73" s="34" t="n">
        <f aca="false">D50/100</f>
        <v>-3.14813443161336</v>
      </c>
      <c r="E73" s="34" t="n">
        <f aca="false">E50/100</f>
        <v>1.86643614667333</v>
      </c>
      <c r="F73" s="34" t="n">
        <f aca="false">F50/100</f>
        <v>14.180934411849</v>
      </c>
      <c r="G73" s="34" t="n">
        <f aca="false">G50/100</f>
        <v>36.5426300975623</v>
      </c>
      <c r="H73" s="34" t="n">
        <f aca="false">H50/100</f>
        <v>34.2856656372088</v>
      </c>
      <c r="I73" s="34" t="n">
        <f aca="false">I50/100</f>
        <v>32.1603802873163</v>
      </c>
      <c r="J73" s="34" t="n">
        <f aca="false">J50/100</f>
        <v>30.1295896369195</v>
      </c>
      <c r="K73" s="34" t="n">
        <f aca="false">K50/100</f>
        <v>28.17934437991</v>
      </c>
      <c r="L73" s="34" t="n">
        <f aca="false">L50/100</f>
        <v>26.2963658585785</v>
      </c>
      <c r="M73" s="34" t="n">
        <f aca="false">M52/100</f>
        <v>169.203396177166</v>
      </c>
    </row>
    <row r="74" customFormat="false" ht="15" hidden="false" customHeight="false" outlineLevel="0" collapsed="false">
      <c r="A74" s="23" t="s">
        <v>108</v>
      </c>
      <c r="B74" s="23" t="s">
        <v>34</v>
      </c>
      <c r="C74" s="34" t="n">
        <f aca="false">C32/100</f>
        <v>0.286376248328144</v>
      </c>
      <c r="D74" s="34" t="n">
        <f aca="false">D32/100</f>
        <v>4.78845035099508</v>
      </c>
      <c r="E74" s="34" t="n">
        <f aca="false">E32/100</f>
        <v>24.1114780337274</v>
      </c>
      <c r="F74" s="34" t="n">
        <f aca="false">F32/100</f>
        <v>70.2631622245338</v>
      </c>
      <c r="G74" s="34" t="n">
        <f aca="false">G32/100</f>
        <v>150.929719681828</v>
      </c>
      <c r="H74" s="34" t="n">
        <f aca="false">H32/100</f>
        <v>167.531988846829</v>
      </c>
      <c r="I74" s="34" t="n">
        <f aca="false">I32/100</f>
        <v>186.379337592097</v>
      </c>
      <c r="J74" s="34" t="n">
        <f aca="false">J32/100</f>
        <v>207.812961415188</v>
      </c>
      <c r="K74" s="34" t="n">
        <f aca="false">K32/100</f>
        <v>232.230984381473</v>
      </c>
      <c r="L74" s="34" t="n">
        <f aca="false">L32/100</f>
        <v>260.098702507249</v>
      </c>
    </row>
    <row r="75" customFormat="false" ht="15" hidden="false" customHeight="false" outlineLevel="0" collapsed="false">
      <c r="A75" s="23" t="s">
        <v>109</v>
      </c>
      <c r="B75" s="23" t="s">
        <v>34</v>
      </c>
      <c r="C75" s="34" t="n">
        <f aca="false">C40/100</f>
        <v>-2.03334994231797</v>
      </c>
      <c r="D75" s="34" t="n">
        <f aca="false">D40/100</f>
        <v>-3.49499344848053</v>
      </c>
      <c r="E75" s="34" t="n">
        <f aca="false">E40/100</f>
        <v>3.54794061464275</v>
      </c>
      <c r="F75" s="34" t="n">
        <f aca="false">F40/100</f>
        <v>30.6134250288065</v>
      </c>
      <c r="G75" s="34" t="n">
        <f aca="false">G40/100</f>
        <v>87.8609553021468</v>
      </c>
      <c r="H75" s="34" t="n">
        <f aca="false">H40/100</f>
        <v>92.4997007199781</v>
      </c>
      <c r="I75" s="34" t="n">
        <f aca="false">I40/100</f>
        <v>97.3145369232127</v>
      </c>
      <c r="J75" s="34" t="n">
        <f aca="false">J40/100</f>
        <v>102.271319826926</v>
      </c>
      <c r="K75" s="34" t="n">
        <f aca="false">K40/100</f>
        <v>107.321270375146</v>
      </c>
      <c r="L75" s="34" t="n">
        <f aca="false">L40/100</f>
        <v>112.396861744946</v>
      </c>
    </row>
    <row r="77" customFormat="false" ht="15" hidden="false" customHeight="false" outlineLevel="0" collapsed="false">
      <c r="A77" s="22" t="s">
        <v>110</v>
      </c>
      <c r="B77" s="23"/>
      <c r="C77" s="34" t="n">
        <f aca="false">C47/100</f>
        <v>-2.23806112804589</v>
      </c>
      <c r="D77" s="34" t="n">
        <f aca="false">D47/100</f>
        <v>-3.9490198310158</v>
      </c>
      <c r="E77" s="34" t="n">
        <f aca="false">E47/100</f>
        <v>2.62220840267347</v>
      </c>
      <c r="F77" s="34" t="n">
        <f aca="false">F47/100</f>
        <v>22.3139748399346</v>
      </c>
      <c r="G77" s="34" t="n">
        <f aca="false">G47/100</f>
        <v>64.4006002346929</v>
      </c>
      <c r="H77" s="34" t="n">
        <f aca="false">H47/100</f>
        <v>67.6738246113564</v>
      </c>
      <c r="I77" s="34" t="n">
        <f aca="false">I47/100</f>
        <v>71.0963547562792</v>
      </c>
      <c r="J77" s="34" t="n">
        <f aca="false">J47/100</f>
        <v>74.5997544578864</v>
      </c>
      <c r="K77" s="34" t="n">
        <f aca="false">K47/100</f>
        <v>78.1435412988017</v>
      </c>
      <c r="L77" s="34" t="n">
        <f aca="false">L47/100</f>
        <v>81.6725207878298</v>
      </c>
      <c r="M77" s="34" t="n">
        <f aca="false">M51/100</f>
        <v>525.520064862607</v>
      </c>
    </row>
    <row r="82" customFormat="false" ht="15" hidden="true" customHeight="false" outlineLevel="0" collapsed="false">
      <c r="A82" s="35" t="s">
        <v>111</v>
      </c>
      <c r="B82" s="35" t="s">
        <v>112</v>
      </c>
      <c r="C82" s="36" t="n">
        <f aca="false">IF(C48&gt;0,C19,99)</f>
        <v>99</v>
      </c>
      <c r="D82" s="36" t="n">
        <f aca="false">IF(D48&gt;0,D19,99)</f>
        <v>99</v>
      </c>
      <c r="E82" s="36" t="n">
        <f aca="false">IF(E48&gt;0,E19,99)</f>
        <v>99</v>
      </c>
      <c r="F82" s="36" t="n">
        <f aca="false">IF(F48&gt;0,F19,99)</f>
        <v>4</v>
      </c>
      <c r="G82" s="36" t="n">
        <f aca="false">IF(G48&gt;0,G19,99)</f>
        <v>5</v>
      </c>
      <c r="H82" s="36" t="n">
        <f aca="false">IF(H48&gt;0,H19,99)</f>
        <v>6</v>
      </c>
      <c r="I82" s="36" t="n">
        <f aca="false">IF(I48&gt;0,I19,99)</f>
        <v>7</v>
      </c>
      <c r="J82" s="36" t="n">
        <f aca="false">IF(J48&gt;0,J19,99)</f>
        <v>8</v>
      </c>
      <c r="K82" s="36" t="n">
        <f aca="false">IF(K48&gt;0,K19,99)</f>
        <v>9</v>
      </c>
      <c r="L82" s="36" t="n">
        <f aca="false">IF(L48&gt;0,L19,99)</f>
        <v>10</v>
      </c>
    </row>
    <row r="83" customFormat="false" ht="15" hidden="true" customHeight="false" outlineLevel="0" collapsed="false">
      <c r="A83" s="35" t="s">
        <v>113</v>
      </c>
      <c r="B83" s="35" t="s">
        <v>112</v>
      </c>
      <c r="C83" s="36" t="n">
        <f aca="false">IF(C40&gt;0,C19,99)</f>
        <v>99</v>
      </c>
      <c r="D83" s="36" t="n">
        <f aca="false">IF(D40&gt;0,D19,99)</f>
        <v>99</v>
      </c>
      <c r="E83" s="36" t="n">
        <f aca="false">IF(E40&gt;0,E19,99)</f>
        <v>3</v>
      </c>
      <c r="F83" s="36" t="n">
        <f aca="false">IF(F40&gt;0,F19,99)</f>
        <v>4</v>
      </c>
      <c r="G83" s="36" t="n">
        <f aca="false">IF(G40&gt;0,G19,99)</f>
        <v>5</v>
      </c>
      <c r="H83" s="36" t="n">
        <f aca="false">IF(H40&gt;0,H19,99)</f>
        <v>6</v>
      </c>
      <c r="I83" s="36" t="n">
        <f aca="false">IF(I40&gt;0,I19,99)</f>
        <v>7</v>
      </c>
      <c r="J83" s="36" t="n">
        <f aca="false">IF(J40&gt;0,J19,99)</f>
        <v>8</v>
      </c>
      <c r="K83" s="36" t="n">
        <f aca="false">IF(K40&gt;0,K19,99)</f>
        <v>9</v>
      </c>
      <c r="L83" s="36" t="n">
        <f aca="false">IF(L40&gt;0,L19,99)</f>
        <v>10</v>
      </c>
    </row>
    <row r="85" customFormat="false" ht="16.15" hidden="false" customHeight="false" outlineLevel="0" collapsed="false">
      <c r="A85" s="37" t="s">
        <v>114</v>
      </c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</row>
    <row r="86" customFormat="false" ht="25.5" hidden="false" customHeight="true" outlineLevel="0" collapsed="false">
      <c r="A86" s="38" t="s">
        <v>115</v>
      </c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</row>
    <row r="87" customFormat="false" ht="25.5" hidden="false" customHeight="true" outlineLevel="0" collapsed="false">
      <c r="A87" s="38" t="s">
        <v>116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</row>
    <row r="88" customFormat="false" ht="25.5" hidden="false" customHeight="true" outlineLevel="0" collapsed="false">
      <c r="A88" s="38" t="s">
        <v>117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</row>
    <row r="89" customFormat="false" ht="25.5" hidden="false" customHeight="true" outlineLevel="0" collapsed="false">
      <c r="A89" s="38" t="s">
        <v>118</v>
      </c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</row>
    <row r="90" customFormat="false" ht="25.5" hidden="false" customHeight="true" outlineLevel="0" collapsed="false">
      <c r="A90" s="38" t="s">
        <v>119</v>
      </c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</row>
    <row r="91" customFormat="false" ht="25.5" hidden="false" customHeight="true" outlineLevel="0" collapsed="false">
      <c r="A91" s="38" t="s">
        <v>120</v>
      </c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</row>
    <row r="92" customFormat="false" ht="25.5" hidden="false" customHeight="true" outlineLevel="0" collapsed="false">
      <c r="A92" s="39" t="s">
        <v>121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</sheetData>
  <mergeCells count="42">
    <mergeCell ref="A1:M1"/>
    <mergeCell ref="O1:X1"/>
    <mergeCell ref="E4:F4"/>
    <mergeCell ref="E5:F5"/>
    <mergeCell ref="E6:F6"/>
    <mergeCell ref="E7:F7"/>
    <mergeCell ref="E8:F8"/>
    <mergeCell ref="E10:I10"/>
    <mergeCell ref="E11:I11"/>
    <mergeCell ref="E12:I12"/>
    <mergeCell ref="E13:I13"/>
    <mergeCell ref="E14:I14"/>
    <mergeCell ref="O24:X24"/>
    <mergeCell ref="O25:X26"/>
    <mergeCell ref="O27:X28"/>
    <mergeCell ref="O29:X30"/>
    <mergeCell ref="O31:X32"/>
    <mergeCell ref="O33:X34"/>
    <mergeCell ref="O35:X36"/>
    <mergeCell ref="E54:I54"/>
    <mergeCell ref="E55:I55"/>
    <mergeCell ref="E56:I56"/>
    <mergeCell ref="E57:I57"/>
    <mergeCell ref="E58:I58"/>
    <mergeCell ref="E59:I59"/>
    <mergeCell ref="E60:I60"/>
    <mergeCell ref="E62:I62"/>
    <mergeCell ref="E63:I63"/>
    <mergeCell ref="E64:I64"/>
    <mergeCell ref="E65:I65"/>
    <mergeCell ref="E66:I66"/>
    <mergeCell ref="E67:I67"/>
    <mergeCell ref="E68:I68"/>
    <mergeCell ref="E69:I69"/>
    <mergeCell ref="A85:M85"/>
    <mergeCell ref="A86:M86"/>
    <mergeCell ref="A87:M87"/>
    <mergeCell ref="A88:M88"/>
    <mergeCell ref="A89:M89"/>
    <mergeCell ref="A90:M90"/>
    <mergeCell ref="A91:M91"/>
    <mergeCell ref="A92:M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2026-10-11T17:23:53Z</dcterms:created>
  <dc:creator>openpyxl</dc:creator>
  <dc:description/>
  <dc:language>en-US</dc:language>
  <cp:lastModifiedBy/>
  <dcterms:modified xsi:type="dcterms:W3CDTF">2026-10-11T17:23:54Z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
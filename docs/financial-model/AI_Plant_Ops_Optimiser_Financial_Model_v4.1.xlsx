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5"/>
  </bookViews>
  <sheets>
    <sheet name="Cover" sheetId="1" state="visible" r:id="rId3"/>
    <sheet name="1_Dashboard" sheetId="2" state="visible" r:id="rId4"/>
    <sheet name="Inputs" sheetId="3" state="visible" r:id="rId5"/>
    <sheet name="2_Market" sheetId="4" state="visible" r:id="rId6"/>
    <sheet name="3_Pricing" sheetId="5" state="visible" r:id="rId7"/>
    <sheet name="4_Revenue_Build" sheetId="6" state="visible" r:id="rId8"/>
    <sheet name="5_Cost_of_Service" sheetId="7" state="visible" r:id="rId9"/>
    <sheet name="6_Personnel_Opex" sheetId="8" state="visible" r:id="rId10"/>
    <sheet name="7_Financials" sheetId="9" state="visible" r:id="rId11"/>
    <sheet name="8_Unit_Economics" sheetId="10" state="visible" r:id="rId12"/>
    <sheet name="9_Customer_ROI" sheetId="11" state="visible" r:id="rId13"/>
    <sheet name="10_GTM" sheetId="12" state="visible" r:id="rId14"/>
    <sheet name="11_Funding" sheetId="13" state="visible" r:id="rId15"/>
    <sheet name="12_Scenarios" sheetId="14" state="visible" r:id="rId16"/>
    <sheet name="13_Risks_Checks" sheetId="15" state="visible" r:id="rId17"/>
    <sheet name="14_Valuation" sheetId="16" state="visible" r:id="rId18"/>
    <sheet name="15_Change_Log" sheetId="17" state="visible" r:id="rId19"/>
    <sheet name="16_SOM_Scenarios" sheetId="18" state="visible" r:id="rId20"/>
    <sheet name="Engine_Monthly" sheetId="19" state="visible" r:id="rId21"/>
    <sheet name="Sources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<sst xmlns="http://schemas.openxmlformats.org/spreadsheetml/2006/main" count="3733" uniqueCount="2132">
  <si>
    <t xml:space="preserve">AI PLANT OPERATIONS OPTIMISER: INTEGRATED FINANCIAL MODEL, FY2027-FY2031</t>
  </si>
  <si>
    <t xml:space="preserve">Prepared 10-Oct-2026 for the IIM Kozhikode team; revised 10-Oct-2026 for financial viability (see 15_Change_Log). Proposed product; nothing here is commercially validated.</t>
  </si>
  <si>
    <t xml:space="preserve">How to use</t>
  </si>
  <si>
    <t xml:space="preserve">Change blue cells on 'Inputs' (and scenario prices on '3_Pricing'). Switch scenario with Inputs!C3 (1 Bear, 2 Base, 3 Bull). Everything else is formula-driven.</t>
  </si>
  <si>
    <t xml:space="preserve">Units</t>
  </si>
  <si>
    <t xml:space="preserve">₹ lakh unless stated (₹1 crore = ₹100 lakh). Customer counts are expected values, so they can be fractional.</t>
  </si>
  <si>
    <t xml:space="preserve">Colour code</t>
  </si>
  <si>
    <t xml:space="preserve">Blue text, cream fill = input. Black = formula. Green = link from another sheet. Green fill = key output. Yellow = scenario switch / master check.</t>
  </si>
  <si>
    <t xml:space="preserve">Data status tags</t>
  </si>
  <si>
    <t xml:space="preserve">Inputs column G: 'Verified fact' (official or published source), 'Assumption' (management judgement), 'Validate' (must be tested with customers before the pitch).</t>
  </si>
  <si>
    <t xml:space="preserve">Engine</t>
  </si>
  <si>
    <t xml:space="preserve">'Engine_Monthly' runs all 60 months (Apr-2026 to Mar-2031): funnel → pilots → contracts → implementation capacity → go-live → ARR → costs → P&amp;L → cash → balance sheet. Annual sheets aggregate it.</t>
  </si>
  <si>
    <t xml:space="preserve">Timing note</t>
  </si>
  <si>
    <t xml:space="preserve">FY27 starts Apr-2026 as requested; six months have already elapsed. Move Inputs 'Model start date' to re-base.</t>
  </si>
  <si>
    <t xml:space="preserve">Snapshots</t>
  </si>
  <si>
    <t xml:space="preserve">'12_Scenarios' bear/base/bull and sensitivity tables, the NPV bridge on '15_Change_Log' and the FY27-FY31 scenario rows in 14_Valuation section F are values from full re-runs of this model. If you change engine inputs, re-run each case and read the LIVE column.</t>
  </si>
  <si>
    <t xml:space="preserve">Sheet map</t>
  </si>
  <si>
    <t xml:space="preserve">1 Dashboard · Inputs · 2 Market · 3 Pricing · 4 Revenue build · 5 Cost of service · 6 Personnel &amp; opex · 7 Financial statements · 8 Unit economics · 9 Customer ROI · 10 GTM · 11 Funding · 12 Scenarios · 13 Risks &amp; checks · 14 Valuation · 15 Change log · Engine · Sources</t>
  </si>
  <si>
    <t xml:space="preserve">Revision</t>
  </si>
  <si>
    <t xml:space="preserve">Valuation: 14_Valuation (base DCF at the team's 12% WACC with a steady-state terminal value, probability-weighted scenarios, comparable-company cross-check, equity bridge). What changed versus the model as received, and the NPV bridge: 15_Change_Log.</t>
  </si>
  <si>
    <t xml:space="preserve">v4 update</t>
  </si>
  <si>
    <t xml:space="preserve">v4 (11-Oct-2026): TAM = 63,728 operating factories in 7 industries (ASI 2023-24); SAM via size, state and readiness filters; Year-5 live plants solved to 200 / 400 / 600; tiered pricing ₹12-60 lakh; gain-share on its own line. Bear / base / bull comparison and flags: 16_SOM_Scenarios. Changes: 15_Change_Log section F.</t>
  </si>
  <si>
    <t xml:space="preserve">1. EXECUTIVE DASHBOARD: AI PLANT OPERATIONS OPTIMISER  (₹ lakh unless stated)</t>
  </si>
  <si>
    <t xml:space="preserve">Active scenario</t>
  </si>
  <si>
    <t xml:space="preserve">Model checks</t>
  </si>
  <si>
    <t xml:space="preserve">HEADLINES</t>
  </si>
  <si>
    <t xml:space="preserve">FY31 revenue</t>
  </si>
  <si>
    <t xml:space="preserve">₹ crore</t>
  </si>
  <si>
    <t xml:space="preserve">FY31 closing ARR</t>
  </si>
  <si>
    <t xml:space="preserve">#</t>
  </si>
  <si>
    <t xml:space="preserve">EBITDA break-even (first month trailing-3-month EBITDA &gt; 0)</t>
  </si>
  <si>
    <t xml:space="preserve">month</t>
  </si>
  <si>
    <t xml:space="preserve">Peak cumulative cash deficit</t>
  </si>
  <si>
    <t xml:space="preserve">Total equity requirement incl. buffer &amp; contingency</t>
  </si>
  <si>
    <t xml:space="preserve">Seed requirement (to Series A)</t>
  </si>
  <si>
    <t xml:space="preserve">Live plants needed to cover FY31 cost base</t>
  </si>
  <si>
    <t xml:space="preserve">Customer value: gross benefit ÷ Professional price (Low / Base / High)</t>
  </si>
  <si>
    <t xml:space="preserve">x</t>
  </si>
  <si>
    <t xml:space="preserve">Enterprise value @ 12%: base DCF (₹ crore; see 14_Valuation)</t>
  </si>
  <si>
    <t xml:space="preserve">Probability-weighted EV / comps range (EV/ARR) / base DCF at 20% (₹ crore)</t>
  </si>
  <si>
    <t xml:space="preserve">ANNUAL KPIs</t>
  </si>
  <si>
    <t xml:space="preserve">KPI</t>
  </si>
  <si>
    <t xml:space="preserve">Unit</t>
  </si>
  <si>
    <t xml:space="preserve">Revenue</t>
  </si>
  <si>
    <t xml:space="preserve">₹ lakh</t>
  </si>
  <si>
    <t xml:space="preserve">Revenue growth</t>
  </si>
  <si>
    <t xml:space="preserve">%</t>
  </si>
  <si>
    <t xml:space="preserve">Closing ARR</t>
  </si>
  <si>
    <t xml:space="preserve">Closing MRR</t>
  </si>
  <si>
    <t xml:space="preserve">New paying customers (contracts)</t>
  </si>
  <si>
    <t xml:space="preserve">Live paying plants (year end)</t>
  </si>
  <si>
    <t xml:space="preserve">Active pilots at year end (not customers)</t>
  </si>
  <si>
    <t xml:space="preserve">Gross margin</t>
  </si>
  <si>
    <t xml:space="preserve">SaaS gross margin</t>
  </si>
  <si>
    <t xml:space="preserve">EBITDA</t>
  </si>
  <si>
    <t xml:space="preserve">EBITDA margin</t>
  </si>
  <si>
    <t xml:space="preserve">Cash burn (operating + investing outflow)</t>
  </si>
  <si>
    <t xml:space="preserve">Closing cash</t>
  </si>
  <si>
    <t xml:space="preserve">CAC, fully loaded (estimate)</t>
  </si>
  <si>
    <t xml:space="preserve">LTV (estimate)</t>
  </si>
  <si>
    <t xml:space="preserve">LTV / CAC (estimate)</t>
  </si>
  <si>
    <t xml:space="preserve">CAC payback (estimate)</t>
  </si>
  <si>
    <t xml:space="preserve">months</t>
  </si>
  <si>
    <t xml:space="preserve">Annual logo churn (assumption)</t>
  </si>
  <si>
    <t xml:space="preserve">Average ARR per live plant</t>
  </si>
  <si>
    <t xml:space="preserve">Headcount (year end)</t>
  </si>
  <si>
    <t xml:space="preserve">SCENARIO COMPARISON (snapshot; live column follows Inputs!C3)</t>
  </si>
  <si>
    <t xml:space="preserve">Output</t>
  </si>
  <si>
    <t xml:space="preserve">Bear</t>
  </si>
  <si>
    <t xml:space="preserve">Base</t>
  </si>
  <si>
    <t xml:space="preserve">Bull</t>
  </si>
  <si>
    <t xml:space="preserve">Live</t>
  </si>
  <si>
    <t xml:space="preserve">INPUTS &amp; ASSUMPTIONS REGISTER  (all values in ₹ lakh unless stated)</t>
  </si>
  <si>
    <t xml:space="preserve">Blue = hardcoded input. Black = formula. Green = link. Column C is what the model uses. Scenario-varied inputs have Bear / Base / Bull values; fixed inputs only a Base value. v4 (11-Oct-2026) inputs are in section K.</t>
  </si>
  <si>
    <t xml:space="preserve">ACTIVE SCENARIO  (1 = Bear, 2 = Base, 3 = Bull)</t>
  </si>
  <si>
    <t xml:space="preserve">Parameter</t>
  </si>
  <si>
    <t xml:space="preserve">ACTIVE</t>
  </si>
  <si>
    <t xml:space="preserve">Type</t>
  </si>
  <si>
    <t xml:space="preserve">Source / rationale</t>
  </si>
  <si>
    <t xml:space="preserve">Validation needed</t>
  </si>
  <si>
    <t xml:space="preserve">A. GENERAL &amp; MACRO</t>
  </si>
  <si>
    <t xml:space="preserve">Model start date (first month of FY27)</t>
  </si>
  <si>
    <t xml:space="preserve">date</t>
  </si>
  <si>
    <t xml:space="preserve">Assumption</t>
  </si>
  <si>
    <t xml:space="preserve">FY2027 = Apr-2026 to Mar-2027 as requested. Months 1-6 have already elapsed at 10-Oct-2026; shift this date to re-base the whole model.</t>
  </si>
  <si>
    <t xml:space="preserve">USD / INR</t>
  </si>
  <si>
    <t xml:space="preserve">₹ per $</t>
  </si>
  <si>
    <t xml:space="preserve">Verified fact</t>
  </si>
  <si>
    <t xml:space="preserve">~₹95-96 per USD in Aug-Sep 2026 (OFX 5-Aug-2026: 95.03; longforecast 16-Sep-2026: 95.95). Used only to convert $ benchmarks.</t>
  </si>
  <si>
    <t xml:space="preserve">Corporate tax rate (concessional 22% regime + 10% surcharge + 4% cess)</t>
  </si>
  <si>
    <t xml:space="preserve">Sec 200, Income-tax Act 2025 (formerly 115BAA): 22% + 10% surcharge + 4% cess = 25.168%; MAT not applicable.</t>
  </si>
  <si>
    <t xml:space="preserve">Confirm with a CA: loss carry-forward (8 yrs), any startup holiday eligibility, GST treatment.</t>
  </si>
  <si>
    <t xml:space="preserve">Employer on-cost over CTC (PF, gratuity, insurance)</t>
  </si>
  <si>
    <t xml:space="preserve">% of CTC</t>
  </si>
  <si>
    <t xml:space="preserve">Typical Indian employer statutory and benefit load; varies by salary structure.</t>
  </si>
  <si>
    <t xml:space="preserve">Annual salary increment</t>
  </si>
  <si>
    <t xml:space="preserve">% p.a.</t>
  </si>
  <si>
    <t xml:space="preserve">Mid-range Indian tech increment assumption.</t>
  </si>
  <si>
    <t xml:space="preserve">Non-people cost inflation</t>
  </si>
  <si>
    <t xml:space="preserve">Approximates Indian CPI plus vendor price drift.</t>
  </si>
  <si>
    <t xml:space="preserve">Discount rate for LTV</t>
  </si>
  <si>
    <t xml:space="preserve">Early-stage cost of capital proxy; not a WACC estimate.</t>
  </si>
  <si>
    <t xml:space="preserve">Maximum customer life used in LTV</t>
  </si>
  <si>
    <t xml:space="preserve">years</t>
  </si>
  <si>
    <t xml:space="preserve">Caps LTV so low churn cannot imply a near-perpetual customer.</t>
  </si>
  <si>
    <t xml:space="preserve">B. SALES CAPACITY &amp; FUNNEL</t>
  </si>
  <si>
    <t xml:space="preserve">Month first account executive (AE) joins in FY27</t>
  </si>
  <si>
    <t xml:space="preserve">month of FY</t>
  </si>
  <si>
    <t xml:space="preserve">Seed closes before sales hiring; founders sell alone until then.</t>
  </si>
  <si>
    <t xml:space="preserve">AE ramp to full productivity</t>
  </si>
  <si>
    <t xml:space="preserve">Complex industrial B2B sale; new reps need plant/OT credibility.</t>
  </si>
  <si>
    <t xml:space="preserve">Founder selling capacity, FY27-FY28</t>
  </si>
  <si>
    <t xml:space="preserve">AE equivalents</t>
  </si>
  <si>
    <t xml:space="preserve">Founder-led sales in early stage.</t>
  </si>
  <si>
    <t xml:space="preserve">Founder selling capacity, FY29+</t>
  </si>
  <si>
    <t xml:space="preserve">Founder shifts to enterprise accounts and fundraising.</t>
  </si>
  <si>
    <t xml:space="preserve">Qualified opportunities per ramped AE per month</t>
  </si>
  <si>
    <t xml:space="preserve">Validate</t>
  </si>
  <si>
    <t xml:space="preserve">No India-specific benchmark found. Qualified = plant visit done, data-readiness confirmed, decision maker engaged.</t>
  </si>
  <si>
    <t xml:space="preserve">Track in first 6 months of selling; this is the single largest volume driver.</t>
  </si>
  <si>
    <t xml:space="preserve">Lead to qualified opportunity</t>
  </si>
  <si>
    <t xml:space="preserve">Used only to back-solve lead and account volumes.</t>
  </si>
  <si>
    <t xml:space="preserve">Target account to engaged lead</t>
  </si>
  <si>
    <t xml:space="preserve">Used only to back-solve target-account list size.</t>
  </si>
  <si>
    <t xml:space="preserve">Opportunity to pilot (direct)</t>
  </si>
  <si>
    <t xml:space="preserve">Assumption; plants often want proof on their own machines before buying.</t>
  </si>
  <si>
    <t xml:space="preserve">Pilot design and acceptance criteria must be tested in interviews.</t>
  </si>
  <si>
    <t xml:space="preserve">Opportunity to pilot (partner-sourced)</t>
  </si>
  <si>
    <t xml:space="preserve">Partner referral carries trust; modestly higher than direct.</t>
  </si>
  <si>
    <t xml:space="preserve">Sales cycle: qualified opportunity to pilot start</t>
  </si>
  <si>
    <t xml:space="preserve">Mid-market capex and IT approvals; total opp-to-go-live = this + pilot + implementation.</t>
  </si>
  <si>
    <t xml:space="preserve">Measure on first 10 opportunities.</t>
  </si>
  <si>
    <t xml:space="preserve">Paid pilot duration</t>
  </si>
  <si>
    <t xml:space="preserve">Long enough to observe disruption events on critical machines.</t>
  </si>
  <si>
    <t xml:space="preserve">Pilot to paid annual contract</t>
  </si>
  <si>
    <t xml:space="preserve">Assumption. Industrial pilots frequently stall ('pilot purgatory').</t>
  </si>
  <si>
    <t xml:space="preserve">Critical: define success metrics before each pilot.</t>
  </si>
  <si>
    <t xml:space="preserve">Partner channel productivity multiplier</t>
  </si>
  <si>
    <t xml:space="preserve">x plan</t>
  </si>
  <si>
    <t xml:space="preserve">Scales the partner opportunity plan in section H.</t>
  </si>
  <si>
    <t xml:space="preserve">C. IMPLEMENTATION &amp; DEPLOYMENT</t>
  </si>
  <si>
    <t xml:space="preserve">Contract signature to go-live (implementation time)</t>
  </si>
  <si>
    <t xml:space="preserve">PlanetTogether states many APS integrations take 4-8 weeks; plants with poor data take longer.</t>
  </si>
  <si>
    <t xml:space="preserve">Concurrent implementations per implementation engineer</t>
  </si>
  <si>
    <t xml:space="preserve">REVISED from 2 (bear 1.5 / bull 2.5). Partner-led delivery: SI partners do on-site wiring; our engineers configure remotely from a standard connector library, so each runs 3 at once. The partner's fee is in the direct cost per go-live (row 38).</t>
  </si>
  <si>
    <t xml:space="preserve">Engineer load of one active pilot vs one implementation</t>
  </si>
  <si>
    <t xml:space="preserve">Pilots use a lighter, time-boxed scope.</t>
  </si>
  <si>
    <t xml:space="preserve">Month implementation team starts</t>
  </si>
  <si>
    <t xml:space="preserve">month #</t>
  </si>
  <si>
    <t xml:space="preserve">First hire with seed money.</t>
  </si>
  <si>
    <t xml:space="preserve">Minimum implementation engineers once started</t>
  </si>
  <si>
    <t xml:space="preserve">Direct cost per go-live (travel, on-site, connectors, integration tooling)</t>
  </si>
  <si>
    <t xml:space="preserve">REVISED from ₹1.5 lakh. Now includes ~₹1 lakh paid to the SI partner per site (wiring, gateway set-up) plus travel and connectors. Excludes our engineer salaries (modelled separately).</t>
  </si>
  <si>
    <t xml:space="preserve">Cost a real implementation end to end.</t>
  </si>
  <si>
    <t xml:space="preserve">Implementation direct-cost multiplier</t>
  </si>
  <si>
    <t xml:space="preserve">Bear reflects customisation creep.</t>
  </si>
  <si>
    <t xml:space="preserve">Direct cost per pilot started</t>
  </si>
  <si>
    <t xml:space="preserve">Site visits, temporary data connections.</t>
  </si>
  <si>
    <t xml:space="preserve">Share of new plants needing the optional IoT kit</t>
  </si>
  <si>
    <t xml:space="preserve">Software-first: kit only where PLC/CNC data cannot be read.</t>
  </si>
  <si>
    <t xml:space="preserve">Survey data-readiness of target plants.</t>
  </si>
  <si>
    <t xml:space="preserve">Critical machines connected per plant (average)</t>
  </si>
  <si>
    <t xml:space="preserve">Between Essential (≤15) and Professional (≤30) coverage.</t>
  </si>
  <si>
    <t xml:space="preserve">IoT kit cost per plant (sensors + gateway, ~12 machines)</t>
  </si>
  <si>
    <t xml:space="preserve">Benchmark: non-intrusive sensors typically $200-600 per machine (TeepTrak 2026). 12 x ~$300 x ₹95 = ₹3.4 lakh incl. gateway.</t>
  </si>
  <si>
    <t xml:space="preserve">Markup on resold IoT kit</t>
  </si>
  <si>
    <t xml:space="preserve">Pass-through with handling margin; not a profit engine.</t>
  </si>
  <si>
    <t xml:space="preserve">D. PRICING, RETENTION &amp; EXPANSION (tier prices are on 3_Pricing)</t>
  </si>
  <si>
    <t xml:space="preserve">Scenario price multiplier on tier list prices</t>
  </si>
  <si>
    <t xml:space="preserve">v4: 1.0 in all scenarios. Scenario prices are now explicit on 3_Pricing (bear at the low end of each range), so a multiplier would double-count.</t>
  </si>
  <si>
    <t xml:space="preserve">Willingness-to-pay interviews (Van Westendorp / Gabor-Granger).</t>
  </si>
  <si>
    <t xml:space="preserve">Annual list-price escalation</t>
  </si>
  <si>
    <t xml:space="preserve">Applied to new-customer list price and to existing ARR at renewal.</t>
  </si>
  <si>
    <t xml:space="preserve">Expansion ARR from existing plants (upsell, lines, modules)</t>
  </si>
  <si>
    <t xml:space="preserve">% of ARR p.a.</t>
  </si>
  <si>
    <t xml:space="preserve">REVISED from 6% (bear 3% / bull 10%). Land-and-expand: a quarter of new logos are Enterprise plants or groups that add lines and sister plants. With 9% churn and 5% escalation, NRR ≈ 104.7%, just above the SaaS Capital 2025 median of 103% for ACV $12-25k (this model's ACV ≈ $14k).</t>
  </si>
  <si>
    <t xml:space="preserve">Track expansion by source (new lines, sister plants, modules) from the first renewal.</t>
  </si>
  <si>
    <t xml:space="preserve">Annual logo churn</t>
  </si>
  <si>
    <t xml:space="preserve">REVISED from 12% (bear 18% / bull 8%). Deep PLC/CNC integration and the planner workflow make switching costly; 9% churn = 91% gross revenue retention, equal to the SaaS Capital 2025 median for ACV $12-25k. Applied monthly as a smooth rate.</t>
  </si>
  <si>
    <t xml:space="preserve">Churn is unknown until first renewals in FY28-FY29; track logo and revenue churn separately.</t>
  </si>
  <si>
    <t xml:space="preserve">Paid pilot fee (whole pilot)</t>
  </si>
  <si>
    <t xml:space="preserve">REVISED from ₹1.5 lakh (bear 1 / bull 2). A 3-month pilot at about the Professional monthly price (₹83k a month); covers the ₹1 lakh direct pilot cost plus engineer time. Not credited against the subscription.</t>
  </si>
  <si>
    <t xml:space="preserve">Gain-share fee per live plant per month (expected, after haircut)</t>
  </si>
  <si>
    <t xml:space="preserve">Calculated</t>
  </si>
  <si>
    <t xml:space="preserve">v4: share on gain-share × verified savings × share charged × collection probability ÷ 12 (section K). Kept out of ARR.</t>
  </si>
  <si>
    <t xml:space="preserve">E. COST TO SERVE (per plant per month, ₹ lakh)</t>
  </si>
  <si>
    <t xml:space="preserve">Cloud hosting &amp; compute</t>
  </si>
  <si>
    <t xml:space="preserve">₹ lakh/plant/mo</t>
  </si>
  <si>
    <t xml:space="preserve">Assumption: ~25-40 connected assets streaming at minute-level resolution.</t>
  </si>
  <si>
    <t xml:space="preserve">Benchmark from a real pilot's cloud bill.</t>
  </si>
  <si>
    <t xml:space="preserve">AI inference &amp; optimisation solver runs</t>
  </si>
  <si>
    <t xml:space="preserve">Assumption; scenario solving is run on disruption events, not continuously.</t>
  </si>
  <si>
    <t xml:space="preserve">Industrial data ingestion &amp; storage</t>
  </si>
  <si>
    <t xml:space="preserve">Assumption.</t>
  </si>
  <si>
    <t xml:space="preserve">Third-party software licences (connectors, solver, monitoring)</t>
  </si>
  <si>
    <t xml:space="preserve">Assumption; commercial solver/OPC-UA licences may cost more.</t>
  </si>
  <si>
    <t xml:space="preserve">Ongoing model monitoring &amp; retraining effort</t>
  </si>
  <si>
    <t xml:space="preserve">Assumption; allocated ML-ops time.</t>
  </si>
  <si>
    <t xml:space="preserve">Cloud &amp; AI cost multiplier</t>
  </si>
  <si>
    <t xml:space="preserve">Bear = AI/cloud cost escalation.</t>
  </si>
  <si>
    <t xml:space="preserve">Change in cloud/AI cost per plant each year</t>
  </si>
  <si>
    <t xml:space="preserve">Unit cloud costs usually fall with scale and engineering (reserved instances, edge pre-processing). Bear: no efficiency gain.</t>
  </si>
  <si>
    <t xml:space="preserve">Fixed platform security &amp; data-management cost</t>
  </si>
  <si>
    <t xml:space="preserve">₹ lakh/mo</t>
  </si>
  <si>
    <t xml:space="preserve">SIEM, backups, pen-testing, ISO 27001 readiness. OT cyber risk makes this non-optional.</t>
  </si>
  <si>
    <t xml:space="preserve">Month fixed platform cost starts</t>
  </si>
  <si>
    <t xml:space="preserve">Live plants per customer success manager</t>
  </si>
  <si>
    <t xml:space="preserve">REVISED from 20 (bear 15 / bull 25). Remote monthly value reviews and automated health monitoring let one CSM cover 25 plants.</t>
  </si>
  <si>
    <t xml:space="preserve">Live plants per technical support engineer</t>
  </si>
  <si>
    <t xml:space="preserve">REVISED from 25. Pooled shift support with automated alert triage.</t>
  </si>
  <si>
    <t xml:space="preserve">F. COMPENSATION (annual CTC at FY27 levels, ₹ lakh)</t>
  </si>
  <si>
    <t xml:space="preserve">Founders (each, below-market)</t>
  </si>
  <si>
    <t xml:space="preserve">₹ lakh p.a.</t>
  </si>
  <si>
    <t xml:space="preserve">Assumption for a tier-1 city startup; benchmark against Naukri/AmbitionBox before use.</t>
  </si>
  <si>
    <t xml:space="preserve">AI/ML engineer</t>
  </si>
  <si>
    <t xml:space="preserve">Indeed India: ML engineer average base ~₹11.6-11.9 lakh (Jun-Aug 2026); startups competing for mid-level talent pay more.</t>
  </si>
  <si>
    <t xml:space="preserve">Software developer</t>
  </si>
  <si>
    <t xml:space="preserve">Data engineer</t>
  </si>
  <si>
    <t xml:space="preserve">Industrial automation / manufacturing engineer</t>
  </si>
  <si>
    <t xml:space="preserve">Product manager</t>
  </si>
  <si>
    <t xml:space="preserve">Implementation &amp; integration engineer</t>
  </si>
  <si>
    <t xml:space="preserve">Customer success manager</t>
  </si>
  <si>
    <t xml:space="preserve">Technical support engineer</t>
  </si>
  <si>
    <t xml:space="preserve">B2B account executive (fixed pay)</t>
  </si>
  <si>
    <t xml:space="preserve">Pre-sales / solution engineer</t>
  </si>
  <si>
    <t xml:space="preserve">Enterprise account manager</t>
  </si>
  <si>
    <t xml:space="preserve">Marketing manager</t>
  </si>
  <si>
    <t xml:space="preserve">Finance, HR &amp; admin</t>
  </si>
  <si>
    <t xml:space="preserve">Cybersecurity &amp; IT lead</t>
  </si>
  <si>
    <t xml:space="preserve">AEs per pre-sales engineer</t>
  </si>
  <si>
    <t xml:space="preserve">Month non-founder hires start in FY27</t>
  </si>
  <si>
    <t xml:space="preserve">Avoids assuming a full team on day one.</t>
  </si>
  <si>
    <t xml:space="preserve">G. OPERATING EXPENSES, CAPEX, WORKING CAPITAL</t>
  </si>
  <si>
    <t xml:space="preserve">Sales travel per customer-facing seller</t>
  </si>
  <si>
    <t xml:space="preserve">Plant visits across industrial clusters.</t>
  </si>
  <si>
    <t xml:space="preserve">Sales commission on first-year ACV (direct)</t>
  </si>
  <si>
    <t xml:space="preserve">Expensed when signed (simplification of Ind AS 115 contract-cost rules).</t>
  </si>
  <si>
    <t xml:space="preserve">Channel partner commission on first-year ACV</t>
  </si>
  <si>
    <t xml:space="preserve">REVISED from 15%. Integrators may ask 15-25%; set at 20% because the partner channel now carries far more volume.</t>
  </si>
  <si>
    <t xml:space="preserve">Negotiate terms with the first 3-5 integrators in FY28; scale to 15-20 active partners by FY31.</t>
  </si>
  <si>
    <t xml:space="preserve">Partner programme cost (enablement, co-marketing) once active</t>
  </si>
  <si>
    <t xml:space="preserve">REVISED from ₹0.5 lakh a month. Scaled for a 15-20 partner programme (partner manager time, enablement, co-marketing).</t>
  </si>
  <si>
    <t xml:space="preserve">R&amp;D tools per R&amp;D head</t>
  </si>
  <si>
    <t xml:space="preserve">Development &amp; test cloud environment</t>
  </si>
  <si>
    <t xml:space="preserve">Office / co-working per head</t>
  </si>
  <si>
    <t xml:space="preserve">Legal, compliance, audit, secretarial</t>
  </si>
  <si>
    <t xml:space="preserve">Cyber &amp; professional-indemnity insurance</t>
  </si>
  <si>
    <t xml:space="preserve">Needed before connecting to customer OT networks.</t>
  </si>
  <si>
    <t xml:space="preserve">Month insurance starts</t>
  </si>
  <si>
    <t xml:space="preserve">Recruitment cost per new hire</t>
  </si>
  <si>
    <t xml:space="preserve">Capex per new hire (laptop, peripherals)</t>
  </si>
  <si>
    <t xml:space="preserve">Test rig / demo lab (PLCs, sensors, edge devices)</t>
  </si>
  <si>
    <t xml:space="preserve">One-off; lets the team test connectors without customer downtime.</t>
  </si>
  <si>
    <t xml:space="preserve">Month of test-rig purchase</t>
  </si>
  <si>
    <t xml:space="preserve">Depreciation life of capex</t>
  </si>
  <si>
    <t xml:space="preserve">Straight line. R&amp;D is expensed, not capitalised (Ind AS 38 criteria not demonstrable pre-revenue).</t>
  </si>
  <si>
    <t xml:space="preserve">Receivable days (DSO)</t>
  </si>
  <si>
    <t xml:space="preserve">days</t>
  </si>
  <si>
    <t xml:space="preserve">REVISED from 60 days (bear 90 / bull 45). MSMED Act s.15 caps payment to registered micro/small suppliers at 45 days, and Income-tax s.43B(h) (from FY24) defers the buyer's tax deduction if it pays late.</t>
  </si>
  <si>
    <t xml:space="preserve">Register on Udyam; check customer payment terms.</t>
  </si>
  <si>
    <t xml:space="preserve">Payable days on non-people costs</t>
  </si>
  <si>
    <t xml:space="preserve">Subscription billed in advance (avg months of MRR held as deferred revenue)</t>
  </si>
  <si>
    <t xml:space="preserve">Quarterly-in-advance billing gives ~1.5 months average deferred revenue.</t>
  </si>
  <si>
    <t xml:space="preserve">Interest earned on cash</t>
  </si>
  <si>
    <t xml:space="preserve">Set to 0 so the funding requirement is not flattered by treasury income.</t>
  </si>
  <si>
    <t xml:space="preserve">H. FUNDING</t>
  </si>
  <si>
    <t xml:space="preserve">Seed equity raised</t>
  </si>
  <si>
    <t xml:space="preserve">Sized by re-running the base case: seed covers deficit to the Series A month + 6 months' burn + 15% contingency.</t>
  </si>
  <si>
    <t xml:space="preserve">Seed close month</t>
  </si>
  <si>
    <t xml:space="preserve">Series A equity raised</t>
  </si>
  <si>
    <t xml:space="preserve">REVISED from ₹1,400 lakh. Timing unchanged at month 22 (Jan-2028), when the base case has about ₹1.2 crore ARR: the round is raised on pilot conversion, reference plants and first renewals, not scale. Sized to carry the revised base case past EBITDA break-even with buffer (see 11_Funding).</t>
  </si>
  <si>
    <t xml:space="preserve">Series A close month</t>
  </si>
  <si>
    <t xml:space="preserve">Month 22 (Jan-2028). Base-case ARR is then about ₹1.2 crore with first renewals due; seed alone lasts 32 months, so a later close still fits.</t>
  </si>
  <si>
    <t xml:space="preserve">Later equity (Series B)</t>
  </si>
  <si>
    <t xml:space="preserve">REVISED from ₹1,200 lakh. Not needed in the revised base case: monthly cash flow turns positive in FY31. Bear still needs it (12_Scenarios row 36).</t>
  </si>
  <si>
    <t xml:space="preserve">Later equity close month</t>
  </si>
  <si>
    <t xml:space="preserve">Debt drawn (venture / working-capital debt)</t>
  </si>
  <si>
    <t xml:space="preserve">Off in base: pre-revenue startups rarely qualify; consider once ARR is recurring.</t>
  </si>
  <si>
    <t xml:space="preserve">Debt draw month</t>
  </si>
  <si>
    <t xml:space="preserve">Debt bullet repayment month</t>
  </si>
  <si>
    <t xml:space="preserve">Debt interest rate</t>
  </si>
  <si>
    <t xml:space="preserve">Minimum cash buffer</t>
  </si>
  <si>
    <t xml:space="preserve">months of peak burn</t>
  </si>
  <si>
    <t xml:space="preserve">Investor norm for runway safety.</t>
  </si>
  <si>
    <t xml:space="preserve">Contingency on funding requirement</t>
  </si>
  <si>
    <t xml:space="preserve">Industrial deployments slip.</t>
  </si>
  <si>
    <t xml:space="preserve">Months the seed round must fund</t>
  </si>
  <si>
    <t xml:space="preserve">Seed covers operations until the Series A close month.</t>
  </si>
  <si>
    <t xml:space="preserve">I. SENSITIVITY LEVERS (leave at 1.0 / 0 for the scenario result)</t>
  </si>
  <si>
    <t xml:space="preserve">Price multiplier</t>
  </si>
  <si>
    <t xml:space="preserve">Sensitivity</t>
  </si>
  <si>
    <t xml:space="preserve">Opportunity volume multiplier</t>
  </si>
  <si>
    <t xml:space="preserve">Pilot-to-paid conversion multiplier</t>
  </si>
  <si>
    <t xml:space="preserve">Sales-cycle change</t>
  </si>
  <si>
    <t xml:space="preserve">+/- months</t>
  </si>
  <si>
    <t xml:space="preserve">Churn multiplier</t>
  </si>
  <si>
    <t xml:space="preserve">Marketing &amp; sales-travel spend multiplier</t>
  </si>
  <si>
    <t xml:space="preserve">Cloud / AI cost multiplier</t>
  </si>
  <si>
    <t xml:space="preserve">Implementation effort &amp; cost multiplier</t>
  </si>
  <si>
    <t xml:space="preserve">J. ANNUAL PLANS (headcount and spend by fiscal year)</t>
  </si>
  <si>
    <t xml:space="preserve">Plan item</t>
  </si>
  <si>
    <t xml:space="preserve">Dept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</si>
  <si>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</si>
  <si>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</si>
  <si>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</si>
  <si>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</si>
  <si>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</si>
  <si>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Rationale</t>
  </si>
  <si>
    <t xml:space="preserve">B2B account executives (headcount)</t>
  </si>
  <si>
    <t xml:space="preserve">S&amp;M</t>
  </si>
  <si>
    <t xml:space="preserve">v4: raised from 1/3/5/7/9 to carry the Year-5 targets; same in all scenarios so scenarios isolate productivity. Unvalidated hiring plan.</t>
  </si>
  <si>
    <t xml:space="preserve">Partner-sourced qualified opportunities per month (template row 159 × solved scale)</t>
  </si>
  <si>
    <t xml:space="preserve">v4: formula. Level solved per scenario to hit the Year-5 plant target; unvalidated.</t>
  </si>
  <si>
    <t xml:space="preserve">Marketing programmes (events, IMTEX/ACMA forums, content) ₹ lakh/mo</t>
  </si>
  <si>
    <t xml:space="preserve">REVISED from 1/1.5/3/4/5. Scaled with the larger sales team (IMTEX, ACMA and cluster events, content).</t>
  </si>
  <si>
    <t xml:space="preserve">Founder: CEO</t>
  </si>
  <si>
    <t xml:space="preserve">G&amp;A</t>
  </si>
  <si>
    <t xml:space="preserve">Founder: CTO</t>
  </si>
  <si>
    <t xml:space="preserve">R&amp;D</t>
  </si>
  <si>
    <t xml:space="preserve">Founder: Commercial</t>
  </si>
  <si>
    <t xml:space="preserve">AI/ML engineers</t>
  </si>
  <si>
    <t xml:space="preserve">Software developers</t>
  </si>
  <si>
    <t xml:space="preserve">Data engineers</t>
  </si>
  <si>
    <t xml:space="preserve">CTO and ML engineer cover data pipelines in FY27.</t>
  </si>
  <si>
    <t xml:space="preserve">Industrial automation engineers (connectors, OT)</t>
  </si>
  <si>
    <t xml:space="preserve">Product managers</t>
  </si>
  <si>
    <t xml:space="preserve">CTO covers product in FY27.</t>
  </si>
  <si>
    <t xml:space="preserve">Marketing</t>
  </si>
  <si>
    <t xml:space="preserve">Founder-led marketing until FY29.</t>
  </si>
  <si>
    <t xml:space="preserve">Enterprise account managers</t>
  </si>
  <si>
    <t xml:space="preserve">Multi-plant groups from FY30.</t>
  </si>
  <si>
    <t xml:space="preserve">Outsourced accounting in FY27 (inside legal &amp; compliance cost).</t>
  </si>
  <si>
    <t xml:space="preserve">External security audits before FY29.</t>
  </si>
  <si>
    <t xml:space="preserve">K. v4 (11-Oct-2026): YEAR-5 PLANT TARGETS, SALES CAPACITY AND GAIN-SHARE</t>
  </si>
  <si>
    <t xml:space="preserve">Year-5 (FY31 year-end) live paying plants: target</t>
  </si>
  <si>
    <t xml:space="preserve">plants</t>
  </si>
  <si>
    <t xml:space="preserve">Team target</t>
  </si>
  <si>
    <t xml:space="preserve">Set by the team for the case (bear / base / bull). The sales-capacity solve below makes the engine land exactly on these.</t>
  </si>
  <si>
    <t xml:space="preserve">Targets, not forecasts: whether the funnel can deliver them is what section F of 16_SOM_Scenarios tests.</t>
  </si>
  <si>
    <t xml:space="preserve">Partner-pipeline scale (solved so FY31 live plants = target)</t>
  </si>
  <si>
    <t xml:space="preserve">x template</t>
  </si>
  <si>
    <t xml:space="preserve">Calculated (solved)</t>
  </si>
  <si>
    <t xml:space="preserve">Goal-seek output from full re-runs: partner-sourced qualified opportunities = template (row 159) × this scale × partner multiplier (row 30). Re-solve if any funnel input changes; 13_Risks_Checks flags a miss.</t>
  </si>
  <si>
    <t xml:space="preserve">Partner network of this size is unvalidated (see 16_SOM_Scenarios flags).</t>
  </si>
  <si>
    <t xml:space="preserve">Share of live plants on a gain-share contract</t>
  </si>
  <si>
    <t xml:space="preserve">Optional add-on; most plants will want a fixed subscription first. Zero in bear: no agreed measurement protocol.</t>
  </si>
  <si>
    <t xml:space="preserve">Needs an agreed baseline and measurement method with each plant.</t>
  </si>
  <si>
    <t xml:space="preserve">Verified annual savings per participating plant</t>
  </si>
  <si>
    <t xml:space="preserve">Link</t>
  </si>
  <si>
    <t xml:space="preserve">Base-case gross annual benefit on 9_Customer_ROI (rescaled ₹400 crore plant). Not yet measured at any plant.</t>
  </si>
  <si>
    <t xml:space="preserve">Measure in pilots.</t>
  </si>
  <si>
    <t xml:space="preserve">Share of verified savings charged</t>
  </si>
  <si>
    <t xml:space="preserve">Pricing hypothesis.</t>
  </si>
  <si>
    <t xml:space="preserve">Test in customer interviews.</t>
  </si>
  <si>
    <t xml:space="preserve">Probability savings are verified and collected</t>
  </si>
  <si>
    <t xml:space="preserve">Haircut: disputes over baselines, partial measurement and late payment mean gain-share is not guaranteed.</t>
  </si>
  <si>
    <t xml:space="preserve">Partner-pipeline template: qualified opportunities per month before scaling</t>
  </si>
  <si>
    <t xml:space="preserve">v3 partner plan, kept as the shape of the ramp; the solved scale sets the level.</t>
  </si>
  <si>
    <t xml:space="preserve">2. MARKET SIZING: TAM, SAM, SOM  (revised 11-Oct-2026: TAM = 63,728 operating factories in 7 target industries, ASI 2023-24)</t>
  </si>
  <si>
    <t xml:space="preserve">TAM is the broad industry pool, not the qualified customer base. SAM applies size, geography and readiness filters once each (section F). SOM is the Year-5 live-plant outcome of the sales-capacity engine, solved to the bear / base / bull targets.</t>
  </si>
  <si>
    <t xml:space="preserve">A. SEGMENT PLANT COUNTS: CROSS-CHECK AND SIZE MIX (ASI 2019-20 by NIC, scaled; the TAM itself now uses ASI 2023-24, section F)</t>
  </si>
  <si>
    <t xml:space="preserve">Segment (NIC-2008 2-digit)</t>
  </si>
  <si>
    <t xml:space="preserve">Role</t>
  </si>
  <si>
    <t xml:space="preserve">Factories in operation ASI 2019-20</t>
  </si>
  <si>
    <t xml:space="preserve">Persons engaged ASI 2019-20</t>
  </si>
  <si>
    <t xml:space="preserve">Avg persons per factory</t>
  </si>
  <si>
    <t xml:space="preserve">Share with 100+ workers, est.</t>
  </si>
  <si>
    <t xml:space="preserve">Factories 2024-25 (scaled)</t>
  </si>
  <si>
    <t xml:space="preserve">Plants with 100+ workers 2024-25, est.</t>
  </si>
  <si>
    <t xml:space="preserve">Notes</t>
  </si>
  <si>
    <t xml:space="preserve">29 Motor vehicles, trailers (incl. auto components)</t>
  </si>
  <si>
    <t xml:space="preserve">SAM</t>
  </si>
  <si>
    <t xml:space="preserve">Beachhead. Large plants.</t>
  </si>
  <si>
    <t xml:space="preserve">28 Machinery &amp; equipment n.e.c.</t>
  </si>
  <si>
    <t xml:space="preserve">Core.</t>
  </si>
  <si>
    <t xml:space="preserve">25 Fabricated metal products</t>
  </si>
  <si>
    <t xml:space="preserve">24 Basic metals (castings, forgings, steel processing)</t>
  </si>
  <si>
    <t xml:space="preserve">ADDED: furnaces, presses and casting lines that feed auto and machinery supply chains.</t>
  </si>
  <si>
    <t xml:space="preserve">22 Rubber &amp; plastics products</t>
  </si>
  <si>
    <t xml:space="preserve">MOVED from adjacent to SAM: injection-moulding cells have the same machine-and-schedule problem.</t>
  </si>
  <si>
    <t xml:space="preserve">27 Electrical equipment</t>
  </si>
  <si>
    <t xml:space="preserve">MOVED from adjacent to SAM: machining and assembly lines.</t>
  </si>
  <si>
    <t xml:space="preserve">30 Other transport equipment</t>
  </si>
  <si>
    <t xml:space="preserve">ADDED: two-wheeler, rail and aerospace component plants.</t>
  </si>
  <si>
    <t xml:space="preserve">13 Textiles</t>
  </si>
  <si>
    <t xml:space="preserve">TAM only</t>
  </si>
  <si>
    <t xml:space="preserve">Machine-intensive but continuous spinning and weaving; different scheduling logic.</t>
  </si>
  <si>
    <t xml:space="preserve">26 Computer, electronic &amp; optical products</t>
  </si>
  <si>
    <t xml:space="preserve">Assembly-led; outside the current product.</t>
  </si>
  <si>
    <t xml:space="preserve">Target industries (7)</t>
  </si>
  <si>
    <t xml:space="preserve">Counts are from ASI 2019-20 (latest NIC-wise table found) scaled to the 2024-25 factory total.</t>
  </si>
  <si>
    <t xml:space="preserve">Machine-intensive segments (9)</t>
  </si>
  <si>
    <t xml:space="preserve">B. PARAMETERS</t>
  </si>
  <si>
    <t xml:space="preserve">Value</t>
  </si>
  <si>
    <t xml:space="preserve">All-India factories in operation, ASI 2019-20</t>
  </si>
  <si>
    <t xml:space="preserve">Lok Sabha Unstarred Q.541 (6-Dec-2023), MoSPI annexure.</t>
  </si>
  <si>
    <t xml:space="preserve">All-India persons engaged, ASI 2019-20</t>
  </si>
  <si>
    <t xml:space="preserve">All-India average persons per factory</t>
  </si>
  <si>
    <t xml:space="preserve">Share of all factories with 100+ workers</t>
  </si>
  <si>
    <t xml:space="preserve">Verified fact (rounded)</t>
  </si>
  <si>
    <t xml:space="preserve">'About one in five' operational factories employed 100+ workers (ASI 2022-23, via Data For India). Workers are fewer than persons engaged, so this is conservative. Replaces the ASI 2008-09 figure (14.1% for 100-999 persons) used before.</t>
  </si>
  <si>
    <t xml:space="preserve">Cap on any segment's 100+ share</t>
  </si>
  <si>
    <t xml:space="preserve">Stops the size-scaling method overshooting in large-plant segments (binds only for NIC 30 at current inputs).</t>
  </si>
  <si>
    <t xml:space="preserve">All-India factories in operation, ASI 2024-25</t>
  </si>
  <si>
    <t xml:space="preserve">MoSPI press note and factsheet, ASI 2024-25 (2,18,543 in operation; 2,66,931 total).</t>
  </si>
  <si>
    <t xml:space="preserve">Scaling factor 2019-20 → 2024-25</t>
  </si>
  <si>
    <t xml:space="preserve">Assumes each segment grew in line with all manufacturing.</t>
  </si>
  <si>
    <t xml:space="preserve">Technical readiness (machine data readable or kit acceptable; planner exists)</t>
  </si>
  <si>
    <t xml:space="preserve">Unchanged from the original model. No published source; survey 30+ target plants.</t>
  </si>
  <si>
    <t xml:space="preserve">Share of factories in the top-5 manufacturing states</t>
  </si>
  <si>
    <t xml:space="preserve">Tamil Nadu, Gujarat, Maharashtra, Uttar Pradesh and Karnataka hold 53.3% of establishments (ASI 2024-25 press note). Direct sales cover these; partner reach beyond them is not counted.</t>
  </si>
  <si>
    <t xml:space="preserve">C. TAM / SAM / SOM</t>
  </si>
  <si>
    <t xml:space="preserve">Measure</t>
  </si>
  <si>
    <t xml:space="preserve">Plants</t>
  </si>
  <si>
    <t xml:space="preserve">₹ lakh per plant p.a.</t>
  </si>
  <si>
    <t xml:space="preserve">Market ₹ lakh p.a.</t>
  </si>
  <si>
    <t xml:space="preserve">Market ₹ crore p.a.</t>
  </si>
  <si>
    <t xml:space="preserve">Definition</t>
  </si>
  <si>
    <t xml:space="preserve">TAM: 7 target industries, operating factories (ASI 2023-24): broad industry pool, not qualified customers</t>
  </si>
  <si>
    <t xml:space="preserve">Pool × active scenario's blended realised price. Overstates value: most of these plants are too small for this pricing.</t>
  </si>
  <si>
    <t xml:space="preserve">Size-qualified pool: 100+ workers</t>
  </si>
  <si>
    <t xml:space="preserve">After filter 2 (section F).</t>
  </si>
  <si>
    <t xml:space="preserve">SAM: × top-5 states × operational readiness</t>
  </si>
  <si>
    <t xml:space="preserve">After filters 3 and 4 (section F). Filters 2-4 are estimates or unvalidated.</t>
  </si>
  <si>
    <t xml:space="preserve">SOM FY31: live paying plants (engine, active scenario; solved to the scenario target)</t>
  </si>
  <si>
    <t xml:space="preserve">From AEs, partners, conversion, implementation capacity and churn. Not a share assumption.</t>
  </si>
  <si>
    <t xml:space="preserve">SOM FY31 as % of SAM plants</t>
  </si>
  <si>
    <t xml:space="preserve">Low single digits five years in: room to grow without new segments.</t>
  </si>
  <si>
    <t xml:space="preserve">SOM FY36: implied live plants (valuation fade)</t>
  </si>
  <si>
    <t xml:space="preserve">FY36 subscription revenue ÷ ARR per plant grown at list-price escalation. A ceiling check on the fade, not a driver.</t>
  </si>
  <si>
    <t xml:space="preserve">SOM FY36 as % of SAM plants</t>
  </si>
  <si>
    <t xml:space="preserve">Against today’s SAM, which itself grows with the factory count. Above ~25% would make the fade implausible.</t>
  </si>
  <si>
    <t xml:space="preserve">TAM and SAM are valued at the FY27 blended list price; SOM at FY31 / FY36 ARR per plant, which includes price escalation and expansion. Compare shares on plant counts.</t>
  </si>
  <si>
    <t xml:space="preserve">D. RECONCILIATION WITH THE SALES FORECAST</t>
  </si>
  <si>
    <t xml:space="preserve">Qualified opportunities generated over 5 years</t>
  </si>
  <si>
    <t xml:space="preserve">…as % of SAM plants</t>
  </si>
  <si>
    <t xml:space="preserve">Below 100% means the funnel can be fed from SAM plants alone (re-engagements counted).</t>
  </si>
  <si>
    <t xml:space="preserve">Target-account engagements over 5 years (back-solved; repeat touches counted)</t>
  </si>
  <si>
    <t xml:space="preserve">…as % of size-qualified pool</t>
  </si>
  <si>
    <t xml:space="preserve">Contracts signed over 5 years</t>
  </si>
  <si>
    <t xml:space="preserve">E. ORIGINAL MODEL VS REVISED</t>
  </si>
  <si>
    <t xml:space="preserve">Original plants</t>
  </si>
  <si>
    <t xml:space="preserve">Original ₹ crore</t>
  </si>
  <si>
    <t xml:space="preserve">Revised plants</t>
  </si>
  <si>
    <t xml:space="preserve">Revised ₹ crore</t>
  </si>
  <si>
    <t xml:space="preserve">v3 plants</t>
  </si>
  <si>
    <t xml:space="preserve">v3 ₹ crore</t>
  </si>
  <si>
    <t xml:space="preserve">What changed</t>
  </si>
  <si>
    <t xml:space="preserve">TAM</t>
  </si>
  <si>
    <t xml:space="preserve">v4: 63,728-factory pool in 7 industries (ASI 2023-24) replaces all 100+ worker factories; valued at the scenario's realised price.</t>
  </si>
  <si>
    <t xml:space="preserve">v4: same filters (size, top-5 states, readiness) applied once each to the new pool.</t>
  </si>
  <si>
    <t xml:space="preserve">SOM FY31</t>
  </si>
  <si>
    <t xml:space="preserve">v4: SOM solved to the scenario's Year-5 target (bear 200 / base 400 / bull 600).</t>
  </si>
  <si>
    <t xml:space="preserve">Original figures are values from the team's model as received (10-Oct-2026); v3 values from the 10-Oct-2026 revision.</t>
  </si>
  <si>
    <t xml:space="preserve">F. TAM → SAM FILTER WATERFALL (each filter applied once, in order; v4, 11-Oct-2026)</t>
  </si>
  <si>
    <t xml:space="preserve">Step</t>
  </si>
  <si>
    <t xml:space="preserve">Share kept</t>
  </si>
  <si>
    <t xml:space="preserve">Source / rationale and caveats</t>
  </si>
  <si>
    <t xml:space="preserve">TAM: operating factories in the 7 target industries (broad industry pool)</t>
  </si>
  <si>
    <t xml:space="preserve">Team-provided (ASI 2023-24)</t>
  </si>
  <si>
    <t xml:space="preserve">NIC 22, 24, 25, 27, 28, 29, 30, ASI 2023-24, as supplied by the team. Segment table not yet attached to this workbook: attach it. Cross-check: the same 7 industries in ASI 2019-20 scaled to 2024-25 give 64,592 (row 15). Not a qualified customer base.</t>
  </si>
  <si>
    <t xml:space="preserve">Filter 1. Target industry</t>
  </si>
  <si>
    <t xml:space="preserve">Already applied</t>
  </si>
  <si>
    <t xml:space="preserve">The TAM is already limited to the 7 industries, so this filter is 100% here. Applying an industry share again would double-count.</t>
  </si>
  <si>
    <t xml:space="preserve">Filter 2. Plant size: 100+ workers</t>
  </si>
  <si>
    <t xml:space="preserve">Calculated estimate</t>
  </si>
  <si>
    <t xml:space="preserve">Segment-weighted share from section A (ASI 2019-20 average plant size per industry, anchored to the ~20% all-industry 100+ share, ASI 2022-23). Method assumption, not a published NIC × size table. Pricing at ₹15-50 lakh implies larger plants than 100 workers: see flag on 16_SOM_Scenarios.</t>
  </si>
  <si>
    <t xml:space="preserve">Filter 3. Geography: top-5 manufacturing states</t>
  </si>
  <si>
    <t xml:space="preserve">Verified (all manufacturing)</t>
  </si>
  <si>
    <t xml:space="preserve">53.3% of establishments are in TN, GJ, MH, UP, KA (ASI 2024-25). Applying an all-manufacturing share to these 7 industries is an assumption.</t>
  </si>
  <si>
    <t xml:space="preserve">Filter 4. Operational readiness (readable machine data or kit acceptable; planner in place)</t>
  </si>
  <si>
    <t xml:space="preserve">Unvalidated</t>
  </si>
  <si>
    <t xml:space="preserve">No published source. Survey 30+ target plants.</t>
  </si>
  <si>
    <t xml:space="preserve">SAM: plants the company can serve and reach</t>
  </si>
  <si>
    <t xml:space="preserve">Filters multiplied as if independent. Larger plants are likely more data-ready and more concentrated in the top-5 states, so this may understate SAM slightly.</t>
  </si>
  <si>
    <t xml:space="preserve">Combined SAM ÷ TAM</t>
  </si>
  <si>
    <t xml:space="preserve">Year-5 SOM by scenario</t>
  </si>
  <si>
    <t xml:space="preserve">Note</t>
  </si>
  <si>
    <t xml:space="preserve">FY31 live paying plants: target</t>
  </si>
  <si>
    <t xml:space="preserve">A new vendor winning more than ~10% of its serviceable market in five years would be exceptional. Flagged on 16_SOM_Scenarios.</t>
  </si>
  <si>
    <t xml:space="preserve">…as % of TAM (broad pool)</t>
  </si>
  <si>
    <t xml:space="preserve">3. BUSINESS MODEL &amp; PRICING  (tier prices are hypotheses to validate; revised 11-Oct-2026)</t>
  </si>
  <si>
    <t xml:space="preserve">Pricing tiers (per plant, annual subscription)</t>
  </si>
  <si>
    <t xml:space="preserve">Attribute</t>
  </si>
  <si>
    <t xml:space="preserve">Starter</t>
  </si>
  <si>
    <t xml:space="preserve">Professional</t>
  </si>
  <si>
    <t xml:space="preserve">Enterprise</t>
  </si>
  <si>
    <t xml:space="preserve">Blended (new-customer mix)</t>
  </si>
  <si>
    <t xml:space="preserve">Target customer</t>
  </si>
  <si>
    <t xml:space="preserve">Single-line plant (~₹100-250 crore revenue), 10-15 critical machines. Hypothesis.</t>
  </si>
  <si>
    <t xml:space="preserve">Mid-sized plant (~₹250-500 crore revenue), 15-30 critical machines, planner in place. Hypothesis.</t>
  </si>
  <si>
    <t xml:space="preserve">₹500 crore+ plant or multi-plant group, ERP/MES integration expected. Hypothesis.</t>
  </si>
  <si>
    <t xml:space="preserve">Included functionality</t>
  </si>
  <si>
    <t xml:space="preserve">Machine-health risk alerts, downtime capture, disruption log, basic dashboards</t>
  </si>
  <si>
    <t xml:space="preserve">Starter + constraint-aware disruption scenarios, ranked recommendations with ₹ trade-offs, approval workflow</t>
  </si>
  <si>
    <t xml:space="preserve">Professional + ERP/MES integration, multi-line optimisation, group reporting, SSO, SLA</t>
  </si>
  <si>
    <t xml:space="preserve">Coverage</t>
  </si>
  <si>
    <t xml:space="preserve">Up to 15 critical machines, 1 line</t>
  </si>
  <si>
    <t xml:space="preserve">Up to 30 critical machines, up to 3 lines</t>
  </si>
  <si>
    <t xml:space="preserve">Unlimited lines in a plant; group pricing per plant</t>
  </si>
  <si>
    <t xml:space="preserve">Average realised annual subscription per plant (₹ lakh, FY27; active scenario, from row 51-53)</t>
  </si>
  <si>
    <t xml:space="preserve">REVISED from 4.8 / 9.6 / 18.0. Professional = ₹95k a month, equal to PlanetTogether's Essential APS listing ($1,000/plant/month ≈ ₹11.4 lakh a year at ₹95/$) and inside the 3x value rule on 9_Customer_ROI (3.05x; customer payback ≈ 13 months). Benefits there are in today's ₹, so the test holds over time if they rise with wages and input costs at the 5% list-price escalation. Enterprise = 2x Professional for multi-line plants and groups.</t>
  </si>
  <si>
    <t xml:space="preserve">Monthly equivalent (₹ lakh)</t>
  </si>
  <si>
    <t xml:space="preserve">One-time implementation fee (₹ lakh)</t>
  </si>
  <si>
    <t xml:space="preserve">REVISED from 1.5 / 4 / 8. Priced to recover deployment cost including SI partner fees, at roughly an IT-services margin; ≈0.5x first-year ACV, usual for software that connects to PLC/CNC data.</t>
  </si>
  <si>
    <t xml:space="preserve">Share of new customers by tier (active scenario, from rows 54-56)</t>
  </si>
  <si>
    <t xml:space="preserve">REVISED from 40 / 45 / 15. Focus on the ₹100-500 crore plants in the problem statement. Validate in the first 20 deals.</t>
  </si>
  <si>
    <t xml:space="preserve">Cloud/AI load vs average plant</t>
  </si>
  <si>
    <t xml:space="preserve">Relative data volume and solver usage.</t>
  </si>
  <si>
    <t xml:space="preserve">Support load vs average plant</t>
  </si>
  <si>
    <t xml:space="preserve">Recurring cost to serve per plant (₹ lakh p.a., FY27)</t>
  </si>
  <si>
    <t xml:space="preserve">Cloud, AI, data, licences, monitoring + allocated customer success &amp; support. Excludes shared fixed platform cost.</t>
  </si>
  <si>
    <t xml:space="preserve">Expected SaaS gross margin per tier</t>
  </si>
  <si>
    <t xml:space="preserve">Before shared platform cost. Essential is thin: the tier exists to land, not to earn.</t>
  </si>
  <si>
    <t xml:space="preserve">Support requirements</t>
  </si>
  <si>
    <t xml:space="preserve">Business-hours remote support; quarterly review</t>
  </si>
  <si>
    <t xml:space="preserve">Named CSM; monthly value review; shift-hour support</t>
  </si>
  <si>
    <t xml:space="preserve">Dedicated CSM; SLA; quarterly executive review</t>
  </si>
  <si>
    <t xml:space="preserve">Upselling path</t>
  </si>
  <si>
    <t xml:space="preserve">Upgrade to Professional once alerts prove reliable</t>
  </si>
  <si>
    <t xml:space="preserve">Add lines/machines; move to Enterprise for ERP sync</t>
  </si>
  <si>
    <t xml:space="preserve">Roll out to sister plants; group contract</t>
  </si>
  <si>
    <t xml:space="preserve">Mix check (must equal 100%)</t>
  </si>
  <si>
    <t xml:space="preserve">Other revenue streams evaluated</t>
  </si>
  <si>
    <t xml:space="preserve">Stream</t>
  </si>
  <si>
    <t xml:space="preserve">In model?</t>
  </si>
  <si>
    <t xml:space="preserve">How modelled</t>
  </si>
  <si>
    <t xml:space="preserve">Why</t>
  </si>
  <si>
    <t xml:space="preserve">Annual SaaS subscription per plant</t>
  </si>
  <si>
    <t xml:space="preserve">Yes</t>
  </si>
  <si>
    <t xml:space="preserve">ARR per live plant by tier</t>
  </si>
  <si>
    <t xml:space="preserve">Core recurring revenue; only this counts in ARR.</t>
  </si>
  <si>
    <t xml:space="preserve">One-time implementation &amp; integration fee</t>
  </si>
  <si>
    <t xml:space="preserve">Recognised at go-live</t>
  </si>
  <si>
    <t xml:space="preserve">Excluded from ARR. Priced to recover deployment cost, including SI partner fees, at about an IT-services margin (≈40% services gross margin, 5_Cost_of_Service).</t>
  </si>
  <si>
    <t xml:space="preserve">Paid pilots</t>
  </si>
  <si>
    <t xml:space="preserve">Recognised over pilot months</t>
  </si>
  <si>
    <t xml:space="preserve">Paid pilots filter serious buyers. Not ARR.</t>
  </si>
  <si>
    <t xml:space="preserve">Machine / line add-ons</t>
  </si>
  <si>
    <t xml:space="preserve">Partly</t>
  </si>
  <si>
    <t xml:space="preserve">Inside expansion % of ARR</t>
  </si>
  <si>
    <t xml:space="preserve">Captured as upsell rather than a separate meter, to keep pricing simple.</t>
  </si>
  <si>
    <t xml:space="preserve">Premium analytics modules</t>
  </si>
  <si>
    <t xml:space="preserve">Not specified until core product is proven.</t>
  </si>
  <si>
    <t xml:space="preserve">Multi-plant enterprise contracts</t>
  </si>
  <si>
    <t xml:space="preserve">Enterprise tier + enterprise account managers</t>
  </si>
  <si>
    <t xml:space="preserve">Upside once a group adopts at one plant.</t>
  </si>
  <si>
    <t xml:space="preserve">Gain-share (performance-linked) fee</t>
  </si>
  <si>
    <t xml:space="preserve">Yes, haircut</t>
  </si>
  <si>
    <t xml:space="preserve">Inputs section K; zero in bear</t>
  </si>
  <si>
    <t xml:space="preserve">Separate revenue line; never in ARR; expected value after a collection haircut.</t>
  </si>
  <si>
    <t xml:space="preserve">IoT kit resale</t>
  </si>
  <si>
    <t xml:space="preserve">Other operating revenue at go-live</t>
  </si>
  <si>
    <t xml:space="preserve">Pass-through at 10% markup; only for plants without readable machine data.</t>
  </si>
  <si>
    <t xml:space="preserve">Pricing unit: which structure fits mid-sized Indian plants?</t>
  </si>
  <si>
    <t xml:space="preserve">Structure</t>
  </si>
  <si>
    <t xml:space="preserve">For</t>
  </si>
  <si>
    <t xml:space="preserve">Against</t>
  </si>
  <si>
    <t xml:space="preserve">Fit</t>
  </si>
  <si>
    <t xml:space="preserve">Verdict</t>
  </si>
  <si>
    <t xml:space="preserve">Per plant (flat)</t>
  </si>
  <si>
    <t xml:space="preserve">Simple budget line; easy to approve</t>
  </si>
  <si>
    <t xml:space="preserve">Under-charges large plants, over-charges small ones</t>
  </si>
  <si>
    <t xml:space="preserve">Medium</t>
  </si>
  <si>
    <t xml:space="preserve">Use as the platform base.</t>
  </si>
  <si>
    <t xml:space="preserve">Per machine</t>
  </si>
  <si>
    <t xml:space="preserve">Scales with value; common in OEE tools ($30-150/machine/month)</t>
  </si>
  <si>
    <t xml:space="preserve">Buyers limit coverage to save money, which weakens the optimiser</t>
  </si>
  <si>
    <t xml:space="preserve">Low</t>
  </si>
  <si>
    <t xml:space="preserve">Avoid as the primary meter.</t>
  </si>
  <si>
    <t xml:space="preserve">Per production line</t>
  </si>
  <si>
    <t xml:space="preserve">Matches how plants think about capacity</t>
  </si>
  <si>
    <t xml:space="preserve">Line definitions vary; hard to audit</t>
  </si>
  <si>
    <t xml:space="preserve">Use as a tier boundary only.</t>
  </si>
  <si>
    <t xml:space="preserve">Hybrid: per-plant tier with machine/line bands</t>
  </si>
  <si>
    <t xml:space="preserve">Predictable price; still scales with plant size</t>
  </si>
  <si>
    <t xml:space="preserve">Needs clear band rules</t>
  </si>
  <si>
    <t xml:space="preserve">High</t>
  </si>
  <si>
    <t xml:space="preserve">RECOMMENDED</t>
  </si>
  <si>
    <t xml:space="preserve">Price benchmarks (context only; products are not directly comparable)</t>
  </si>
  <si>
    <t xml:space="preserve">Benchmark</t>
  </si>
  <si>
    <t xml:space="preserve">Published price</t>
  </si>
  <si>
    <t xml:space="preserve">₹ lakh per year (converted)</t>
  </si>
  <si>
    <t xml:space="preserve">Source type</t>
  </si>
  <si>
    <t xml:space="preserve">Comparability</t>
  </si>
  <si>
    <t xml:space="preserve">OEE / production monitoring software (market range)</t>
  </si>
  <si>
    <t xml:space="preserve">$30-150</t>
  </si>
  <si>
    <t xml:space="preserve">per machine per month</t>
  </si>
  <si>
    <t xml:space="preserve">Vendor blog (TeepTrak, Aug 2026)</t>
  </si>
  <si>
    <t xml:space="preserve">₹ figure = low end x 20 machines. Monitoring only, no optimisation.</t>
  </si>
  <si>
    <t xml:space="preserve">OEE software, mid-market tier</t>
  </si>
  <si>
    <t xml:space="preserve">$200-450</t>
  </si>
  <si>
    <t xml:space="preserve">Vendor blog (Fabrico 2026)</t>
  </si>
  <si>
    <t xml:space="preserve">₹ figure = low end x 20 machines. Western pricing; Indian buyers will push lower.</t>
  </si>
  <si>
    <t xml:space="preserve">OEE site licence</t>
  </si>
  <si>
    <t xml:space="preserve">$1,500-8,000</t>
  </si>
  <si>
    <t xml:space="preserve">per site per month</t>
  </si>
  <si>
    <t xml:space="preserve">₹ figure = low end.</t>
  </si>
  <si>
    <t xml:space="preserve">PlanetTogether Essential APS</t>
  </si>
  <si>
    <t xml:space="preserve">$1,000</t>
  </si>
  <si>
    <t xml:space="preserve">per plant per month, billed annually</t>
  </si>
  <si>
    <t xml:space="preserve">Third-party listing (FitGap)</t>
  </si>
  <si>
    <t xml:space="preserve">Scheduling only; closest analogue to the Professional tier.</t>
  </si>
  <si>
    <t xml:space="preserve">Siemens Opcenter APS</t>
  </si>
  <si>
    <t xml:space="preserve">from $20,000</t>
  </si>
  <si>
    <t xml:space="preserve">per organisation licence + 18-22% maintenance</t>
  </si>
  <si>
    <t xml:space="preserve">Third-party estimate (ITQlick)</t>
  </si>
  <si>
    <t xml:space="preserve">Perpetual licence; enterprise buyer.</t>
  </si>
  <si>
    <t xml:space="preserve">Augury, PTC ThingWorx</t>
  </si>
  <si>
    <t xml:space="preserve">Not published</t>
  </si>
  <si>
    <t xml:space="preserve">quote-based</t>
  </si>
  <si>
    <t xml:space="preserve">No public pricing found</t>
  </si>
  <si>
    <t xml:space="preserve">Do not cite a number.</t>
  </si>
  <si>
    <t xml:space="preserve">SCENARIO PRICING HYPOTHESES (v4, 11-Oct-2026): average realised annual subscription per plant, FY27, ₹ lakh. Not validated market prices.</t>
  </si>
  <si>
    <t xml:space="preserve">Item</t>
  </si>
  <si>
    <t xml:space="preserve">Blended (mix-weighted)</t>
  </si>
  <si>
    <t xml:space="preserve">Type / note</t>
  </si>
  <si>
    <t xml:space="preserve">Stated price range: low</t>
  </si>
  <si>
    <t xml:space="preserve">Team hypothesis (ranges ₹12-18 / 24-36 / 40-60+ lakh).</t>
  </si>
  <si>
    <t xml:space="preserve">Stated price range: high</t>
  </si>
  <si>
    <t xml:space="preserve">Enterprise is open-ended above ₹60 lakh (multi-plant deals).</t>
  </si>
  <si>
    <t xml:space="preserve">Bear: average realised price</t>
  </si>
  <si>
    <t xml:space="preserve">Low end of each range. Blended = average realised new-customer price.</t>
  </si>
  <si>
    <t xml:space="preserve">Base: average realised price</t>
  </si>
  <si>
    <t xml:space="preserve">Midpoints.</t>
  </si>
  <si>
    <t xml:space="preserve">Bull: average realised price</t>
  </si>
  <si>
    <t xml:space="preserve">High end of each range.</t>
  </si>
  <si>
    <t xml:space="preserve">Bear: share of new customers</t>
  </si>
  <si>
    <t xml:space="preserve">Skews to Starter.</t>
  </si>
  <si>
    <t xml:space="preserve">Base: share of new customers</t>
  </si>
  <si>
    <t xml:space="preserve">Bull: share of new customers</t>
  </si>
  <si>
    <t xml:space="preserve">Check: realised prices inside the stated ranges; each mix sums to 100%</t>
  </si>
  <si>
    <t xml:space="preserve">Prices escalate at the list-price escalation on Inputs (5% a year) from FY27. Base Professional (₹30 lakh) is ~2.6x the PlanetTogether Essential APS listing (₹11.4 lakh, row 43): a large premium for an unproven vendor. Flagged on 16_SOM_Scenarios.</t>
  </si>
  <si>
    <t xml:space="preserve">4. CUSTOMER ACQUISITION &amp; REVENUE BUILD  (annual view of the monthly engine)</t>
  </si>
  <si>
    <t xml:space="preserve">Funnel → pilots → contracts → implementation → go-live → billing. Pilots are never counted as paying customers or ARR.</t>
  </si>
  <si>
    <t xml:space="preserve">Fiscal-year index</t>
  </si>
  <si>
    <t xml:space="preserve">FUNNEL</t>
  </si>
  <si>
    <t xml:space="preserve">Target accounts engaged (back-solved)</t>
  </si>
  <si>
    <t xml:space="preserve">Leads generated (back-solved)</t>
  </si>
  <si>
    <t xml:space="preserve">Qualified opportunities</t>
  </si>
  <si>
    <t xml:space="preserve">  of which partner-sourced</t>
  </si>
  <si>
    <t xml:space="preserve">Paid pilots started</t>
  </si>
  <si>
    <t xml:space="preserve">Commercial contracts signed (new paying customers)</t>
  </si>
  <si>
    <t xml:space="preserve">Opportunity-to-go-live elapsed time</t>
  </si>
  <si>
    <t xml:space="preserve">Sales cycle + pilot + implementation. The cash cost of this lag is why revenue trails hiring.</t>
  </si>
  <si>
    <t xml:space="preserve">DEPLOYMENT &amp; CUSTOMERS</t>
  </si>
  <si>
    <t xml:space="preserve">Plants gone live</t>
  </si>
  <si>
    <t xml:space="preserve">Implementation backlog at year end</t>
  </si>
  <si>
    <t xml:space="preserve">Non-zero means deployment capacity is binding.</t>
  </si>
  <si>
    <t xml:space="preserve">Plants churned</t>
  </si>
  <si>
    <t xml:space="preserve">Live paying plants at year end</t>
  </si>
  <si>
    <t xml:space="preserve">Average live paying plants</t>
  </si>
  <si>
    <t xml:space="preserve">Critical machines covered</t>
  </si>
  <si>
    <t xml:space="preserve">Live plants × machines per plant (Inputs).</t>
  </si>
  <si>
    <t xml:space="preserve">ARR &amp; CONTRACT VALUE (subscription only; excludes one-time fees)</t>
  </si>
  <si>
    <t xml:space="preserve">Opening ARR</t>
  </si>
  <si>
    <t xml:space="preserve">+ New plants</t>
  </si>
  <si>
    <t xml:space="preserve">+ Expansion &amp; escalation</t>
  </si>
  <si>
    <t xml:space="preserve">− Churned</t>
  </si>
  <si>
    <t xml:space="preserve">Check vs engine (should be 0)</t>
  </si>
  <si>
    <t xml:space="preserve">New-customer ACV (blended list price)</t>
  </si>
  <si>
    <t xml:space="preserve">Average ARR per live plant (year end)</t>
  </si>
  <si>
    <t xml:space="preserve">Renewal rate (1 − logo churn)</t>
  </si>
  <si>
    <t xml:space="preserve">REVENUE BY STREAM (recognised)</t>
  </si>
  <si>
    <t xml:space="preserve">Subscription</t>
  </si>
  <si>
    <t xml:space="preserve">Implementation</t>
  </si>
  <si>
    <t xml:space="preserve">Gain-share (performance-linked; not ARR)</t>
  </si>
  <si>
    <t xml:space="preserve">Total revenue</t>
  </si>
  <si>
    <t xml:space="preserve">Check vs P&amp;L (should be 0)</t>
  </si>
  <si>
    <t xml:space="preserve">Recurring subscription share of revenue (gain-share excluded)</t>
  </si>
  <si>
    <t xml:space="preserve">REVENUE BY PRICING TIER (subscription, using new-customer mix)</t>
  </si>
  <si>
    <t xml:space="preserve">Essential</t>
  </si>
  <si>
    <t xml:space="preserve">REVENUE BY CUSTOMER COHORT (fiscal year of go-live; subscription revenue)</t>
  </si>
  <si>
    <t xml:space="preserve">FY27 cohort</t>
  </si>
  <si>
    <t xml:space="preserve">Approximation: cohort's new ARR × annual net retention; half-year convention in the go-live year.</t>
  </si>
  <si>
    <t xml:space="preserve">FY28 cohort</t>
  </si>
  <si>
    <t xml:space="preserve">FY29 cohort</t>
  </si>
  <si>
    <t xml:space="preserve">FY30 cohort</t>
  </si>
  <si>
    <t xml:space="preserve">FY31 cohort</t>
  </si>
  <si>
    <t xml:space="preserve">Sum of cohorts (approximate)</t>
  </si>
  <si>
    <t xml:space="preserve">Differs slightly from recognised revenue because of monthly timing; for illustration.</t>
  </si>
  <si>
    <t xml:space="preserve">5. COST OF SERVICE &amp; GROSS MARGIN</t>
  </si>
  <si>
    <t xml:space="preserve">Recurring cost to serve vs one-time implementation cost, shown separately.</t>
  </si>
  <si>
    <t xml:space="preserve">RECURRING COST TO SERVE (cost of SaaS revenue)</t>
  </si>
  <si>
    <t xml:space="preserve">AI inference &amp; solver</t>
  </si>
  <si>
    <t xml:space="preserve">Third-party software licences</t>
  </si>
  <si>
    <t xml:space="preserve">Model monitoring &amp; retraining</t>
  </si>
  <si>
    <t xml:space="preserve">Cybersecurity &amp; data management (fixed)</t>
  </si>
  <si>
    <t xml:space="preserve">Customer success</t>
  </si>
  <si>
    <t xml:space="preserve">Technical support</t>
  </si>
  <si>
    <t xml:space="preserve">Total cost of SaaS revenue</t>
  </si>
  <si>
    <t xml:space="preserve">SaaS revenue (subscription only; gain-share excluded)</t>
  </si>
  <si>
    <t xml:space="preserve">Recurring cost to serve per average live plant</t>
  </si>
  <si>
    <t xml:space="preserve">ONE-TIME DEPLOYMENT COST (implementation &amp; pilots)</t>
  </si>
  <si>
    <t xml:space="preserve">Implementation engineers (salaries)</t>
  </si>
  <si>
    <t xml:space="preserve">On-site deployment, integration, travel, pilot costs</t>
  </si>
  <si>
    <t xml:space="preserve">Total cost of implementation &amp; pilot revenue</t>
  </si>
  <si>
    <t xml:space="preserve">Implementation + pilot revenue</t>
  </si>
  <si>
    <t xml:space="preserve">Services gross margin</t>
  </si>
  <si>
    <t xml:space="preserve">Deployment cost per plant gone live</t>
  </si>
  <si>
    <t xml:space="preserve">Includes pilot costs of prospects that did not convert.</t>
  </si>
  <si>
    <t xml:space="preserve">Implementation fee per plant gone live</t>
  </si>
  <si>
    <t xml:space="preserve">HARDWARE (optional IoT kit)</t>
  </si>
  <si>
    <t xml:space="preserve">IoT kit revenue</t>
  </si>
  <si>
    <t xml:space="preserve">IoT kit cost</t>
  </si>
  <si>
    <t xml:space="preserve">IoT kit margin</t>
  </si>
  <si>
    <t xml:space="preserve">TOTAL</t>
  </si>
  <si>
    <t xml:space="preserve">Total cost of revenue</t>
  </si>
  <si>
    <t xml:space="preserve">Total gross margin</t>
  </si>
  <si>
    <t xml:space="preserve">Check vs P&amp;L cost of revenue (should be 0)</t>
  </si>
  <si>
    <t xml:space="preserve">Software-like benchmark for SaaS gross margin</t>
  </si>
  <si>
    <t xml:space="preserve">Common investor reference point for B2B SaaS (~75%+); industrial SaaS often lands lower.</t>
  </si>
  <si>
    <t xml:space="preserve">6. PERSONNEL &amp; OPERATING EXPENSES</t>
  </si>
  <si>
    <t xml:space="preserve">Fixed roles follow the hiring plan (Inputs J); implementation, CS, support and pre-sales are driven by workload.</t>
  </si>
  <si>
    <t xml:space="preserve">YEAR-END HEADCOUNT BY ROLE</t>
  </si>
  <si>
    <t xml:space="preserve">Industrial automation engineers</t>
  </si>
  <si>
    <t xml:space="preserve">Account executives</t>
  </si>
  <si>
    <t xml:space="preserve">Pre-sales engineers</t>
  </si>
  <si>
    <t xml:space="preserve">Cybersecurity &amp; IT</t>
  </si>
  <si>
    <t xml:space="preserve">Implementation engineers</t>
  </si>
  <si>
    <t xml:space="preserve">COGS</t>
  </si>
  <si>
    <t xml:space="preserve">Sized to pilots + implementations in progress.</t>
  </si>
  <si>
    <t xml:space="preserve">Customer success managers</t>
  </si>
  <si>
    <t xml:space="preserve">Technical support engineers</t>
  </si>
  <si>
    <t xml:space="preserve">Total headcount</t>
  </si>
  <si>
    <t xml:space="preserve">heads</t>
  </si>
  <si>
    <t xml:space="preserve">Net hires in year</t>
  </si>
  <si>
    <t xml:space="preserve">COMPENSATION ASSUMPTIONS (FY27 CTC, ₹ lakh; on-cost and increments applied in engine)</t>
  </si>
  <si>
    <t xml:space="preserve">Hiring timing</t>
  </si>
  <si>
    <t xml:space="preserve">Founders from month 1; other FY27 hires from Inputs 'hire_start'; later hires at the start of each FY.</t>
  </si>
  <si>
    <t xml:space="preserve">OPERATING EXPENSES BY FUNCTION</t>
  </si>
  <si>
    <t xml:space="preserve">R&amp;D people</t>
  </si>
  <si>
    <t xml:space="preserve">R&amp;D tools &amp; dev cloud</t>
  </si>
  <si>
    <t xml:space="preserve">Research &amp; development</t>
  </si>
  <si>
    <t xml:space="preserve">S&amp;M people</t>
  </si>
  <si>
    <t xml:space="preserve">Marketing programmes</t>
  </si>
  <si>
    <t xml:space="preserve">Sales travel</t>
  </si>
  <si>
    <t xml:space="preserve">Commissions (sales + channel)</t>
  </si>
  <si>
    <t xml:space="preserve">Partner programme</t>
  </si>
  <si>
    <t xml:space="preserve">Sales &amp; marketing</t>
  </si>
  <si>
    <t xml:space="preserve">G&amp;A people</t>
  </si>
  <si>
    <t xml:space="preserve">Office</t>
  </si>
  <si>
    <t xml:space="preserve">Legal, compliance, audit</t>
  </si>
  <si>
    <t xml:space="preserve">Insurance</t>
  </si>
  <si>
    <t xml:space="preserve">Recruitment</t>
  </si>
  <si>
    <t xml:space="preserve">General &amp; administrative</t>
  </si>
  <si>
    <t xml:space="preserve">Total operating expenses</t>
  </si>
  <si>
    <t xml:space="preserve">Memo: people cost inside cost of revenue</t>
  </si>
  <si>
    <t xml:space="preserve">Opex as % of revenue</t>
  </si>
  <si>
    <t xml:space="preserve">7. INTEGRATED FINANCIAL STATEMENTS  (₹ lakh; ₹1 crore = ₹100 lakh)</t>
  </si>
  <si>
    <t xml:space="preserve">All figures aggregate the monthly engine. Active scenario shown on Inputs!C3.</t>
  </si>
  <si>
    <t xml:space="preserve">PROFIT &amp; LOSS</t>
  </si>
  <si>
    <t xml:space="preserve">Subscription (SaaS) revenue</t>
  </si>
  <si>
    <t xml:space="preserve">Implementation revenue</t>
  </si>
  <si>
    <t xml:space="preserve">Other operating revenue (paid pilots, IoT kits)</t>
  </si>
  <si>
    <t xml:space="preserve">Gain-share revenue (performance-linked; not ARR, not guaranteed)</t>
  </si>
  <si>
    <t xml:space="preserve">Expected value after the participation and collection haircuts on Inputs section K. Zero in bear.</t>
  </si>
  <si>
    <t xml:space="preserve">Cost of revenue</t>
  </si>
  <si>
    <t xml:space="preserve">Gross profit</t>
  </si>
  <si>
    <t xml:space="preserve">Depreciation &amp; amortisation</t>
  </si>
  <si>
    <t xml:space="preserve">EBIT</t>
  </si>
  <si>
    <t xml:space="preserve">Interest expense (net of interest income)</t>
  </si>
  <si>
    <t xml:space="preserve">Profit before tax</t>
  </si>
  <si>
    <t xml:space="preserve">Income tax</t>
  </si>
  <si>
    <t xml:space="preserve">Nil until cumulative tax losses are absorbed. No deferred tax asset recognised (prudence).</t>
  </si>
  <si>
    <t xml:space="preserve">Net profit / (loss)</t>
  </si>
  <si>
    <t xml:space="preserve">CASH FLOW STATEMENT</t>
  </si>
  <si>
    <t xml:space="preserve">Working-capital movement (receivables, payables, deferred revenue)</t>
  </si>
  <si>
    <t xml:space="preserve">Net interest paid</t>
  </si>
  <si>
    <t xml:space="preserve">Cash taxes</t>
  </si>
  <si>
    <t xml:space="preserve">Cash flow from operations</t>
  </si>
  <si>
    <t xml:space="preserve">Capital expenditure</t>
  </si>
  <si>
    <t xml:space="preserve">Capitalised software development</t>
  </si>
  <si>
    <t xml:space="preserve">Policy: R&amp;D expensed. Capitalise only once Ind AS 38 criteria (feasibility, intent, measurable cost) are documented.</t>
  </si>
  <si>
    <t xml:space="preserve">Cash flow from investing</t>
  </si>
  <si>
    <t xml:space="preserve">Equity raised</t>
  </si>
  <si>
    <t xml:space="preserve">Debt drawn</t>
  </si>
  <si>
    <t xml:space="preserve">Debt repaid</t>
  </si>
  <si>
    <t xml:space="preserve">Cash flow from financing</t>
  </si>
  <si>
    <t xml:space="preserve">Net change in cash</t>
  </si>
  <si>
    <t xml:space="preserve">Opening cash</t>
  </si>
  <si>
    <t xml:space="preserve">Check: closing cash vs monthly engine (should be 0)</t>
  </si>
  <si>
    <t xml:space="preserve">BALANCE SHEET (fiscal year end)</t>
  </si>
  <si>
    <t xml:space="preserve">Cash &amp; cash equivalents</t>
  </si>
  <si>
    <t xml:space="preserve">Trade receivables</t>
  </si>
  <si>
    <t xml:space="preserve">Prepayments &amp; other assets</t>
  </si>
  <si>
    <t xml:space="preserve">Not modelled separately (immaterial).</t>
  </si>
  <si>
    <t xml:space="preserve">Property, plant &amp; equipment (net)</t>
  </si>
  <si>
    <t xml:space="preserve">Capitalised intangible assets</t>
  </si>
  <si>
    <t xml:space="preserve">Nil by policy (see cash flow note).</t>
  </si>
  <si>
    <t xml:space="preserve">Total assets</t>
  </si>
  <si>
    <t xml:space="preserve">Trade payables &amp; accrued expenses</t>
  </si>
  <si>
    <t xml:space="preserve">Deferred revenue</t>
  </si>
  <si>
    <t xml:space="preserve">Debt</t>
  </si>
  <si>
    <t xml:space="preserve">Total liabilities</t>
  </si>
  <si>
    <t xml:space="preserve">Share capital &amp; premium</t>
  </si>
  <si>
    <t xml:space="preserve">Retained earnings / (accumulated losses)</t>
  </si>
  <si>
    <t xml:space="preserve">Total equity</t>
  </si>
  <si>
    <t xml:space="preserve">Total liabilities &amp; equity</t>
  </si>
  <si>
    <t xml:space="preserve">Balance check (should be 0)</t>
  </si>
  <si>
    <t xml:space="preserve">8. UNIT ECONOMICS  (ESTIMATES: no customer history exists; every ratio below is model-derived, not proven)</t>
  </si>
  <si>
    <t xml:space="preserve">PER PLANT</t>
  </si>
  <si>
    <t xml:space="preserve">Subscription revenue ÷ average live plants.</t>
  </si>
  <si>
    <t xml:space="preserve">Implementation revenue per new plant</t>
  </si>
  <si>
    <t xml:space="preserve">Direct deployment cost per new plant (incl. failed-pilot cost)</t>
  </si>
  <si>
    <t xml:space="preserve">Recurring cost to serve per plant</t>
  </si>
  <si>
    <t xml:space="preserve">SaaS gross profit per plant per year</t>
  </si>
  <si>
    <t xml:space="preserve">SaaS gross margin per plant</t>
  </si>
  <si>
    <t xml:space="preserve">ACQUISITION</t>
  </si>
  <si>
    <t xml:space="preserve">New paying customers (contracts signed)</t>
  </si>
  <si>
    <t xml:space="preserve">Sales &amp; marketing expense</t>
  </si>
  <si>
    <t xml:space="preserve">CAC, fully loaded (S&amp;M ÷ new paying customers)</t>
  </si>
  <si>
    <t xml:space="preserve">All S&amp;M attributed to new logos (conservative). Early years are distorted by spend ahead of the sales cycle.</t>
  </si>
  <si>
    <t xml:space="preserve">CAC incl. net deployment loss per plant</t>
  </si>
  <si>
    <t xml:space="preserve">RETENTION</t>
  </si>
  <si>
    <t xml:space="preserve">Unvalidated input.</t>
  </si>
  <si>
    <t xml:space="preserve">Gross revenue churn</t>
  </si>
  <si>
    <t xml:space="preserve">Equal to logo churn (no size bias assumed).</t>
  </si>
  <si>
    <t xml:space="preserve">Net revenue retention</t>
  </si>
  <si>
    <t xml:space="preserve">LIFETIME VALUE &amp; PAYBACK</t>
  </si>
  <si>
    <t xml:space="preserve">Annual survival ÷ (1 + discount rate)</t>
  </si>
  <si>
    <t xml:space="preserve">LTV (discounted SaaS gross profit, capped life + net implementation margin)</t>
  </si>
  <si>
    <t xml:space="preserve">LTV = GP/plant × Σ (survival/(1+r))^t for t ≤ life cap. No expansion included (prudent).</t>
  </si>
  <si>
    <t xml:space="preserve">LTV / CAC</t>
  </si>
  <si>
    <t xml:space="preserve">≥3x is the usual investor bar.</t>
  </si>
  <si>
    <t xml:space="preserve">CAC payback</t>
  </si>
  <si>
    <t xml:space="preserve">CAC ÷ monthly SaaS gross profit per plant.</t>
  </si>
  <si>
    <t xml:space="preserve">CONTRIBUTION &amp; BREAK-EVEN</t>
  </si>
  <si>
    <t xml:space="preserve">Contribution margin (gross profit − S&amp;M) ÷ revenue</t>
  </si>
  <si>
    <t xml:space="preserve">Live plants needed to cover this year's full cost base</t>
  </si>
  <si>
    <t xml:space="preserve">(Opex + fixed platform + net deployment cost) ÷ variable SaaS gross profit per plant.</t>
  </si>
  <si>
    <t xml:space="preserve">Live plants at year end (model)</t>
  </si>
  <si>
    <t xml:space="preserve">Customer break-even: months of SaaS gross profit to recover CAC + net deployment</t>
  </si>
  <si>
    <t xml:space="preserve">n.m. = not meaningful while fewer than 3 plants are live on average.</t>
  </si>
  <si>
    <t xml:space="preserve">9. CUSTOMER ROI &amp; VALUE REALISATION  (illustrative ₹200-600 crore auto-component plants, rescaled 11-Oct-2026; all inputs editable)</t>
  </si>
  <si>
    <t xml:space="preserve">Rule applied: lost revenue is NOT profit. Only contribution on output that can actually be sold, plus cash costs actually avoided, count as benefit.</t>
  </si>
  <si>
    <t xml:space="preserve">Input / calculation</t>
  </si>
  <si>
    <t xml:space="preserve">Basis and anti-double-counting note</t>
  </si>
  <si>
    <t xml:space="preserve">A. PLANT PROFILE</t>
  </si>
  <si>
    <t xml:space="preserve">Plant annual revenue</t>
  </si>
  <si>
    <t xml:space="preserve">v4: rescaled to ₹200 / 400 / 600 crore plants (was 80 / 120 / 150) so the base case passes the 3x value rule at ₹15-50 lakh pricing (team decision). Cost buckets below scaled by the same ratio. Unvalidated; see 16_SOM_Scenarios flags on plant size.</t>
  </si>
  <si>
    <t xml:space="preserve">Annual production hours (plant level)</t>
  </si>
  <si>
    <t xml:space="preserve">hours</t>
  </si>
  <si>
    <t xml:space="preserve">2-3 shifts × ~300 days.</t>
  </si>
  <si>
    <t xml:space="preserve">Revenue per production hour</t>
  </si>
  <si>
    <t xml:space="preserve">₹ lakh/hr</t>
  </si>
  <si>
    <t xml:space="preserve">Plant-level output hours lost to unplanned critical-machine disruption</t>
  </si>
  <si>
    <t xml:space="preserve">Only bottleneck downtime that actually stops plant output (2-4% of hours). Validate from plant downtime logs.</t>
  </si>
  <si>
    <t xml:space="preserve">Contribution margin on incremental output</t>
  </si>
  <si>
    <t xml:space="preserve">Price minus material, energy, variable labour. Not EBITDA, not revenue.</t>
  </si>
  <si>
    <t xml:space="preserve">Baseline on-time delivery (context)</t>
  </si>
  <si>
    <t xml:space="preserve">Non-monetary KPI; tracked, not monetised here.</t>
  </si>
  <si>
    <t xml:space="preserve">B. BASELINE ANNUAL DISRUPTION COSTS (cash, already net of recovery)</t>
  </si>
  <si>
    <t xml:space="preserve">Disruption-related overtime</t>
  </si>
  <si>
    <t xml:space="preserve">Overtime spent to recover output. Baseline lost hours are AFTER this recovery, so no overlap. v4: scaled with plant revenue.</t>
  </si>
  <si>
    <t xml:space="preserve">Expedited freight &amp; customer delivery penalties</t>
  </si>
  <si>
    <t xml:space="preserve">Costs on orders still delivered (late). Separate from lost sales. v4: scaled with plant revenue.</t>
  </si>
  <si>
    <t xml:space="preserve">Scrap &amp; rework caused by failures / restarts</t>
  </si>
  <si>
    <t xml:space="preserve">Only failure-induced quality loss. v4: scaled with plant revenue.</t>
  </si>
  <si>
    <t xml:space="preserve">Subcontracting / alternative production arrangements</t>
  </si>
  <si>
    <t xml:space="preserve">v4: scaled with plant revenue.</t>
  </si>
  <si>
    <t xml:space="preserve">Emergency maintenance premium (vs planned)</t>
  </si>
  <si>
    <t xml:space="preserve">Rush parts, call-out technicians. v4: scaled with plant revenue.</t>
  </si>
  <si>
    <t xml:space="preserve">C. IMPROVEMENT ATTRIBUTABLE TO THE PLATFORM (unproven; the crux of the pitch)</t>
  </si>
  <si>
    <t xml:space="preserve">Reduction in lost output hours</t>
  </si>
  <si>
    <t xml:space="preserve">From better job shifting/resequencing and maintenance timing. Must be proven in pilots.</t>
  </si>
  <si>
    <t xml:space="preserve">Share of recovered output that can actually be sold</t>
  </si>
  <si>
    <t xml:space="preserve">Requires demand, material, labour and quality to be available.</t>
  </si>
  <si>
    <t xml:space="preserve">Reduction in disruption overtime</t>
  </si>
  <si>
    <t xml:space="preserve">Reduction in expedite &amp; penalty cost</t>
  </si>
  <si>
    <t xml:space="preserve">Reduction in failure-induced scrap</t>
  </si>
  <si>
    <t xml:space="preserve">Reduction in subcontracting</t>
  </si>
  <si>
    <t xml:space="preserve">Reduction in emergency maintenance premium</t>
  </si>
  <si>
    <t xml:space="preserve">Predictive signal lets some repairs be planned.</t>
  </si>
  <si>
    <t xml:space="preserve">Share of steady-state benefit achieved in year 1</t>
  </si>
  <si>
    <t xml:space="preserve">Go-live lag, learning curve, trust building.</t>
  </si>
  <si>
    <t xml:space="preserve">D. BENEFITS (kept in separate buckets; only rows marked ✓ are summed)</t>
  </si>
  <si>
    <t xml:space="preserve">1. Lost revenue avoided (memo only, NOT a benefit)</t>
  </si>
  <si>
    <t xml:space="preserve">Shown to prevent the classic error of counting revenue as savings.</t>
  </si>
  <si>
    <t xml:space="preserve">2. ✓ Incremental contribution on saleable recovered output</t>
  </si>
  <si>
    <t xml:space="preserve">Revenue avoided × contribution margin.</t>
  </si>
  <si>
    <t xml:space="preserve">3. ✓ Cash costs avoided</t>
  </si>
  <si>
    <t xml:space="preserve">Overtime, expedite/penalties, scrap, subcontracting, emergency maintenance.</t>
  </si>
  <si>
    <t xml:space="preserve">4. Working-capital / inventory benefit</t>
  </si>
  <si>
    <t xml:space="preserve">Set to zero: not supportable without plant data (could come from lower safety stock).</t>
  </si>
  <si>
    <t xml:space="preserve">5. Non-monetary benefits</t>
  </si>
  <si>
    <t xml:space="preserve">text</t>
  </si>
  <si>
    <t xml:space="preserve">OTD, planner time, fewer firefights</t>
  </si>
  <si>
    <t xml:space="preserve">Real but not monetised.</t>
  </si>
  <si>
    <t xml:space="preserve">Gross annual benefit (steady state)</t>
  </si>
  <si>
    <t xml:space="preserve">E. CUSTOMER COSTS</t>
  </si>
  <si>
    <t xml:space="preserve">Annual subscription (Professional tier, model list price)</t>
  </si>
  <si>
    <t xml:space="preserve">Linked to 3_Pricing.</t>
  </si>
  <si>
    <t xml:space="preserve">One-time implementation fee</t>
  </si>
  <si>
    <t xml:space="preserve">Customer's internal effort (IT, planner time, data clean-up)</t>
  </si>
  <si>
    <t xml:space="preserve">Often ignored; counts against ROI.</t>
  </si>
  <si>
    <t xml:space="preserve">IoT kit (only if machine data not readable)</t>
  </si>
  <si>
    <t xml:space="preserve">Low case assumes the plant needs the kit.</t>
  </si>
  <si>
    <t xml:space="preserve">F. RETURNS</t>
  </si>
  <si>
    <t xml:space="preserve">Net annual benefit, steady state</t>
  </si>
  <si>
    <t xml:space="preserve">Year-1 benefit (ramped)</t>
  </si>
  <si>
    <t xml:space="preserve">Year-1 total cost</t>
  </si>
  <si>
    <t xml:space="preserve">First-year ROI</t>
  </si>
  <si>
    <t xml:space="preserve">Steady-state ROI (on annual recurring cost)</t>
  </si>
  <si>
    <t xml:space="preserve">Payback of one-time costs (implementation + kit), with year-1 ramp</t>
  </si>
  <si>
    <t xml:space="preserve">Year-1 net benefit uses the ramp; after month 12 the steady-state net benefit applies.</t>
  </si>
  <si>
    <t xml:space="preserve">Gross benefit ÷ subscription price</t>
  </si>
  <si>
    <t xml:space="preserve">Mid-market buyers typically want ≥3x visible value before a new software line item.</t>
  </si>
  <si>
    <t xml:space="preserve">Maximum defensible subscription at a 3x value rule</t>
  </si>
  <si>
    <t xml:space="preserve">Price test</t>
  </si>
  <si>
    <t xml:space="preserve">Double-count check: gross = contribution + cash + WC (excludes revenue)</t>
  </si>
  <si>
    <t xml:space="preserve">10. SALES CAPACITY &amp; GO-TO-MARKET ECONOMICS</t>
  </si>
  <si>
    <t xml:space="preserve">Beachhead: mid-sized auto-component, metal, machinery, plastics and electrical plants in the top-5 manufacturing states (Tamil Nadu, Gujarat, Maharashtra, Uttar Pradesh, Karnataka), starting in 4-5 industrial clusters.</t>
  </si>
  <si>
    <t xml:space="preserve">SALES CAPACITY</t>
  </si>
  <si>
    <t xml:space="preserve">Account executives (year end)</t>
  </si>
  <si>
    <t xml:space="preserve">Average effective selling capacity (ramped AEs + founder)</t>
  </si>
  <si>
    <t xml:space="preserve">FTE</t>
  </si>
  <si>
    <t xml:space="preserve">Leads per effective seller per month</t>
  </si>
  <si>
    <t xml:space="preserve">Qualified opportunities per effective seller per month</t>
  </si>
  <si>
    <t xml:space="preserve">New contracts per effective seller per year (direct)</t>
  </si>
  <si>
    <t xml:space="preserve">Lagged: this year's contracts come partly from last year's pipeline.</t>
  </si>
  <si>
    <t xml:space="preserve">ROUTE ECONOMICS</t>
  </si>
  <si>
    <t xml:space="preserve">Contracts: direct</t>
  </si>
  <si>
    <t xml:space="preserve">Contracts: partner</t>
  </si>
  <si>
    <t xml:space="preserve">Partner share of new contracts</t>
  </si>
  <si>
    <t xml:space="preserve">Direct acquisition cost (S&amp;M excl. channel cost)</t>
  </si>
  <si>
    <t xml:space="preserve">Cost per acquired customer: direct</t>
  </si>
  <si>
    <t xml:space="preserve">Channel commissions + partner programme</t>
  </si>
  <si>
    <t xml:space="preserve">Cost per acquired customer: partner (marginal)</t>
  </si>
  <si>
    <t xml:space="preserve">Marginal only: partner deals still use founder/pre-sales time not allocated here.</t>
  </si>
  <si>
    <t xml:space="preserve">Partner-generated new ARR</t>
  </si>
  <si>
    <t xml:space="preserve">TIME TO SCALE</t>
  </si>
  <si>
    <t xml:space="preserve">Month ARR first reaches ₹10 crore</t>
  </si>
  <si>
    <t xml:space="preserve">Channel options compared (qualitative assumptions, to be tested)</t>
  </si>
  <si>
    <t xml:space="preserve">Route</t>
  </si>
  <si>
    <t xml:space="preserve">Cycle</t>
  </si>
  <si>
    <t xml:space="preserve">Conversion</t>
  </si>
  <si>
    <t xml:space="preserve">Cost to acquire</t>
  </si>
  <si>
    <t xml:space="preserve">Partner economics</t>
  </si>
  <si>
    <t xml:space="preserve">Scalability</t>
  </si>
  <si>
    <t xml:space="preserve">Direct founder + AE sales</t>
  </si>
  <si>
    <t xml:space="preserve">Long (6-9 mo)</t>
  </si>
  <si>
    <t xml:space="preserve">n/a</t>
  </si>
  <si>
    <t xml:space="preserve">Low-medium</t>
  </si>
  <si>
    <t xml:space="preserve">Mandatory for first 10-15 reference plants.</t>
  </si>
  <si>
    <t xml:space="preserve">Industrial automation integrators (PLC/SCADA SIs)</t>
  </si>
  <si>
    <t xml:space="preserve">Higher (trusted)</t>
  </si>
  <si>
    <t xml:space="preserve">15-25% of yr-1 ACV; may want services</t>
  </si>
  <si>
    <t xml:space="preserve">BEST second route once a reference site exists.</t>
  </si>
  <si>
    <t xml:space="preserve">Machine-tool OEMs (CNC, presses)</t>
  </si>
  <si>
    <t xml:space="preserve">Long (OEM product cycles)</t>
  </si>
  <si>
    <t xml:space="preserve">Low per deal, high to sign</t>
  </si>
  <si>
    <t xml:space="preserve">Revenue share/bundling</t>
  </si>
  <si>
    <t xml:space="preserve">High if signed</t>
  </si>
  <si>
    <t xml:space="preserve">Pursue for FY29+; slow to negotiate.</t>
  </si>
  <si>
    <t xml:space="preserve">ERP/MES implementation partners</t>
  </si>
  <si>
    <t xml:space="preserve">Referral fee</t>
  </si>
  <si>
    <t xml:space="preserve">Useful for Enterprise tier only.</t>
  </si>
  <si>
    <t xml:space="preserve">Manufacturing associations / clusters (ACMA, local chambers)</t>
  </si>
  <si>
    <t xml:space="preserve">Short to first meeting</t>
  </si>
  <si>
    <t xml:space="preserve">Event sponsorship</t>
  </si>
  <si>
    <t xml:space="preserve">Lead source, not a sales channel.</t>
  </si>
  <si>
    <t xml:space="preserve">Industrial technology distributors</t>
  </si>
  <si>
    <t xml:space="preserve">Margin on resale</t>
  </si>
  <si>
    <t xml:space="preserve">Weak fit: product needs consultative selling.</t>
  </si>
  <si>
    <t xml:space="preserve">Recommendation: founder-led direct sales to land 10-15 reference plants in one cluster; from FY28 build an SI and machine-tool OEM partner channel (about 8 active partners by FY29 and 15-20 by FY31, each sourcing ~0.4 qualified opportunities a month). Associations are a lead source only.</t>
  </si>
  <si>
    <t xml:space="preserve">11. FUNDING REQUIREMENT &amp; CAPITAL STRUCTURE</t>
  </si>
  <si>
    <t xml:space="preserve">Sized from the monthly cash forecast. No valuation or investor return is assumed.</t>
  </si>
  <si>
    <t xml:space="preserve">A. CASH NEED (pre-financing)</t>
  </si>
  <si>
    <t xml:space="preserve">Peak cumulative cash deficit (operating + investing)</t>
  </si>
  <si>
    <t xml:space="preserve">Month of peak deficit</t>
  </si>
  <si>
    <t xml:space="preserve">Peak monthly burn</t>
  </si>
  <si>
    <t xml:space="preserve">Average monthly burn, first 12 months</t>
  </si>
  <si>
    <t xml:space="preserve">Months of peak burn (Inputs).</t>
  </si>
  <si>
    <t xml:space="preserve">Contingency</t>
  </si>
  <si>
    <t xml:space="preserve">TOTAL EQUITY REQUIREMENT (5 years)</t>
  </si>
  <si>
    <t xml:space="preserve">  in ₹ crore</t>
  </si>
  <si>
    <t xml:space="preserve">B. STAGING</t>
  </si>
  <si>
    <t xml:space="preserve">Seed requirement: deficit to Series A month + buffer + contingency</t>
  </si>
  <si>
    <t xml:space="preserve">Buffer here uses the peak burn inside the seed period, not the later, larger burn.</t>
  </si>
  <si>
    <t xml:space="preserve">Seed modelled (Inputs)</t>
  </si>
  <si>
    <t xml:space="preserve">Runway on seed alone</t>
  </si>
  <si>
    <t xml:space="preserve">Months before seed cash runs out if no further capital arrives.</t>
  </si>
  <si>
    <t xml:space="preserve">Follow-on requirement (total − seed)</t>
  </si>
  <si>
    <t xml:space="preserve">Series A modelled (Inputs)</t>
  </si>
  <si>
    <t xml:space="preserve">Total equity modelled</t>
  </si>
  <si>
    <t xml:space="preserve">Lowest month-end cash in model</t>
  </si>
  <si>
    <t xml:space="preserve">Funding check: cash never negative</t>
  </si>
  <si>
    <t xml:space="preserve">Buffer check: lowest cash ≥ 3 months of peak burn</t>
  </si>
  <si>
    <t xml:space="preserve">C. USE OF FUNDS DURING SEED PERIOD (months 1 to Series A)</t>
  </si>
  <si>
    <t xml:space="preserve">Product development (R&amp;D people + tools)</t>
  </si>
  <si>
    <t xml:space="preserve">Customer pilots &amp; industrial integrations (deployment cost)</t>
  </si>
  <si>
    <t xml:space="preserve">Cloud infrastructure &amp; cybersecurity (cost to serve)</t>
  </si>
  <si>
    <t xml:space="preserve">Legal, compliance, admin &amp; other G&amp;A</t>
  </si>
  <si>
    <t xml:space="preserve">Capex (laptops, test rig)</t>
  </si>
  <si>
    <t xml:space="preserve">Memo: operating cash flow in seed period</t>
  </si>
  <si>
    <t xml:space="preserve">Shown as the net of operating items above; see total line.</t>
  </si>
  <si>
    <t xml:space="preserve">Working capital tied up at Series A month (receivables − payables − deferred)</t>
  </si>
  <si>
    <t xml:space="preserve">D. ANNUAL CASH VIEW</t>
  </si>
  <si>
    <t xml:space="preserve">Average monthly burn</t>
  </si>
  <si>
    <t xml:space="preserve">E. FINANCING OPTIONS</t>
  </si>
  <si>
    <t xml:space="preserve">Option</t>
  </si>
  <si>
    <t xml:space="preserve">Comment</t>
  </si>
  <si>
    <t xml:space="preserve">Bootstrapping (founder capital, grants, paid pilots)</t>
  </si>
  <si>
    <t xml:space="preserve">Paid pilots and services could fund a 3-4 person team, but not the 18-30 month lag to recurring revenue at this hiring plan.</t>
  </si>
  <si>
    <t xml:space="preserve">Equity: seed then Series A</t>
  </si>
  <si>
    <t xml:space="preserve">Matches a long pre-revenue build. Raise seed against pilot evidence, Series A against renewals and ARR.</t>
  </si>
  <si>
    <t xml:space="preserve">Government startup programmes and grants</t>
  </si>
  <si>
    <t xml:space="preserve">Non-dilutive top-up for R&amp;D; eligibility and timing uncertain. Verify current schemes before relying on them.</t>
  </si>
  <si>
    <t xml:space="preserve">Venture debt</t>
  </si>
  <si>
    <t xml:space="preserve">Low until ARR is recurring</t>
  </si>
  <si>
    <t xml:space="preserve">Lenders want recurring revenue and an equity sponsor; consider alongside Series A, not before.</t>
  </si>
  <si>
    <t xml:space="preserve">Working-capital / receivables finance</t>
  </si>
  <si>
    <t xml:space="preserve">Medium later</t>
  </si>
  <si>
    <t xml:space="preserve">Useful once receivables are material (DSO 60-90 days).</t>
  </si>
  <si>
    <t xml:space="preserve">Valuation: see 14_Valuation. Section H turns enterprise value into equity value and shows an illustrative pre-/post-money for the seed; it is not a price, because there is no validated round valuation.</t>
  </si>
  <si>
    <t xml:space="preserve">12. SCENARIO &amp; SENSITIVITY ANALYSIS</t>
  </si>
  <si>
    <t xml:space="preserve">Change Inputs!C3 to run any scenario live through every statement. Tables marked SNAPSHOT were produced by re-running the full model for each case.</t>
  </si>
  <si>
    <t xml:space="preserve">A. SCENARIO DEFINITIONS (linked to Inputs)</t>
  </si>
  <si>
    <t xml:space="preserve">Lever</t>
  </si>
  <si>
    <t xml:space="preserve">B. SCENARIO OUTPUTS</t>
  </si>
  <si>
    <t xml:space="preserve">Bear (SNAPSHOT)</t>
  </si>
  <si>
    <t xml:space="preserve">Base (SNAPSHOT)</t>
  </si>
  <si>
    <t xml:space="preserve">Bull (SNAPSHOT)</t>
  </si>
  <si>
    <t xml:space="preserve">LIVE: active scenario</t>
  </si>
  <si>
    <t xml:space="preserve">FY31 live paying plants</t>
  </si>
  <si>
    <t xml:space="preserve">FY31 EBITDA</t>
  </si>
  <si>
    <t xml:space="preserve">FY31 EBITDA margin</t>
  </si>
  <si>
    <t xml:space="preserve">Cumulative EBITDA FY27-FY31</t>
  </si>
  <si>
    <t xml:space="preserve">FY31 gross margin</t>
  </si>
  <si>
    <t xml:space="preserve">Total equity requirement (incl. buffer &amp; contingency)</t>
  </si>
  <si>
    <t xml:space="preserve">EBITDA break-even month (trailing 3 months &gt; 0)</t>
  </si>
  <si>
    <t xml:space="preserve">Lowest month-end cash (with modelled funding)</t>
  </si>
  <si>
    <t xml:space="preserve">FY31 LTV / CAC (estimate)</t>
  </si>
  <si>
    <t xml:space="preserve">FY31 CAC payback (estimate)</t>
  </si>
  <si>
    <t xml:space="preserve">Enterprise value @ 12% (two-stage DCF, steady-state terminal value)</t>
  </si>
  <si>
    <t xml:space="preserve">EV, 5-year horizon (FY31 EBIT as steady state, plus tax losses)</t>
  </si>
  <si>
    <t xml:space="preserve">EV without terminal value (FY27-FY36)</t>
  </si>
  <si>
    <t xml:space="preserve">FY31 free cash flow to the firm</t>
  </si>
  <si>
    <t xml:space="preserve">Snapshot: each column is the full model re-run with Inputs!C3 set to that scenario (v4, 11-Oct-2026), each landing on its Year-5 plant target via the solved partner scale, with identical funding inputs. Bear cash goes negative with base funding: its own equity need is row 36.</t>
  </si>
  <si>
    <t xml:space="preserve">C. SENSITIVITY: one lever at a time around the BASE case (SNAPSHOT)</t>
  </si>
  <si>
    <t xml:space="preserve">Low setting</t>
  </si>
  <si>
    <t xml:space="preserve">High setting</t>
  </si>
  <si>
    <t xml:space="preserve">FY31 ARR low</t>
  </si>
  <si>
    <t xml:space="preserve">FY31 ARR high</t>
  </si>
  <si>
    <t xml:space="preserve">FY31 EBITDA low</t>
  </si>
  <si>
    <t xml:space="preserve">FY31 EBITDA high</t>
  </si>
  <si>
    <t xml:space="preserve">Equity need low</t>
  </si>
  <si>
    <t xml:space="preserve">Equity need high</t>
  </si>
  <si>
    <t xml:space="preserve">Break-even month low / high</t>
  </si>
  <si>
    <t xml:space="preserve">EV low (₹ crore)</t>
  </si>
  <si>
    <t xml:space="preserve">EV high (₹ crore)</t>
  </si>
  <si>
    <t xml:space="preserve">Subscription price ±15%</t>
  </si>
  <si>
    <t xml:space="preserve">31 / 28</t>
  </si>
  <si>
    <t xml:space="preserve">Opportunity volume (new customers) ±25%</t>
  </si>
  <si>
    <t xml:space="preserve">33 / 28</t>
  </si>
  <si>
    <t xml:space="preserve">Pilot-to-paid conversion ±20%</t>
  </si>
  <si>
    <t xml:space="preserve">32 / 28</t>
  </si>
  <si>
    <t xml:space="preserve">Sales cycle +2 / −1 months</t>
  </si>
  <si>
    <t xml:space="preserve">Churn ×1.5 / ×0.5</t>
  </si>
  <si>
    <t xml:space="preserve">29 / 29</t>
  </si>
  <si>
    <t xml:space="preserve">Marketing &amp; sales-travel spend ×1.5 / ×0.5 (CAC)</t>
  </si>
  <si>
    <t xml:space="preserve">30 / 29</t>
  </si>
  <si>
    <t xml:space="preserve">Cloud/AI cost ×1.5 / ×0.7 (gross margin)</t>
  </si>
  <si>
    <t xml:space="preserve">Implementation effort &amp; cost ×1.3 / ×0.8</t>
  </si>
  <si>
    <t xml:space="preserve">D. RANKING: the variables that most determine value (largest EV swing first)</t>
  </si>
  <si>
    <t xml:space="preserve">EV swing (₹ crore)</t>
  </si>
  <si>
    <t xml:space="preserve">EBITDA swing (₹ lakh)</t>
  </si>
  <si>
    <t xml:space="preserve">Equity-need swing (₹ lakh)</t>
  </si>
  <si>
    <t xml:space="preserve">1. Opportunity volume (new customers) ±25%</t>
  </si>
  <si>
    <t xml:space="preserve">2. Pilot-to-paid conversion ±20%</t>
  </si>
  <si>
    <t xml:space="preserve">3. Subscription price ±15%</t>
  </si>
  <si>
    <t xml:space="preserve">4. Sales cycle +2 / −1 months</t>
  </si>
  <si>
    <t xml:space="preserve">5. Churn ×1.5 / ×0.5</t>
  </si>
  <si>
    <t xml:space="preserve">6. Implementation effort &amp; cost ×1.3 / ×0.8</t>
  </si>
  <si>
    <t xml:space="preserve">7. Cloud/AI cost ×1.5 / ×0.7 (gross margin)</t>
  </si>
  <si>
    <t xml:space="preserve">8. Marketing &amp; sales-travel spend ×1.5 / ×0.5 (CAC)</t>
  </si>
  <si>
    <t xml:space="preserve">Lowest single-lever enterprise value: ₹259 crore. Every one-lever move keeps EV far above the ₹10 crore target; the risk sits in the Year-5 targets themselves (16_SOM_Scenarios flags), not in single levers. Re-run 11-Oct-2026 with base FY32 growth 11%.</t>
  </si>
  <si>
    <t xml:space="preserve">13. RISK ANALYSIS &amp; MODEL INTEGRITY CHECKS</t>
  </si>
  <si>
    <t xml:space="preserve">A. MODEL INTEGRITY CHECKS (all should read TRUE)</t>
  </si>
  <si>
    <t xml:space="preserve">Check</t>
  </si>
  <si>
    <t xml:space="preserve">Result</t>
  </si>
  <si>
    <t xml:space="preserve">Test</t>
  </si>
  <si>
    <t xml:space="preserve">Balance sheet balances every month</t>
  </si>
  <si>
    <t xml:space="preserve">Max |assets − (liabilities + equity)| over 60 months</t>
  </si>
  <si>
    <t xml:space="preserve">Balance sheet balances every year end</t>
  </si>
  <si>
    <t xml:space="preserve">Annual balance check row</t>
  </si>
  <si>
    <t xml:space="preserve">Closing cash reconciles (annual CF vs engine)</t>
  </si>
  <si>
    <t xml:space="preserve">Opening + net cash flow = engine cash</t>
  </si>
  <si>
    <t xml:space="preserve">Revenue reconciles to build-up and P&amp;L</t>
  </si>
  <si>
    <t xml:space="preserve">Sum of streams = P&amp;L revenue</t>
  </si>
  <si>
    <t xml:space="preserve">Customer roll-forward holds (opening − churn + go-lives = closing)</t>
  </si>
  <si>
    <t xml:space="preserve">Every month</t>
  </si>
  <si>
    <t xml:space="preserve">ARR excludes one-time revenue (ARR bridge reconciles)</t>
  </si>
  <si>
    <t xml:space="preserve">ARR = opening + new subscriptions + expansion − churn; implementation, pilot and hardware revenue never enter ARR</t>
  </si>
  <si>
    <t xml:space="preserve">Go-lives never exceed implementation capacity</t>
  </si>
  <si>
    <t xml:space="preserve">Go-live ≤ capacity every month</t>
  </si>
  <si>
    <t xml:space="preserve">Gross margin reconciles to cost of revenue</t>
  </si>
  <si>
    <t xml:space="preserve">Cost build = P&amp;L cost of revenue</t>
  </si>
  <si>
    <t xml:space="preserve">Funding covers the cash deficit (cash never negative)</t>
  </si>
  <si>
    <t xml:space="preserve">Lowest month-end cash ≥ 0</t>
  </si>
  <si>
    <t xml:space="preserve">Customer ROI excludes double counting</t>
  </si>
  <si>
    <t xml:space="preserve">Gross benefit = contribution + cash costs + WC; lost revenue excluded</t>
  </si>
  <si>
    <t xml:space="preserve">Pricing tier mix sums to 100%</t>
  </si>
  <si>
    <t xml:space="preserve">Scenario flows through statements and valuation (live = snapshot for active case)</t>
  </si>
  <si>
    <t xml:space="preserve">FALSE only means inputs changed after the snapshot was taken; re-run snapshots</t>
  </si>
  <si>
    <t xml:space="preserve">Valuation ties to the balance sheet; WACC &gt; g; terminal-value conditions; scenario probabilities sum to 100%; NPV bridge ends at the live base case</t>
  </si>
  <si>
    <t xml:space="preserve">14_Valuation row 34 (FCFF ties), section C check, section F probability and block checks. If inputs change, re-run the snapshots (Cover).</t>
  </si>
  <si>
    <t xml:space="preserve">Year-5 live plants hit the active scenario's target (within 0.5 plant)</t>
  </si>
  <si>
    <t xml:space="preserve">Engine FY31 closing live plants vs Inputs K. Re-solve the partner scale if funnel inputs change.</t>
  </si>
  <si>
    <t xml:space="preserve">Tier prices sit inside the stated ranges; scenario mixes sum to 100%</t>
  </si>
  <si>
    <t xml:space="preserve">3_Pricing scenario table.</t>
  </si>
  <si>
    <t xml:space="preserve">Gain-share kept out of ARR and zero in bear</t>
  </si>
  <si>
    <t xml:space="preserve">ARR bridge excludes gain-share by construction.</t>
  </si>
  <si>
    <t xml:space="preserve">Scenario snapshots on 16_SOM_Scenarios match the live model</t>
  </si>
  <si>
    <t xml:space="preserve">Filled below once the sheet exists.</t>
  </si>
  <si>
    <t xml:space="preserve">ALL CHECKS PASS</t>
  </si>
  <si>
    <t xml:space="preserve">B. RISK REGISTER (financial impact expressed against the base case)</t>
  </si>
  <si>
    <t xml:space="preserve">Risk</t>
  </si>
  <si>
    <t xml:space="preserve">Probability</t>
  </si>
  <si>
    <t xml:space="preserve">Financial impact</t>
  </si>
  <si>
    <t xml:space="preserve">Early-warning indicator</t>
  </si>
  <si>
    <t xml:space="preserve">Mitigation</t>
  </si>
  <si>
    <t xml:space="preserve">Owner</t>
  </si>
  <si>
    <t xml:space="preserve">Contingency in model</t>
  </si>
  <si>
    <t xml:space="preserve">Customers unwilling to pay for a new decision-support layer</t>
  </si>
  <si>
    <t xml:space="preserve">Fewer contracts; see pilot-to-paid sensitivity</t>
  </si>
  <si>
    <t xml:space="preserve">Pilot-to-paid &lt; 40%; 'free trial' requests</t>
  </si>
  <si>
    <t xml:space="preserve">Paid pilots with pre-agreed success metrics; Essential tier as entry</t>
  </si>
  <si>
    <t xml:space="preserve">CEO</t>
  </si>
  <si>
    <t xml:space="preserve">Bear pilot-to-paid 40%</t>
  </si>
  <si>
    <t xml:space="preserve">ERP/MES/APS vendors bundle similar features</t>
  </si>
  <si>
    <t xml:space="preserve">Price pressure, higher churn</t>
  </si>
  <si>
    <t xml:space="preserve">Lost deals citing incumbent roadmap</t>
  </si>
  <si>
    <t xml:space="preserve">Stay a thin layer on top; integrate rather than compete</t>
  </si>
  <si>
    <t xml:space="preserve">CTO</t>
  </si>
  <si>
    <t xml:space="preserve">Bear: low-end tier prices (₹12 / 24 / 40 lakh)</t>
  </si>
  <si>
    <t xml:space="preserve">Long enterprise sales cycles</t>
  </si>
  <si>
    <t xml:space="preserve">Revenue delayed 3-6 months; bigger funding need</t>
  </si>
  <si>
    <t xml:space="preserve">Opportunity age &gt; 6 months</t>
  </si>
  <si>
    <t xml:space="preserve">Cluster focus; referrals; partner channel</t>
  </si>
  <si>
    <t xml:space="preserve">Commercial founder</t>
  </si>
  <si>
    <t xml:space="preserve">Bear cycle +1 month</t>
  </si>
  <si>
    <t xml:space="preserve">Poor industrial data quality</t>
  </si>
  <si>
    <t xml:space="preserve">Longer implementations; services margin falls</t>
  </si>
  <si>
    <t xml:space="preserve">Data audit fails at &gt; 30% of pilots</t>
  </si>
  <si>
    <t xml:space="preserve">Readiness checklist before pilot; IoT kit option</t>
  </si>
  <si>
    <t xml:space="preserve">Bear implementation cost ×1.3</t>
  </si>
  <si>
    <t xml:space="preserve">Integration complexity across PLC/CNC brands</t>
  </si>
  <si>
    <t xml:space="preserve">Engineer load per plant rises</t>
  </si>
  <si>
    <t xml:space="preserve">Implementations &gt; 3 months</t>
  </si>
  <si>
    <t xml:space="preserve">Standard connector library; test rig</t>
  </si>
  <si>
    <t xml:space="preserve">Head of implementation</t>
  </si>
  <si>
    <t xml:space="preserve">Bear go-live lag 3 months</t>
  </si>
  <si>
    <t xml:space="preserve">Recommendations ignore real shop-floor constraints</t>
  </si>
  <si>
    <t xml:space="preserve">Low adoption → churn</t>
  </si>
  <si>
    <t xml:space="preserve">Planner override rate &gt; 50%</t>
  </si>
  <si>
    <t xml:space="preserve">Human approval loop; constraint capture during onboarding</t>
  </si>
  <si>
    <t xml:space="preserve">Product</t>
  </si>
  <si>
    <t xml:space="preserve">Bear churn 18%</t>
  </si>
  <si>
    <t xml:space="preserve">Claimed customer savings cannot be verified</t>
  </si>
  <si>
    <t xml:space="preserve">Weak renewals; no performance fee</t>
  </si>
  <si>
    <t xml:space="preserve">Customer cannot reproduce ROI numbers</t>
  </si>
  <si>
    <t xml:space="preserve">Baseline measurement in pilot; conservative ROI method (sheet 9)</t>
  </si>
  <si>
    <t xml:space="preserve">CS lead</t>
  </si>
  <si>
    <t xml:space="preserve">Performance fee = 0</t>
  </si>
  <si>
    <t xml:space="preserve">Cybersecurity / OT network risk</t>
  </si>
  <si>
    <t xml:space="preserve">Deal blockers; liability</t>
  </si>
  <si>
    <t xml:space="preserve">Security questionnaires failing</t>
  </si>
  <si>
    <t xml:space="preserve">Read-only connectors, ISO 27001 path, cyber insurance</t>
  </si>
  <si>
    <t xml:space="preserve">Security lead</t>
  </si>
  <si>
    <t xml:space="preserve">Fixed platform cost ₹1.5 lakh/month</t>
  </si>
  <si>
    <t xml:space="preserve">Excessive customisation</t>
  </si>
  <si>
    <t xml:space="preserve">Becomes a services business</t>
  </si>
  <si>
    <t xml:space="preserve">Custom work &gt; 20% of engineering time</t>
  </si>
  <si>
    <t xml:space="preserve">Productised tiers; charge for custom work</t>
  </si>
  <si>
    <t xml:space="preserve">Implementation fee covers direct cost</t>
  </si>
  <si>
    <t xml:space="preserve">Hardware &amp; deployment cost overruns</t>
  </si>
  <si>
    <t xml:space="preserve">Gross margin hit</t>
  </si>
  <si>
    <t xml:space="preserve">Kit attach &gt; 60%</t>
  </si>
  <si>
    <t xml:space="preserve">Pass-through pricing on kits</t>
  </si>
  <si>
    <t xml:space="preserve">Ops</t>
  </si>
  <si>
    <t xml:space="preserve">Bear attach 60%</t>
  </si>
  <si>
    <t xml:space="preserve">Customer concentration</t>
  </si>
  <si>
    <t xml:space="preserve">Medium early</t>
  </si>
  <si>
    <t xml:space="preserve">Revenue volatility</t>
  </si>
  <si>
    <t xml:space="preserve">Top 3 plants &gt; 40% of ARR</t>
  </si>
  <si>
    <t xml:space="preserve">Multi-cluster pipeline</t>
  </si>
  <si>
    <t xml:space="preserve">Not modelled</t>
  </si>
  <si>
    <t xml:space="preserve">AI and cloud cost escalation</t>
  </si>
  <si>
    <t xml:space="preserve">SaaS margin falls</t>
  </si>
  <si>
    <t xml:space="preserve">Cost per plant &gt; ₹0.2 lakh/month</t>
  </si>
  <si>
    <t xml:space="preserve">Event-driven solving, edge pre-processing</t>
  </si>
  <si>
    <t xml:space="preserve">Bear cloud ×1.25</t>
  </si>
  <si>
    <t xml:space="preserve">Hiring cost inflation for ML/OT talent</t>
  </si>
  <si>
    <t xml:space="preserve">Opex rises 10-20%</t>
  </si>
  <si>
    <t xml:space="preserve">Offer acceptance &lt; 50%</t>
  </si>
  <si>
    <t xml:space="preserve">Hire in tier-2 industrial cities; ESOPs</t>
  </si>
  <si>
    <t xml:space="preserve">8% increments</t>
  </si>
  <si>
    <t xml:space="preserve">Low retention or weak expansion</t>
  </si>
  <si>
    <t xml:space="preserve">LTV and NRR fall</t>
  </si>
  <si>
    <t xml:space="preserve">Usage drops after 90 days</t>
  </si>
  <si>
    <t xml:space="preserve">Monthly value reviews</t>
  </si>
  <si>
    <t xml:space="preserve">Bear churn 18%, expansion 3%</t>
  </si>
  <si>
    <t xml:space="preserve">Valuation depends on long-run assumptions</t>
  </si>
  <si>
    <t xml:space="preserve">Terminal value is most of the NPV</t>
  </si>
  <si>
    <t xml:space="preserve">Actuals fall behind the FY32-FY36 fade</t>
  </si>
  <si>
    <t xml:space="preserve">Terminal value charged for reinvestment (g ÷ RONIC); report the probability-weighted value, the comps range and the WACC × growth grid alongside the headline</t>
  </si>
  <si>
    <t xml:space="preserve">CFO</t>
  </si>
  <si>
    <t xml:space="preserve">Terminal value set to 0 if FY36 FCFF ≤ 0</t>
  </si>
  <si>
    <t xml:space="preserve">14. VALUATION: DCF, SCENARIO-WEIGHTED VALUE, COMPARABLES AND EQUITY BRIDGE  (₹ lakh unless stated)</t>
  </si>
  <si>
    <t xml:space="preserve">Structure: A inputs · B FCFF build · C steady-state terminal value · D base DCF summary · E WACC × growth sensitivity · F probability-weighted scenarios · G comparable-company cross-check · H equity bridge · I reconciliation · J notes. Values are at the model start date (1-Apr-2026), end-of-year discounting, before any financing.</t>
  </si>
  <si>
    <t xml:space="preserve">A. VALUATION INPUTS</t>
  </si>
  <si>
    <t xml:space="preserve">Discount rate (WACC)</t>
  </si>
  <si>
    <t xml:space="preserve">Given</t>
  </si>
  <si>
    <t xml:space="preserve">Set by the team for the case. An early-stage venture investor would use 25-40%; see the grid in section E.</t>
  </si>
  <si>
    <t xml:space="preserve">Terminal growth after FY36</t>
  </si>
  <si>
    <t xml:space="preserve">Long-run nominal growth = RBI's 4% CPI target (Apr-2026 to Mar-2031) plus ~1% real growth; below the 10-year G-sec yield (~7.2%, Oct-2026) and India's nominal GDP trend. See section C.</t>
  </si>
  <si>
    <t xml:space="preserve">Revenue growth in FY32 (first fade year)</t>
  </si>
  <si>
    <t xml:space="preserve">Scenario link</t>
  </si>
  <si>
    <t xml:space="preserve">Active scenario's value from section F (base 11%: team decision on 11-Oct-2026, replacing 57% = half of FY31 engine growth).</t>
  </si>
  <si>
    <t xml:space="preserve">Revenue growth in FY36 (last fade year)</t>
  </si>
  <si>
    <t xml:space="preserve">Section F. Straight-line fade from FY32; a mature vertical SaaS still growing above GDP.</t>
  </si>
  <si>
    <t xml:space="preserve">Steady-state EBITDA margin</t>
  </si>
  <si>
    <t xml:space="preserve">Section F. Base 25%, below the 30%+ that mature software firms report.</t>
  </si>
  <si>
    <t xml:space="preserve">Maximum EBITDA-margin change per year</t>
  </si>
  <si>
    <t xml:space="preserve">pts</t>
  </si>
  <si>
    <t xml:space="preserve">Section F. Margin moves towards the steady state by at most this much a year, up or down.</t>
  </si>
  <si>
    <t xml:space="preserve">Capex (= D&amp;A) in FY32-FY36</t>
  </si>
  <si>
    <t xml:space="preserve">% of revenue</t>
  </si>
  <si>
    <t xml:space="preserve">Asset-light: laptops and test rigs. FY31 engine capex is under 1% of revenue.</t>
  </si>
  <si>
    <t xml:space="preserve">Tax rate</t>
  </si>
  <si>
    <t xml:space="preserve">Concessional regime incl. surcharge and cess (Inputs).</t>
  </si>
  <si>
    <t xml:space="preserve">Net working capital, FY31</t>
  </si>
  <si>
    <t xml:space="preserve">Receivables less payables and deferred revenue at FY31, held as a share of revenue in the fade.</t>
  </si>
  <si>
    <t xml:space="preserve">Target NPV</t>
  </si>
  <si>
    <t xml:space="preserve">Team's hurdle for the pitch.</t>
  </si>
  <si>
    <t xml:space="preserve">B. FREE CASH FLOW TO THE FIRM</t>
  </si>
  <si>
    <t xml:space="preserve">Year number (t)</t>
  </si>
  <si>
    <t xml:space="preserve">Phase</t>
  </si>
  <si>
    <t xml:space="preserve">Fade</t>
  </si>
  <si>
    <t xml:space="preserve">FY27-FY31 link to 7_Financials; fade years grow at row 22.</t>
  </si>
  <si>
    <t xml:space="preserve">Fade: straight line from the FY32 rate to the FY36 rate.</t>
  </si>
  <si>
    <t xml:space="preserve">Fade: margin moves towards the steady-state margin by at most the yearly step, up or down.</t>
  </si>
  <si>
    <t xml:space="preserve">Fade: D&amp;A set equal to capex (steady state).</t>
  </si>
  <si>
    <t xml:space="preserve">Capital expenditure (incl. capitalised software)</t>
  </si>
  <si>
    <t xml:space="preserve">Tax losses available: opening</t>
  </si>
  <si>
    <t xml:space="preserve">Unused losses at FY31 = −(sum of FY27-FY31 profit before tax) if negative.</t>
  </si>
  <si>
    <t xml:space="preserve">Tax losses used</t>
  </si>
  <si>
    <t xml:space="preserve">Tax losses available: closing</t>
  </si>
  <si>
    <t xml:space="preserve">Engine years: as computed monthly. Fade: tax on EBIT after using carried-forward losses.</t>
  </si>
  <si>
    <t xml:space="preserve">Working-capital movement</t>
  </si>
  <si>
    <t xml:space="preserve">Fade: −(NWC % of revenue × revenue increase).</t>
  </si>
  <si>
    <t xml:space="preserve">Free cash flow to the firm (FCFF)</t>
  </si>
  <si>
    <t xml:space="preserve">EBITDA + capex + cash taxes + working-capital movement (costs negative).</t>
  </si>
  <si>
    <t xml:space="preserve">Check: FCFF = Δ balance-sheet cash − financing flows; WC = Δ balance-sheet WC (should be 0)</t>
  </si>
  <si>
    <t xml:space="preserve">Independent tie to the balance sheet: FCFF = change in cash − equity/debt flows − interest; WC = change in receivables, prepayments, payables, deferred revenue.</t>
  </si>
  <si>
    <t xml:space="preserve">Discount factor</t>
  </si>
  <si>
    <t xml:space="preserve">PV of FCFF</t>
  </si>
  <si>
    <t xml:space="preserve">Cumulative FCFF</t>
  </si>
  <si>
    <t xml:space="preserve">Terminal value at FY36 (steady-state value-driver method, section C)</t>
  </si>
  <si>
    <t xml:space="preserve">Zero when the business is not profitable at the end of the fade. See section C.</t>
  </si>
  <si>
    <t xml:space="preserve">PV of terminal value</t>
  </si>
  <si>
    <t xml:space="preserve">FCFF incl. terminal value (for IRR)</t>
  </si>
  <si>
    <t xml:space="preserve">Payback helper (year number once cumulative FCFF &gt; 0)</t>
  </si>
  <si>
    <t xml:space="preserve">C. TERMINAL VALUE: STEADY-STATE CHECK (value-driver method: TV = NOPAT₍FY37₎ × (1 − g ÷ RONIC) ÷ (WACC − g))</t>
  </si>
  <si>
    <t xml:space="preserve">India 10-year G-sec yield (ceiling for nominal g)</t>
  </si>
  <si>
    <t xml:space="preserve">Trading Economics, 1-Oct-2026: benchmark 10-year yield ~7.21%.</t>
  </si>
  <si>
    <t xml:space="preserve">RBI CPI inflation target</t>
  </si>
  <si>
    <t xml:space="preserve">Government notification, 25-Mar-2026: 4% ± 2% for 1-Apr-2026 to 31-Mar-2031.</t>
  </si>
  <si>
    <t xml:space="preserve">Terminal growth (g)</t>
  </si>
  <si>
    <t xml:space="preserve">From section A.</t>
  </si>
  <si>
    <t xml:space="preserve">Implied real perpetual growth</t>
  </si>
  <si>
    <t xml:space="preserve">About 1% real: a mature niche software vendor, not a market leader growing with the economy.</t>
  </si>
  <si>
    <t xml:space="preserve">Return on new invested capital in perpetuity (RONIC)</t>
  </si>
  <si>
    <t xml:space="preserve">Above the 12% WACC (switching costs, asset-light) but finite: competition erodes returns on new growth. RONIC = WACC means growth adds no value (section E).</t>
  </si>
  <si>
    <t xml:space="preserve">Reinvestment rate needed to sustain g (g ÷ RONIC)</t>
  </si>
  <si>
    <t xml:space="preserve">% of NOPAT</t>
  </si>
  <si>
    <t xml:space="preserve">Share of terminal profit that must be ploughed back (capacity, product, working capital) to grow at g.</t>
  </si>
  <si>
    <t xml:space="preserve">FY36 revenue growth less g</t>
  </si>
  <si>
    <t xml:space="preserve">Fade ends at 12% growth; the perpetuity assumes 5%. Value of the step-down is not credited.</t>
  </si>
  <si>
    <t xml:space="preserve">FY37 revenue</t>
  </si>
  <si>
    <t xml:space="preserve">FY36 EBITDA margin (end of fade)</t>
  </si>
  <si>
    <t xml:space="preserve">Steady-state EBITDA margin used in the terminal year</t>
  </si>
  <si>
    <t xml:space="preserve">Lower of the scenario's steady-state margin and the FY36 margin: a business still loss-making in FY36 earns no perpetuity value.</t>
  </si>
  <si>
    <t xml:space="preserve">Steady-state capex = D&amp;A</t>
  </si>
  <si>
    <t xml:space="preserve">FY37 EBIT</t>
  </si>
  <si>
    <t xml:space="preserve">FY37 NOPAT (taxed in full)</t>
  </si>
  <si>
    <t xml:space="preserve">Carried-forward losses are used up by FY33 in the base case (row 30).</t>
  </si>
  <si>
    <t xml:space="preserve">Net reinvestment in FY37</t>
  </si>
  <si>
    <t xml:space="preserve">FY37 FCFF (steady state)</t>
  </si>
  <si>
    <t xml:space="preserve">Terminal value at end-FY36</t>
  </si>
  <si>
    <t xml:space="preserve">Feeds row 38.</t>
  </si>
  <si>
    <t xml:space="preserve">Memo: reinvestment actually in the FY36 cash flow</t>
  </si>
  <si>
    <t xml:space="preserve">Capex equals D&amp;A and working capital is small, so FY36 reinvests almost nothing. Capitalising that cash flow at 5% growth overstated value.</t>
  </si>
  <si>
    <t xml:space="preserve">Memo: terminal value, previous method (FY36 FCFF × (1+g) ÷ (WACC − g))</t>
  </si>
  <si>
    <t xml:space="preserve">v2 method, kept for the reconciliation in section I.</t>
  </si>
  <si>
    <t xml:space="preserve">Memo: PV of previous-method terminal value</t>
  </si>
  <si>
    <t xml:space="preserve">Implied terminal value ÷ FY37 EBITDA</t>
  </si>
  <si>
    <t xml:space="preserve">Cross-check: PTC, a mature listed industrial software company, trades at 16.6x LTM EBITDA (section G).</t>
  </si>
  <si>
    <t xml:space="preserve">Implied terminal value ÷ FY36 revenue</t>
  </si>
  <si>
    <t xml:space="preserve">Check: g &lt; WACC, g ≤ 10-year G-sec yield, RONIC ≥ WACC</t>
  </si>
  <si>
    <t xml:space="preserve">D. BASE DCF SUMMARY (active scenario on Inputs!C3)</t>
  </si>
  <si>
    <t xml:space="preserve">Share of EV</t>
  </si>
  <si>
    <t xml:space="preserve">PV of FCFF, FY27-FY31 (monthly engine)</t>
  </si>
  <si>
    <t xml:space="preserve">The J-curve: investment years before break-even.</t>
  </si>
  <si>
    <t xml:space="preserve">PV of FCFF, FY32-FY36 (fade)</t>
  </si>
  <si>
    <t xml:space="preserve">Steady-state method (section C).</t>
  </si>
  <si>
    <t xml:space="preserve">Enterprise value (NPV of FCFF) at the model start date</t>
  </si>
  <si>
    <t xml:space="preserve">Enterprise value, base DCF @ WACC</t>
  </si>
  <si>
    <t xml:space="preserve">Headline. Probability-weighted value: section F.</t>
  </si>
  <si>
    <t xml:space="preserve">Meets the ₹10 crore NPV target?</t>
  </si>
  <si>
    <t xml:space="preserve">IRR on FCFF including terminal value</t>
  </si>
  <si>
    <t xml:space="preserve">Payback year (cumulative FCFF turns positive)</t>
  </si>
  <si>
    <t xml:space="preserve">DCF value at end-FY31 (FY32+ cash flows and terminal value)</t>
  </si>
  <si>
    <t xml:space="preserve">Same date as FY31 ARR; used in sections G and H.</t>
  </si>
  <si>
    <t xml:space="preserve">…÷ FY31 closing ARR</t>
  </si>
  <si>
    <t xml:space="preserve">Compare with the EV/ARR range in section G.</t>
  </si>
  <si>
    <t xml:space="preserve">Terminal value ÷ FY36 EBITDA</t>
  </si>
  <si>
    <t xml:space="preserve">Exit-multiple sense check.</t>
  </si>
  <si>
    <t xml:space="preserve">Cross-checks on the headline</t>
  </si>
  <si>
    <t xml:space="preserve">EV, 5-year horizon (steady-state TV on FY31 EBIT taxed in full, plus unused tax losses)</t>
  </si>
  <si>
    <t xml:space="preserve">Most conservative: FY31, the first profitable year, treated as steady state.</t>
  </si>
  <si>
    <t xml:space="preserve">EV of FY27-FY36 cash flows without any terminal value</t>
  </si>
  <si>
    <t xml:space="preserve">What the plan earns inside ten years.</t>
  </si>
  <si>
    <t xml:space="preserve">EV at a 20% discount rate (same cash flows)</t>
  </si>
  <si>
    <t xml:space="preserve">Venture-style hurdle; see section E for the full grid.</t>
  </si>
  <si>
    <t xml:space="preserve">Implied FY36 live plants</t>
  </si>
  <si>
    <t xml:space="preserve">FY36 subscription revenue (FY31 subscription share) ÷ ARR per plant below.</t>
  </si>
  <si>
    <t xml:space="preserve">…as % of SAM plants (2_Market)</t>
  </si>
  <si>
    <t xml:space="preserve">The fade stays inside the serviceable market.</t>
  </si>
  <si>
    <t xml:space="preserve">ARR per live plant used for FY36</t>
  </si>
  <si>
    <t xml:space="preserve">FY31 ARR per plant grown at list-price escalation only.</t>
  </si>
  <si>
    <t xml:space="preserve">Check: FCFF ties to the balance sheet; TV conditions hold; probabilities sum to 100%; scenario block for the active case ties to the live DCF</t>
  </si>
  <si>
    <t xml:space="preserve">Feeds 13_Risks_Checks.</t>
  </si>
  <si>
    <t xml:space="preserve">E. SENSITIVITY: ENTERPRISE VALUE (₹ crore) BY DISCOUNT RATE AND TERMINAL GROWTH (same operating forecast)</t>
  </si>
  <si>
    <t xml:space="preserve">Discount rate ↓ / terminal growth →</t>
  </si>
  <si>
    <t xml:space="preserve">WACC</t>
  </si>
  <si>
    <t xml:space="preserve">Discount rate</t>
  </si>
  <si>
    <t xml:space="preserve">Discount rate (base)</t>
  </si>
  <si>
    <t xml:space="preserve">Each cell re-discounts the same FCFF and recomputes the steady-state terminal value. Shaded: base (12%, 5%). The terminal value stays 75-85% of EV at every rate (table below): the plan only turns cash-positive in FY31, so most value sits after FY36.</t>
  </si>
  <si>
    <t xml:space="preserve">Terminal value as % of EV ↓ / terminal growth →</t>
  </si>
  <si>
    <t xml:space="preserve">EV (₹ crore) at base WACC and g, by RONIC →</t>
  </si>
  <si>
    <t xml:space="preserve">Enterprise value</t>
  </si>
  <si>
    <t xml:space="preserve">RONIC = WACC: growth beyond FY36 creates no value; this is the floor for the terminal value at a given margin.</t>
  </si>
  <si>
    <t xml:space="preserve">F. PROBABILITY-WEIGHTED VALUATION: V(expected) = Σ P(i) × V(i)</t>
  </si>
  <si>
    <t xml:space="preserve">Each scenario is valued with its own operating forecast (engine snapshot FY27-FY31, its own fade FY32-FY36) and the same WACC, g and RONIC. A scenario's value is the higher of continuing and abandoning at the funding decision: investors stop funding a plan that destroys value.</t>
  </si>
  <si>
    <t xml:space="preserve">Judgement</t>
  </si>
  <si>
    <t xml:space="preserve">Bear 40%: the Year-5 targets need 25 AEs and a partner network that does not yet exist, and ₹15-50 lakh pricing is untested; missing two or three of the top levers lands near bear. Bull 15%: needs every lever favourable at once. Unchanged from v3.</t>
  </si>
  <si>
    <t xml:space="preserve">Revenue growth FY32</t>
  </si>
  <si>
    <t xml:space="preserve">v4.1: base set to 11% by team decision (was 57% = half of FY31 engine growth); bear 54% and bull 58% unchanged (half of 108% / 116%).</t>
  </si>
  <si>
    <t xml:space="preserve">Revenue growth FY36</t>
  </si>
  <si>
    <t xml:space="preserve">Same end point for all: a maturing vertical SaaS.</t>
  </si>
  <si>
    <t xml:space="preserve">Mature software 25-35%; bear lower for a sub-scale vendor, bull higher on better unit economics.</t>
  </si>
  <si>
    <t xml:space="preserve">Operating-leverage limit, applied up or down (bull fades from 49% towards 30%).</t>
  </si>
  <si>
    <t xml:space="preserve">Funding decision point (abandon if continuing is worth less)</t>
  </si>
  <si>
    <t xml:space="preserve">end of year #</t>
  </si>
  <si>
    <t xml:space="preserve">End-FY28: the Series A raise (month 22). If the plan has not proved out, investors stop funding; cash flows after that are zero.</t>
  </si>
  <si>
    <t xml:space="preserve">Probabilities sum to 100%</t>
  </si>
  <si>
    <t xml:space="preserve">F1. BEAR CASE: FCFF FY27-FY36 (FY27-FY31 = engine snapshot, values; FY32-FY36 = fade formulas)</t>
  </si>
  <si>
    <t xml:space="preserve">Tax losses: opening</t>
  </si>
  <si>
    <t xml:space="preserve">Tax losses: closing</t>
  </si>
  <si>
    <t xml:space="preserve">FCFF</t>
  </si>
  <si>
    <t xml:space="preserve">Terminal value at end-FY36 (steady-state method)</t>
  </si>
  <si>
    <t xml:space="preserve">Zero if FY36 margin is below D&amp;A: no perpetuity for a loss-making business.</t>
  </si>
  <si>
    <t xml:space="preserve">EV if the plan continues</t>
  </si>
  <si>
    <t xml:space="preserve">EV if funding stops at the decision point</t>
  </si>
  <si>
    <t xml:space="preserve">Scenario value used (higher of the two)</t>
  </si>
  <si>
    <t xml:space="preserve">F2. BASE CASE: FCFF FY27-FY36 (FY27-FY31 = engine snapshot, values; FY32-FY36 = fade formulas)</t>
  </si>
  <si>
    <t xml:space="preserve">F3. BULL CASE: FCFF FY27-FY36 (FY27-FY31 = engine snapshot, values; FY32-FY36 = fade formulas)</t>
  </si>
  <si>
    <t xml:space="preserve">F4. EXPECTED VALUE</t>
  </si>
  <si>
    <t xml:space="preserve">Scenario</t>
  </si>
  <si>
    <t xml:space="preserve">EV if continued (₹ crore)</t>
  </si>
  <si>
    <t xml:space="preserve">EV if abandoned (₹ crore)</t>
  </si>
  <si>
    <t xml:space="preserve">Value used (₹ crore)</t>
  </si>
  <si>
    <t xml:space="preserve">P × V (₹ crore)</t>
  </si>
  <si>
    <t xml:space="preserve">Decision</t>
  </si>
  <si>
    <t xml:space="preserve">Probability-weighted enterprise value</t>
  </si>
  <si>
    <t xml:space="preserve">Memo: probability-weighted EV with no option to stop funding</t>
  </si>
  <si>
    <t xml:space="preserve">Memo: expected value less base DCF</t>
  </si>
  <si>
    <t xml:space="preserve">Check: active scenario's block equals the live DCF (re-snapshot if the engine inputs change)</t>
  </si>
  <si>
    <t xml:space="preserve">Expected EV under other weightings (₹ crore)</t>
  </si>
  <si>
    <t xml:space="preserve">Weighting</t>
  </si>
  <si>
    <t xml:space="preserve">Expected EV (₹ crore)</t>
  </si>
  <si>
    <t xml:space="preserve">Cautious</t>
  </si>
  <si>
    <t xml:space="preserve">Selected (above)</t>
  </si>
  <si>
    <t xml:space="preserve">Balanced</t>
  </si>
  <si>
    <t xml:space="preserve">Equal</t>
  </si>
  <si>
    <t xml:space="preserve">Risk counted once: the bear and the stop-funding floor carry execution risk in the cash flows, so the discount rate stays at the team's 12% rather than a 30-40% venture rate, which already prices in failure. Using both would double-count. Expected value is not what an investor would pay.</t>
  </si>
  <si>
    <t xml:space="preserve">G. COMPARABLE-COMPANY CROSS-CHECK (external reference point; no listed company does plant-level disruption optimisation)</t>
  </si>
  <si>
    <t xml:space="preserve">Company / benchmark</t>
  </si>
  <si>
    <t xml:space="preserve">As of</t>
  </si>
  <si>
    <t xml:space="preserve">EV / Revenue</t>
  </si>
  <si>
    <t xml:space="preserve">EV / EBITDA</t>
  </si>
  <si>
    <t xml:space="preserve">Relevance and caveats</t>
  </si>
  <si>
    <t xml:space="preserve">PTC</t>
  </si>
  <si>
    <t xml:space="preserve">Listed: industrial software (PLM, IoT)</t>
  </si>
  <si>
    <t xml:space="preserve">9-Oct-2026</t>
  </si>
  <si>
    <t xml:space="preserve">Mature, profitable, global. Valuation ceiling, not a peer: 20x+ our scale and liquid.</t>
  </si>
  <si>
    <t xml:space="preserve">Samsara</t>
  </si>
  <si>
    <t xml:space="preserve">Listed: industrial IoT SaaS</t>
  </si>
  <si>
    <t xml:space="preserve">Connected-operations SaaS; growth and scale premium. EBITDA multiple not meaningful at its margin.</t>
  </si>
  <si>
    <t xml:space="preserve">SaaS Capital Index (public SaaS median)</t>
  </si>
  <si>
    <t xml:space="preserve">Index</t>
  </si>
  <si>
    <t xml:space="preserve">Q1 2026</t>
  </si>
  <si>
    <t xml:space="preserve">n.m.</t>
  </si>
  <si>
    <t xml:space="preserve">Broad public SaaS; via a secondary summary (Fungies, 2026). Verify against SaaS Capital before citing.</t>
  </si>
  <si>
    <t xml:space="preserve">Private SaaS, VC-backed, $3-10M ARR (median EV/ARR)</t>
  </si>
  <si>
    <t xml:space="preserve">Private benchmark</t>
  </si>
  <si>
    <t xml:space="preserve">2026</t>
  </si>
  <si>
    <t xml:space="preserve">Closest stage match; our FY31 ARR (~$2.3M) is below this band. Secondary source (Fungies citing SaaS Capital).</t>
  </si>
  <si>
    <t xml:space="preserve">Siemens / Altair</t>
  </si>
  <si>
    <t xml:space="preserve">Strategic acquisition</t>
  </si>
  <si>
    <t xml:space="preserve">Oct-2024</t>
  </si>
  <si>
    <t xml:space="preserve">EV ~$10bn ÷ ~$651M revenue Siemens said it adds. Control premium and simulation-software leader: upper bound only.</t>
  </si>
  <si>
    <t xml:space="preserve">Augury (predictive maintenance)</t>
  </si>
  <si>
    <t xml:space="preserve">Private funding round</t>
  </si>
  <si>
    <t xml:space="preserve">Feb-2025</t>
  </si>
  <si>
    <t xml:space="preserve">n.a.</t>
  </si>
  <si>
    <t xml:space="preserve">$75M Series F at $1bn+ valuation; revenue not disclosed, so no multiple. Shows investor appetite for industrial AI.</t>
  </si>
  <si>
    <t xml:space="preserve">Stage-adjusted multiple applied to the active scenario's FY31 metric</t>
  </si>
  <si>
    <t xml:space="preserve">Metric</t>
  </si>
  <si>
    <t xml:space="preserve">Mid</t>
  </si>
  <si>
    <t xml:space="preserve">Why this range</t>
  </si>
  <si>
    <t xml:space="preserve">EV / ARR on FY31 closing ARR</t>
  </si>
  <si>
    <t xml:space="preserve">Low = bottom of the private-SaaS range; mid ≈ private VC-backed median (5.3x) less a small-scale discount; high ≈ public SaaS median (6.7x) with no discount. Recurring ARR only.</t>
  </si>
  <si>
    <t xml:space="preserve">EV / Revenue on FY31 total revenue</t>
  </si>
  <si>
    <t xml:space="preserve">Lower than EV/ARR: ~25% of FY31 revenue is one-time implementation, pilot and hardware revenue.</t>
  </si>
  <si>
    <t xml:space="preserve">Not applied: FY31 is the first profitable year (12% margin in base), so EBITDA is not representative. Used instead to sense-check the terminal value (section C vs PTC 16.6x).</t>
  </si>
  <si>
    <t xml:space="preserve">Comps-implied enterprise value</t>
  </si>
  <si>
    <t xml:space="preserve">Base DCF</t>
  </si>
  <si>
    <t xml:space="preserve">EV at end-FY31 from EV/ARR</t>
  </si>
  <si>
    <t xml:space="preserve">Base DCF column: value of FY32+ cash flows at end-FY31.</t>
  </si>
  <si>
    <t xml:space="preserve">EV at end-FY31 from EV/Revenue</t>
  </si>
  <si>
    <t xml:space="preserve">EV today = PV of FY27-FY31 FCFF + PV of end-FY31 value (EV/ARR)</t>
  </si>
  <si>
    <t xml:space="preserve">Discounted at the same 12% and netted for the burn years, so it is comparable with the DCF.</t>
  </si>
  <si>
    <t xml:space="preserve">EV today (EV/Revenue)</t>
  </si>
  <si>
    <t xml:space="preserve">Base DCF implied EV / ARR at end-FY31 vs comps range</t>
  </si>
  <si>
    <t xml:space="preserve">Mature listed multiples are not applied directly: they reflect scale, liquidity, profitability and diversified customers that this venture will not have by FY31.</t>
  </si>
  <si>
    <t xml:space="preserve">H. EQUITY BRIDGE: ENTERPRISE VALUE → EQUITY VALUE  (FCFF at WACC gives enterprise value)</t>
  </si>
  <si>
    <t xml:space="preserve">Base DCF, at 1-Apr-2026</t>
  </si>
  <si>
    <t xml:space="preserve">Probability-weighted, at 1-Apr-2026</t>
  </si>
  <si>
    <t xml:space="preserve">Base DCF, at end-FY31</t>
  </si>
  <si>
    <t xml:space="preserve">At 1-Apr-2026 the burn years are inside EV, so future funding is not added again.</t>
  </si>
  <si>
    <t xml:space="preserve">+ Cash and cash equivalents</t>
  </si>
  <si>
    <t xml:space="preserve">Opening cash is nil before the seed round; FY31 cash from the balance sheet.</t>
  </si>
  <si>
    <t xml:space="preserve">− Debt</t>
  </si>
  <si>
    <t xml:space="preserve">No borrowing in the base case (Inputs debt = 0).</t>
  </si>
  <si>
    <t xml:space="preserve">Equity value</t>
  </si>
  <si>
    <t xml:space="preserve">Fundraising illustration (indicative, not a price)</t>
  </si>
  <si>
    <t xml:space="preserve">Pre-money equity value (= equity value above)</t>
  </si>
  <si>
    <t xml:space="preserve">+ Seed raised (Inputs)</t>
  </si>
  <si>
    <t xml:space="preserve">Post-money equity value</t>
  </si>
  <si>
    <t xml:space="preserve">Seed investors' implied stake</t>
  </si>
  <si>
    <t xml:space="preserve">Seed investors price risk far more harshly than a 12% WACC; real seed terms in India typically give away a much larger stake. Use this only to show the logic: post-money = pre-money + new cash.</t>
  </si>
  <si>
    <t xml:space="preserve">I. RECONCILIATION: WHY THE VALUES DIFFER (all at 1-Apr-2026, end-of-year discounting)</t>
  </si>
  <si>
    <t xml:space="preserve">Explicit years</t>
  </si>
  <si>
    <t xml:space="preserve">Terminal value basis</t>
  </si>
  <si>
    <t xml:space="preserve">EV (₹ crore)</t>
  </si>
  <si>
    <t xml:space="preserve">TV share</t>
  </si>
  <si>
    <t xml:space="preserve">Why it differs from the headline</t>
  </si>
  <si>
    <t xml:space="preserve">Headline: base DCF</t>
  </si>
  <si>
    <t xml:space="preserve">FY27-FY36</t>
  </si>
  <si>
    <t xml:space="preserve">Steady-state FY37 NOPAT, g 5%, RONIC 20%</t>
  </si>
  <si>
    <t xml:space="preserve">Reference point.</t>
  </si>
  <si>
    <t xml:space="preserve">v2 headline (previous terminal method)</t>
  </si>
  <si>
    <t xml:space="preserve">FY36 FCFF × (1+g), no reinvestment</t>
  </si>
  <si>
    <t xml:space="preserve">Grew cash flow 5% a year forever without paying for the growth.</t>
  </si>
  <si>
    <t xml:space="preserve">Five-year horizon</t>
  </si>
  <si>
    <t xml:space="preserve">FY27-FY31</t>
  </si>
  <si>
    <t xml:space="preserve">FY31 EBIT as steady state, plus tax losses</t>
  </si>
  <si>
    <t xml:space="preserve">Treats the first profitable year (12% margin) as permanent; ignores the fade.</t>
  </si>
  <si>
    <t xml:space="preserve">No terminal value</t>
  </si>
  <si>
    <t xml:space="preserve">None</t>
  </si>
  <si>
    <t xml:space="preserve">Credits nothing after FY36; same cash flows.</t>
  </si>
  <si>
    <t xml:space="preserve">Venture-style hurdle</t>
  </si>
  <si>
    <t xml:space="preserve">Steady-state, g 5%</t>
  </si>
  <si>
    <t xml:space="preserve">Higher rate on the same cash flows; terminal value shrinks most.</t>
  </si>
  <si>
    <t xml:space="preserve">Probability-weighted</t>
  </si>
  <si>
    <t xml:space="preserve">FY27-FY36 ×3</t>
  </si>
  <si>
    <t xml:space="preserve">Per scenario; stop-funding floor</t>
  </si>
  <si>
    <t xml:space="preserve">Adds bear (stop at FY28) and bull paths.</t>
  </si>
  <si>
    <t xml:space="preserve">Comps: EV/ARR (low-mid-high)</t>
  </si>
  <si>
    <t xml:space="preserve">FY31 ARR × 3x / 5x / 7x</t>
  </si>
  <si>
    <t xml:space="preserve">Walk from the v2 headline to the probability-weighted value (₹ crore)</t>
  </si>
  <si>
    <t xml:space="preserve">Change</t>
  </si>
  <si>
    <t xml:space="preserve">Charge the terminal year for the reinvestment its growth needs (g ÷ RONIC)</t>
  </si>
  <si>
    <t xml:space="preserve">change</t>
  </si>
  <si>
    <t xml:space="preserve">Revised base DCF (headline)</t>
  </si>
  <si>
    <t xml:space="preserve">Weight bear (with stop-funding floor) and bull</t>
  </si>
  <si>
    <t xml:space="preserve">Only like-for-like numbers are compared: same valuation date, same cash flows where stated. A ten-year DCF without terminal value is not comparable with a five-year DCF with one unless both are discounted to the same date.</t>
  </si>
  <si>
    <t xml:space="preserve">J. METHOD NOTES</t>
  </si>
  <si>
    <t xml:space="preserve">FCFF = EBITDA − cash taxes ± working capital − capex (incl. capitalised software). In engine years it equals cash flow from operations plus investing, before interest; row 34 ties it to the balance sheet.</t>
  </si>
  <si>
    <t xml:space="preserve">Fade years: revenue growth falls in a straight line from the scenario's FY32 rate to its FY36 rate; EBITDA margin moves towards the scenario's steady state by at most the yearly step, up or down; capex = D&amp;A; working capital held at the FY31 share of revenue.</t>
  </si>
  <si>
    <t xml:space="preserve">Terminal value (value-driver formula): FY37 NOPAT × (1 − g ÷ RONIC) ÷ (WACC − g). NOPAT uses the lower of the steady-state and FY36 margins, taxed in full. Zero if that margin does not cover D&amp;A.</t>
  </si>
  <si>
    <t xml:space="preserve">Terminal growth 5% = 4% inflation target + ~1% real. It must stay below the WACC and the 10-year G-sec yield (section C check).</t>
  </si>
  <si>
    <t xml:space="preserve">Scenario values use engine snapshots for FY27-FY31 (values, blue). If engine inputs change, re-run each scenario and paste its rows; the check in F4 flags a stale active block.</t>
  </si>
  <si>
    <t xml:space="preserve">EV is before financing at 1-Apr-2026. Equity value = EV + cash − debt (section H). The model uses FCFF at WACC, not FCFE at the cost of equity.</t>
  </si>
  <si>
    <t xml:space="preserve">The 12% WACC is the team's given rate. It is only ~5 points above the 10-year G-sec yield, low for an unlisted early-stage company; the grids in section E show values at 14-25%.</t>
  </si>
  <si>
    <t xml:space="preserve">K. HELPER: TAX LOSSES IN THE 5-YEAR-HORIZON CROSS-CHECK</t>
  </si>
  <si>
    <t xml:space="preserve">EBIT if FY31 were steady state (grows at g)</t>
  </si>
  <si>
    <t xml:space="preserve">PV of tax saved on losses used</t>
  </si>
  <si>
    <t xml:space="preserve">PV of unused tax losses</t>
  </si>
  <si>
    <t xml:space="preserve">15. CHANGE LOG: FROM THE ORIGINAL MODEL TO THE v4 BASE CASE  (revised 11-Oct-2026)</t>
  </si>
  <si>
    <t xml:space="preserve">Every input changed, why, and what it did to value. EV figures in section A are snapshots from full re-runs of this workbook, applied cumulatively in the order shown. v4 changes (11-Oct-2026): steps 9-12 and section F.</t>
  </si>
  <si>
    <t xml:space="preserve">A. NPV BRIDGE (cumulative, in the order applied)</t>
  </si>
  <si>
    <t xml:space="preserve">EV @ 12% (₹ crore)</t>
  </si>
  <si>
    <t xml:space="preserve">Change in NPV (₹ crore)</t>
  </si>
  <si>
    <t xml:space="preserve">FY31 revenue (₹ crore)</t>
  </si>
  <si>
    <t xml:space="preserve">FY31 EBITDA (₹ crore)</t>
  </si>
  <si>
    <t xml:space="preserve">Levers changed</t>
  </si>
  <si>
    <t xml:space="preserve">Peak pre-financing cash deficit (₹ crore)</t>
  </si>
  <si>
    <t xml:space="preserve">EBITDA break-even</t>
  </si>
  <si>
    <t xml:space="preserve">0. Original model (team base case)</t>
  </si>
  <si>
    <t xml:space="preserve">As received</t>
  </si>
  <si>
    <t xml:space="preserve">Not within 5 years</t>
  </si>
  <si>
    <t xml:space="preserve">1. Price to value</t>
  </si>
  <si>
    <t xml:space="preserve">Tier prices ₹6.0 / 11.4 / 22.8 lakh a year (were 4.8 / 9.6 / 18.0)</t>
  </si>
  <si>
    <t xml:space="preserve">2. Refocus on ₹100-500 crore plants</t>
  </si>
  <si>
    <t xml:space="preserve">New-customer mix 25 / 50 / 25% (was 40 / 45 / 15%)</t>
  </si>
  <si>
    <t xml:space="preserve">3. Charge for services</t>
  </si>
  <si>
    <t xml:space="preserve">Implementation ₹3 / 6 / 12 lakh (was 1.5 / 4 / 8); paid pilot ₹2.5 lakh (was 1.5)</t>
  </si>
  <si>
    <t xml:space="preserve">Jan-31  (FY31)</t>
  </si>
  <si>
    <t xml:space="preserve">4. Retention and expansion</t>
  </si>
  <si>
    <t xml:space="preserve">Churn 9% (was 12%); expansion 10% of ARR (was 6%)</t>
  </si>
  <si>
    <t xml:space="preserve">Nov-30  (FY31)</t>
  </si>
  <si>
    <t xml:space="preserve">5. Go-to-market capacity</t>
  </si>
  <si>
    <t xml:space="preserve">AEs 1/3/5/7/9; partner opportunities 0/1/3/5/7 a month; marketing ₹1-6 lakh a month; partner programme ₹1.5 lakh a month; channel commission 20%</t>
  </si>
  <si>
    <t xml:space="preserve">Feb-30  (FY30)</t>
  </si>
  <si>
    <t xml:space="preserve">6. Delivery and service model</t>
  </si>
  <si>
    <t xml:space="preserve">SI-assisted implementation (3 at once per engineer, ₹2.5 lakh direct cost per go-live); 25 plants per CSM, 30 per support engineer</t>
  </si>
  <si>
    <t xml:space="preserve">7. Working capital</t>
  </si>
  <si>
    <t xml:space="preserve">Receivable days 45 (was 60)</t>
  </si>
  <si>
    <t xml:space="preserve">8. Steady-state terminal value (valuation method)</t>
  </si>
  <si>
    <t xml:space="preserve">Terminal year charged for reinvestment: FY37 NOPAT × (1 − g ÷ RONIC), RONIC 20%. No operating change.</t>
  </si>
  <si>
    <t xml:space="preserve">9. Tiered pricing and scenario mixes</t>
  </si>
  <si>
    <t xml:space="preserve">Starter / Professional / Enterprise ₹15 / 30 / 50 lakh (base; bear 12/24/40, bull 18/36/60); mix 35/45/20 (was 6 / 11.4 / 22.8 at 25/50/25); price multiplier 1.0</t>
  </si>
  <si>
    <t xml:space="preserve">Nov-28  (FY29)</t>
  </si>
  <si>
    <t xml:space="preserve">10. Sales capacity to the Year-5 target</t>
  </si>
  <si>
    <t xml:space="preserve">AEs 1/4/10/18/25 (was 1/3/5/7/9); partner pipeline scale 8.42x the v3 plan (≈59 qualified opportunities a month by FY31): 400 live plants</t>
  </si>
  <si>
    <t xml:space="preserve">Sep-28  (FY29)</t>
  </si>
  <si>
    <t xml:space="preserve">11. Gain-share (haircut)</t>
  </si>
  <si>
    <t xml:space="preserve">20% of plants × 15% of verified savings × 50% collection; separate line, not ARR</t>
  </si>
  <si>
    <t xml:space="preserve">Aug-28  (FY29)</t>
  </si>
  <si>
    <t xml:space="preserve">12. Valuation fade re-based</t>
  </si>
  <si>
    <t xml:space="preserve">FY32 growth 11% (team decision, 11-Oct-2026), fading to 12% by FY36. Previously 57% (half of FY31 growth), and 40% in v3.</t>
  </si>
  <si>
    <t xml:space="preserve">Revised base case (live model)</t>
  </si>
  <si>
    <t xml:space="preserve">Funding unchanged (seed ₹9 crore, Series A ₹9 crore, no Series B); no effect on EV, which is before financing.</t>
  </si>
  <si>
    <t xml:space="preserve">Check: last snapshot step equals the live model</t>
  </si>
  <si>
    <t xml:space="preserve">B. INPUT CHANGES (original → revised)</t>
  </si>
  <si>
    <t xml:space="preserve">Sheet!cell</t>
  </si>
  <si>
    <t xml:space="preserve">Bridge step</t>
  </si>
  <si>
    <t xml:space="preserve">Original</t>
  </si>
  <si>
    <t xml:space="preserve">Revised</t>
  </si>
  <si>
    <t xml:space="preserve">Evidence / source</t>
  </si>
  <si>
    <t xml:space="preserve">Validate?</t>
  </si>
  <si>
    <t xml:space="preserve">Essential tier price (₹ lakh/yr)</t>
  </si>
  <si>
    <t xml:space="preserve">3_Pricing!C8</t>
  </si>
  <si>
    <t xml:space="preserve">Entry tier at ₹50k a month.</t>
  </si>
  <si>
    <t xml:space="preserve">Value test on 9_Customer_ROI</t>
  </si>
  <si>
    <t xml:space="preserve">Professional tier price (₹ lakh/yr)</t>
  </si>
  <si>
    <t xml:space="preserve">3_Pricing!D8</t>
  </si>
  <si>
    <t xml:space="preserve">Equal to the closest global analogue; passes the 3x value rule (₹34.8 lakh base benefit ÷ ₹11.4 lakh = 3.05x).</t>
  </si>
  <si>
    <t xml:space="preserve">FitGap listing: PlanetTogether Essential APS $1,000/plant/month (₹11.4 lakh at ₹95/$)</t>
  </si>
  <si>
    <t xml:space="preserve">Enterprise tier price (₹ lakh/yr)</t>
  </si>
  <si>
    <t xml:space="preserve">3_Pricing!E8</t>
  </si>
  <si>
    <t xml:space="preserve">2x Professional for multi-line plants and groups. At the 3x rule it needs ~₹68 lakh of benefit: about two lines or plants at the base-case ₹34.8 lakh each. Validate in the first Enterprise deals.</t>
  </si>
  <si>
    <t xml:space="preserve">9_Customer_ROI base case × lines covered</t>
  </si>
  <si>
    <t xml:space="preserve">Share of new customers: Essential</t>
  </si>
  <si>
    <t xml:space="preserve">3_Pricing!C11</t>
  </si>
  <si>
    <t xml:space="preserve">Refocus on the ₹100-500 crore plants in the problem statement; fewer single-line first-time buyers.</t>
  </si>
  <si>
    <t xml:space="preserve">Problem statement / ICP</t>
  </si>
  <si>
    <t xml:space="preserve">Share of new customers: Professional</t>
  </si>
  <si>
    <t xml:space="preserve">3_Pricing!D11</t>
  </si>
  <si>
    <t xml:space="preserve">Core tier for mid-sized plants with a planner in place.</t>
  </si>
  <si>
    <t xml:space="preserve">Share of new customers: Enterprise</t>
  </si>
  <si>
    <t xml:space="preserve">3_Pricing!E11</t>
  </si>
  <si>
    <t xml:space="preserve">Multi-line plants and multi-plant groups in the ₹250-500 crore band.</t>
  </si>
  <si>
    <t xml:space="preserve">Implementation fee: Essential (₹ lakh)</t>
  </si>
  <si>
    <t xml:space="preserve">3_Pricing!C10</t>
  </si>
  <si>
    <t xml:space="preserve">Priced to recover deployment cost including SI partner fees.</t>
  </si>
  <si>
    <t xml:space="preserve">5_Cost_of_Service deployment cost per plant</t>
  </si>
  <si>
    <t xml:space="preserve">Implementation fee: Professional (₹ lakh)</t>
  </si>
  <si>
    <t xml:space="preserve">3_Pricing!D10</t>
  </si>
  <si>
    <t xml:space="preserve">≈0.5x first-year ACV, usual for software that connects to PLC/CNC data.</t>
  </si>
  <si>
    <t xml:space="preserve">Implementation fee: Enterprise (₹ lakh)</t>
  </si>
  <si>
    <t xml:space="preserve">3_Pricing!E10</t>
  </si>
  <si>
    <t xml:space="preserve">ERP/MES integration and several lines.</t>
  </si>
  <si>
    <t xml:space="preserve">Paid pilot fee, base (₹ lakh)</t>
  </si>
  <si>
    <t xml:space="preserve">Inputs!E51</t>
  </si>
  <si>
    <t xml:space="preserve">A 3-month pilot at about the Professional monthly price; covers the ₹1 lakh direct pilot cost plus engineer time.</t>
  </si>
  <si>
    <t xml:space="preserve">Inputs E40 (direct cost per pilot)</t>
  </si>
  <si>
    <t xml:space="preserve">Paid pilot fee, bear (₹ lakh)</t>
  </si>
  <si>
    <t xml:space="preserve">Inputs!D51</t>
  </si>
  <si>
    <t xml:space="preserve">Bear kept ₹1 lakh below base.</t>
  </si>
  <si>
    <t xml:space="preserve">Paid pilot fee, bull (₹ lakh)</t>
  </si>
  <si>
    <t xml:space="preserve">Inputs!F51</t>
  </si>
  <si>
    <t xml:space="preserve">Bull ₹0.5 lakh above base.</t>
  </si>
  <si>
    <t xml:space="preserve">Annual logo churn, base</t>
  </si>
  <si>
    <t xml:space="preserve">Inputs!E50</t>
  </si>
  <si>
    <t xml:space="preserve">PLC/CNC connectors and the planner workflow make switching costly; 9% churn = 91% gross revenue retention.</t>
  </si>
  <si>
    <t xml:space="preserve">SaaS Capital 2025: median GRR 91% (ACV $12-25k)</t>
  </si>
  <si>
    <t xml:space="preserve">Annual logo churn, bear</t>
  </si>
  <si>
    <t xml:space="preserve">Inputs!D50</t>
  </si>
  <si>
    <t xml:space="preserve">Bear 6 points worse than base.</t>
  </si>
  <si>
    <t xml:space="preserve">Annual logo churn, bull</t>
  </si>
  <si>
    <t xml:space="preserve">Inputs!F50</t>
  </si>
  <si>
    <t xml:space="preserve">Bull 3 points better than base.</t>
  </si>
  <si>
    <t xml:space="preserve">Expansion ARR, base (% of ARR p.a.)</t>
  </si>
  <si>
    <t xml:space="preserve">Inputs!E49</t>
  </si>
  <si>
    <t xml:space="preserve">Land-and-expand: a quarter of new logos are Enterprise plants or groups that add lines and sister plants. NRR ≈ 104.7% with 9% churn and 5% escalation.</t>
  </si>
  <si>
    <t xml:space="preserve">SaaS Capital 2025: median NRR 103% (ACV $12-25k; model ≈ $14k)</t>
  </si>
  <si>
    <t xml:space="preserve">Expansion ARR, bear</t>
  </si>
  <si>
    <t xml:space="preserve">Inputs!D49</t>
  </si>
  <si>
    <t xml:space="preserve">Bear half of base.</t>
  </si>
  <si>
    <t xml:space="preserve">Expansion ARR, bull</t>
  </si>
  <si>
    <t xml:space="preserve">Inputs!F49</t>
  </si>
  <si>
    <t xml:space="preserve">Bull for group-wide roll-outs.</t>
  </si>
  <si>
    <t xml:space="preserve">Account executives FY28</t>
  </si>
  <si>
    <t xml:space="preserve">Inputs!D134</t>
  </si>
  <si>
    <t xml:space="preserve">Each ramped AE adds ~₹75 lakh new ARR a year for ~₹35-40 lakh fully loaded cost (salary, pre-sales share, travel, commission).</t>
  </si>
  <si>
    <t xml:space="preserve">10_GTM / 8_Unit_Economics</t>
  </si>
  <si>
    <t xml:space="preserve">Account executives FY29</t>
  </si>
  <si>
    <t xml:space="preserve">Inputs!E134</t>
  </si>
  <si>
    <t xml:space="preserve">As above.</t>
  </si>
  <si>
    <t xml:space="preserve">Account executives FY30</t>
  </si>
  <si>
    <t xml:space="preserve">Inputs!F134</t>
  </si>
  <si>
    <t xml:space="preserve">Account executives FY31</t>
  </si>
  <si>
    <t xml:space="preserve">Inputs!G134</t>
  </si>
  <si>
    <t xml:space="preserve">Partner-sourced opportunities / month FY28</t>
  </si>
  <si>
    <t xml:space="preserve">Inputs!D135</t>
  </si>
  <si>
    <t xml:space="preserve">SI and machine-tool OEM partners once the first reference sites are live.</t>
  </si>
  <si>
    <t xml:space="preserve">10_GTM channel comparison</t>
  </si>
  <si>
    <t xml:space="preserve">Partner-sourced opportunities / month FY29</t>
  </si>
  <si>
    <t xml:space="preserve">Inputs!E135</t>
  </si>
  <si>
    <t xml:space="preserve">~8 active partners at ~0.4 qualified opportunities a month each.</t>
  </si>
  <si>
    <t xml:space="preserve">Partner-sourced opportunities / month FY30</t>
  </si>
  <si>
    <t xml:space="preserve">Inputs!F135</t>
  </si>
  <si>
    <t xml:space="preserve">~12 active partners.</t>
  </si>
  <si>
    <t xml:space="preserve">Partner-sourced opportunities / month FY31</t>
  </si>
  <si>
    <t xml:space="preserve">Inputs!G135</t>
  </si>
  <si>
    <t xml:space="preserve">15-20 active partners.</t>
  </si>
  <si>
    <t xml:space="preserve">Marketing programmes FY28 (₹ lakh/month)</t>
  </si>
  <si>
    <t xml:space="preserve">Inputs!D136</t>
  </si>
  <si>
    <t xml:space="preserve">Scaled with the larger sales team (IMTEX, ACMA and cluster events, content).</t>
  </si>
  <si>
    <t xml:space="preserve">Marketing programmes FY29 (₹ lakh/month)</t>
  </si>
  <si>
    <t xml:space="preserve">Inputs!E136</t>
  </si>
  <si>
    <t xml:space="preserve">Marketing programmes FY30 (₹ lakh/month)</t>
  </si>
  <si>
    <t xml:space="preserve">Inputs!F136</t>
  </si>
  <si>
    <t xml:space="preserve">Marketing programmes FY31 (₹ lakh/month)</t>
  </si>
  <si>
    <t xml:space="preserve">Inputs!G136</t>
  </si>
  <si>
    <t xml:space="preserve">Inputs!E89</t>
  </si>
  <si>
    <t xml:space="preserve">Integrators may ask 15-25%; set at 20% because the channel now carries far more volume.</t>
  </si>
  <si>
    <t xml:space="preserve">Inputs H89 note</t>
  </si>
  <si>
    <t xml:space="preserve">Partner programme cost (₹ lakh/month)</t>
  </si>
  <si>
    <t xml:space="preserve">Inputs!E90</t>
  </si>
  <si>
    <t xml:space="preserve">Scaled for a 15-20 partner programme (partner manager time, enablement, co-marketing).</t>
  </si>
  <si>
    <t xml:space="preserve">Concurrent implementations per engineer, base</t>
  </si>
  <si>
    <t xml:space="preserve">Inputs!E34</t>
  </si>
  <si>
    <t xml:space="preserve">SI partners do on-site wiring; our engineers configure remotely from a standard connector library.</t>
  </si>
  <si>
    <t xml:space="preserve">PlanetTogether: many APS integrations take 4-8 weeks</t>
  </si>
  <si>
    <t xml:space="preserve">Concurrent implementations per engineer, bear</t>
  </si>
  <si>
    <t xml:space="preserve">Inputs!D34</t>
  </si>
  <si>
    <t xml:space="preserve">Bear = original base.</t>
  </si>
  <si>
    <t xml:space="preserve">Concurrent implementations per engineer, bull</t>
  </si>
  <si>
    <t xml:space="preserve">Inputs!F34</t>
  </si>
  <si>
    <t xml:space="preserve">Bull half a project more.</t>
  </si>
  <si>
    <t xml:space="preserve">Direct cost per go-live (₹ lakh)</t>
  </si>
  <si>
    <t xml:space="preserve">Inputs!E38</t>
  </si>
  <si>
    <t xml:space="preserve">Now includes ~₹1 lakh paid to the SI partner per site on top of travel and connectors.</t>
  </si>
  <si>
    <t xml:space="preserve">Live plants per customer success manager, base</t>
  </si>
  <si>
    <t xml:space="preserve">Inputs!E64</t>
  </si>
  <si>
    <t xml:space="preserve">Remote monthly value reviews and automated health monitoring.</t>
  </si>
  <si>
    <t xml:space="preserve">Live plants per CSM, bear</t>
  </si>
  <si>
    <t xml:space="preserve">Inputs!D64</t>
  </si>
  <si>
    <t xml:space="preserve">Live plants per CSM, bull</t>
  </si>
  <si>
    <t xml:space="preserve">Inputs!F64</t>
  </si>
  <si>
    <t xml:space="preserve">Bull 5 plants more.</t>
  </si>
  <si>
    <t xml:space="preserve">Inputs!E65</t>
  </si>
  <si>
    <t xml:space="preserve">Pooled shift support with automated alert triage.</t>
  </si>
  <si>
    <t xml:space="preserve">Receivable days (DSO), base</t>
  </si>
  <si>
    <t xml:space="preserve">Inputs!E102</t>
  </si>
  <si>
    <t xml:space="preserve">MSMED Act s.15 caps payment to registered micro/small suppliers at 45 days; Income-tax s.43B(h) defers the buyer's deduction if paid late.</t>
  </si>
  <si>
    <t xml:space="preserve">ClearTax: Section 43B(h)</t>
  </si>
  <si>
    <t xml:space="preserve">Register on Udyam</t>
  </si>
  <si>
    <t xml:space="preserve">Receivable days, bear</t>
  </si>
  <si>
    <t xml:space="preserve">Inputs!D102</t>
  </si>
  <si>
    <t xml:space="preserve">Late payers despite the rule.</t>
  </si>
  <si>
    <t xml:space="preserve">Receivable days, bull</t>
  </si>
  <si>
    <t xml:space="preserve">Inputs!F102</t>
  </si>
  <si>
    <t xml:space="preserve">Annual-in-advance enterprise billing.</t>
  </si>
  <si>
    <t xml:space="preserve">Series A equity (₹ lakh)</t>
  </si>
  <si>
    <t xml:space="preserve">Inputs!E110</t>
  </si>
  <si>
    <t xml:space="preserve">Funding (no NPV effect)</t>
  </si>
  <si>
    <t xml:space="preserve">Timing unchanged (month 22, ARR about ₹1.2 crore); sized to carry the revised base case past EBITDA break-even with buffer.</t>
  </si>
  <si>
    <t xml:space="preserve">11_Funding</t>
  </si>
  <si>
    <t xml:space="preserve">Series B equity (₹ lakh)</t>
  </si>
  <si>
    <t xml:space="preserve">Inputs!E112</t>
  </si>
  <si>
    <t xml:space="preserve">Not needed: cash flow turns positive in FY31.</t>
  </si>
  <si>
    <t xml:space="preserve">C. WHAT WAS NOT CHANGED</t>
  </si>
  <si>
    <t xml:space="preserve">Funnel productivity and conversion: 3 qualified opportunities per ramped AE a month, 30% opportunity-to-pilot, 55% pilot-to-paid, 3-month sales cycle, 3-month pilot, 2-month implementation.</t>
  </si>
  <si>
    <t xml:space="preserve">Salaries, on-costs and increments; the R&amp;D, product and G&amp;A hiring plan (17 R&amp;D heads by FY31, as before).</t>
  </si>
  <si>
    <t xml:space="preserve">Cloud, AI and data cost per plant; fixed security platform cost; IoT kit cost, attach rate and markup.</t>
  </si>
  <si>
    <t xml:space="preserve">Tax regime, FX, depreciation policy, the customer-ROI method and every engine formula.</t>
  </si>
  <si>
    <t xml:space="preserve">So the turnaround comes from pricing and packaging, charging for services, retention, sales and partner capacity, and working capital. Every funnel conversion rate is unchanged: the extra volume comes from more AEs and partners, not better conversion.</t>
  </si>
  <si>
    <t xml:space="preserve">D. MARKET SIZING</t>
  </si>
  <si>
    <t xml:space="preserve">Rebuilt on 2_Market: current ASI size share (about 1 in 5 factories have 100+ workers), 7 SAM segments instead of 3 (basic metals and other transport added; plastics and electrical moved in), top-5 states at 53.3%, readiness unchanged at 40%.</t>
  </si>
  <si>
    <t xml:space="preserve">SOM is still an output of the sales-capacity engine (FY31) and the valuation fade (FY36). See 2_Market section E for original vs revised figures.</t>
  </si>
  <si>
    <t xml:space="preserve">E. VALUATION METHOD CHANGES (14_Valuation, 10-Oct-2026)</t>
  </si>
  <si>
    <t xml:space="preserve">Terminal value now charges the terminal year for the reinvestment its growth needs: FY37 NOPAT × (1 − g ÷ RONIC) ÷ (WACC − g), RONIC 20%. The v2 method capitalised FY36 FCFF, which reinvested almost nothing, at 5% growth.</t>
  </si>
  <si>
    <t xml:space="preserve">Terminal growth 5% kept and anchored: RBI 4% CPI target to Mar-2031 + ~1% real, below the ~7.2% 10-year G-sec yield.</t>
  </si>
  <si>
    <t xml:space="preserve">Fade margin now moves towards the steady state in both directions (the bull no longer drops from 49% to 25% in one year). Base is unchanged.</t>
  </si>
  <si>
    <t xml:space="preserve">Fade inputs (FY32/FY36 growth, steady-state margin, yearly step) are now scenario-specific; section A links to the active scenario.</t>
  </si>
  <si>
    <t xml:space="preserve">Added: WACC × g grid with terminal-value share, RONIC sensitivity, probability-weighted value with a stop-funding floor, comparable-company cross-check, equity bridge and a reconciliation table.</t>
  </si>
  <si>
    <t xml:space="preserve">F. v4 CHANGES (11-Oct-2026): TAM-SAM-SOM, PRICING, YEAR-5 TARGETS, GAIN-SHARE</t>
  </si>
  <si>
    <t xml:space="preserve">Where</t>
  </si>
  <si>
    <t xml:space="preserve">v3</t>
  </si>
  <si>
    <t xml:space="preserve">v4</t>
  </si>
  <si>
    <t xml:space="preserve">2_Market F</t>
  </si>
  <si>
    <t xml:space="preserve">43,709 factories with 100+ workers (all industries)</t>
  </si>
  <si>
    <t xml:space="preserve">63,728 operating factories in 7 target industries (ASI 2023-24)</t>
  </si>
  <si>
    <t xml:space="preserve">Team instruction; labelled broad pool, not qualified customers</t>
  </si>
  <si>
    <t xml:space="preserve">Team-provided</t>
  </si>
  <si>
    <t xml:space="preserve">3,248 plants</t>
  </si>
  <si>
    <t xml:space="preserve">3,205 plants</t>
  </si>
  <si>
    <t xml:space="preserve">Same three filters (100+ workers, top-5 states, readiness) applied once each to the new pool</t>
  </si>
  <si>
    <t xml:space="preserve">Estimate / unvalidated</t>
  </si>
  <si>
    <t xml:space="preserve">Year-5 live plants</t>
  </si>
  <si>
    <t xml:space="preserve">Inputs K</t>
  </si>
  <si>
    <t xml:space="preserve">120 (base engine output)</t>
  </si>
  <si>
    <t xml:space="preserve">200 / 400 / 600 targets, hit exactly</t>
  </si>
  <si>
    <t xml:space="preserve">Team targets</t>
  </si>
  <si>
    <t xml:space="preserve">AE hiring plan FY27-31</t>
  </si>
  <si>
    <t xml:space="preserve">Inputs J</t>
  </si>
  <si>
    <t xml:space="preserve">1/3/5/7/9</t>
  </si>
  <si>
    <t xml:space="preserve">1/4/10/18/25 (all scenarios)</t>
  </si>
  <si>
    <t xml:space="preserve">Capacity to carry the targets</t>
  </si>
  <si>
    <t xml:space="preserve">Partner qualified opportunities, FY31</t>
  </si>
  <si>
    <t xml:space="preserve">Inputs J/K</t>
  </si>
  <si>
    <t xml:space="preserve">7 a month</t>
  </si>
  <si>
    <t xml:space="preserve">74 / 59 / 36 a month (bear/base/bull)</t>
  </si>
  <si>
    <t xml:space="preserve">Solved so FY31 live plants = target</t>
  </si>
  <si>
    <t xml:space="preserve">Tier names and prices</t>
  </si>
  <si>
    <t xml:space="preserve">3_Pricing 47-57</t>
  </si>
  <si>
    <t xml:space="preserve">Essential / Pro / Enterprise ₹6 / 11.4 / 22.8 lakh</t>
  </si>
  <si>
    <t xml:space="preserve">Starter / Pro / Enterprise: bear 12/24/40, base 15/30/50, bull 18/36/60</t>
  </si>
  <si>
    <t xml:space="preserve">Team pricing hypotheses (ranges 12-18 / 24-36 / 40-60+)</t>
  </si>
  <si>
    <t xml:space="preserve">Hypothesis</t>
  </si>
  <si>
    <t xml:space="preserve">New-customer mix</t>
  </si>
  <si>
    <t xml:space="preserve">3_Pricing 54-56</t>
  </si>
  <si>
    <t xml:space="preserve">25 / 50 / 25 (all)</t>
  </si>
  <si>
    <t xml:space="preserve">50/40/10, 35/45/20, 25/45/30</t>
  </si>
  <si>
    <t xml:space="preserve">Scenario-specific</t>
  </si>
  <si>
    <t xml:space="preserve">Inputs 47</t>
  </si>
  <si>
    <t xml:space="preserve">0.85 / 1.0 / 1.05</t>
  </si>
  <si>
    <t xml:space="preserve">1.0 / 1.0 / 1.0</t>
  </si>
  <si>
    <t xml:space="preserve">Scenario prices now explicit; avoids double-counting</t>
  </si>
  <si>
    <t xml:space="preserve">Gain-share</t>
  </si>
  <si>
    <t xml:space="preserve">Inputs K, 7_Financials row 10</t>
  </si>
  <si>
    <t xml:space="preserve">Off (₹0)</t>
  </si>
  <si>
    <t xml:space="preserve">Bear 0; base 20% × 15% × 50%; bull 30% × 20% × 70% of verified savings</t>
  </si>
  <si>
    <t xml:space="preserve">Separate line, outside ARR, haircut</t>
  </si>
  <si>
    <t xml:space="preserve">ROI plant</t>
  </si>
  <si>
    <t xml:space="preserve">9_Customer_ROI</t>
  </si>
  <si>
    <t xml:space="preserve">₹80 / 120 / 150 crore revenue</t>
  </si>
  <si>
    <t xml:space="preserve">₹200 / 400 / 600 crore; cost buckets scaled</t>
  </si>
  <si>
    <t xml:space="preserve">Team decision: base must pass the 3x value rule at the new prices</t>
  </si>
  <si>
    <t xml:space="preserve">Valuation fade, FY32 growth</t>
  </si>
  <si>
    <t xml:space="preserve">14_Valuation F</t>
  </si>
  <si>
    <t xml:space="preserve">34% / 40% / 38%</t>
  </si>
  <si>
    <t xml:space="preserve">54% / 11% / 58%</t>
  </si>
  <si>
    <t xml:space="preserve">Base set to 11% by team decision; bear and bull keep half of FY31 engine growth</t>
  </si>
  <si>
    <t xml:space="preserve">Gain-share reporting</t>
  </si>
  <si>
    <t xml:space="preserve">7_Financials, 4_Revenue_Build, 5_Cost_of_Service</t>
  </si>
  <si>
    <t xml:space="preserve">Inside other revenue; counted as recurring</t>
  </si>
  <si>
    <t xml:space="preserve">Own P&amp;L line; excluded from ARR, recurring share and SaaS margin</t>
  </si>
  <si>
    <t xml:space="preserve">Team instruction</t>
  </si>
  <si>
    <t xml:space="preserve">Method</t>
  </si>
  <si>
    <t xml:space="preserve">Scenario names</t>
  </si>
  <si>
    <t xml:space="preserve">All sheets</t>
  </si>
  <si>
    <t xml:space="preserve">Downside / Base / Upside</t>
  </si>
  <si>
    <t xml:space="preserve">Bear / Base / Bull</t>
  </si>
  <si>
    <t xml:space="preserve">Label</t>
  </si>
  <si>
    <t xml:space="preserve">Not changed: churn (15 / 9 / 6%), expansion, funnel conversion rates and cycle, implementation fees (₹3 / 6 / 12 lakh), cost to serve, salaries and the non-sales hiring plan, funding inputs, WACC 12%, terminal method, scenario probabilities 40 / 45 / 15%.</t>
  </si>
  <si>
    <t xml:space="preserve">Open conflicts are listed with live status flags on 16_SOM_Scenarios section F.</t>
  </si>
  <si>
    <t xml:space="preserve">16. SOM BY SCENARIO: BEAR / BASE / BULL COMPARISON, PLANT RECONCILIATION AND FLAGS (v4, 11-Oct-2026)</t>
  </si>
  <si>
    <t xml:space="preserve">Blue = snapshot values from full re-runs (Inputs!C3 = 1, 2, 3). Black = live formulas (identities, ratios, checks). Green = links. Re-run the snapshots if inputs change; section E flags a stale active column.</t>
  </si>
  <si>
    <t xml:space="preserve">A. TARGETS AND DRIVERS (live links)</t>
  </si>
  <si>
    <t xml:space="preserve">Driver</t>
  </si>
  <si>
    <t xml:space="preserve">Source</t>
  </si>
  <si>
    <t xml:space="preserve">Year-5 (FY31) live paying plants: target</t>
  </si>
  <si>
    <t xml:space="preserve">Unchanged from v3.</t>
  </si>
  <si>
    <t xml:space="preserve">Opportunity → paid pilot (direct)</t>
  </si>
  <si>
    <t xml:space="preserve">Opportunity → paid pilot (partner-sourced)</t>
  </si>
  <si>
    <t xml:space="preserve">Paid pilot → annual contract</t>
  </si>
  <si>
    <t xml:space="preserve">Sales cycle: opportunity to pilot start</t>
  </si>
  <si>
    <t xml:space="preserve">Partner channel multiplier</t>
  </si>
  <si>
    <t xml:space="preserve">Partner-pipeline scale (solved)</t>
  </si>
  <si>
    <t xml:space="preserve">Lands each scenario exactly on its target.</t>
  </si>
  <si>
    <t xml:space="preserve">Account executives by FY31 (same in all scenarios)</t>
  </si>
  <si>
    <t xml:space="preserve">Average realised price: Starter (FY27)</t>
  </si>
  <si>
    <t xml:space="preserve">Average realised price: Professional (FY27)</t>
  </si>
  <si>
    <t xml:space="preserve">Average realised price: Enterprise (FY27)</t>
  </si>
  <si>
    <t xml:space="preserve">Share of new customers: Starter</t>
  </si>
  <si>
    <t xml:space="preserve">Blended average realised new-customer price (FY27)</t>
  </si>
  <si>
    <t xml:space="preserve">Escalates 5% a year (Inputs).</t>
  </si>
  <si>
    <t xml:space="preserve">Gain-share: share of live plants on gain-share</t>
  </si>
  <si>
    <t xml:space="preserve">Gain-share: share of verified savings charged</t>
  </si>
  <si>
    <t xml:space="preserve">Gain-share: probability verified and collected</t>
  </si>
  <si>
    <t xml:space="preserve">B. PLANT ROLL-FORWARD AND ACQUISITION FUNNEL (snapshot; opening, closing and ratios are live formulas)</t>
  </si>
  <si>
    <t xml:space="preserve">Bear case</t>
  </si>
  <si>
    <t xml:space="preserve">5-year total</t>
  </si>
  <si>
    <t xml:space="preserve">Live paying plants: opening</t>
  </si>
  <si>
    <t xml:space="preserve">Gross additions (plants going live)</t>
  </si>
  <si>
    <t xml:space="preserve">Billing starts at go-live.</t>
  </si>
  <si>
    <t xml:space="preserve">Churned plants</t>
  </si>
  <si>
    <t xml:space="preserve">Live paying plants: closing</t>
  </si>
  <si>
    <t xml:space="preserve">Check: closing = engine snapshot</t>
  </si>
  <si>
    <t xml:space="preserve">Contracts signed (new paying customers)</t>
  </si>
  <si>
    <t xml:space="preserve">Lead go-live by the implementation lag.</t>
  </si>
  <si>
    <t xml:space="preserve">…of which partner-sourced</t>
  </si>
  <si>
    <t xml:space="preserve">Partner-sourced opportunities per month (average)</t>
  </si>
  <si>
    <t xml:space="preserve">#/month</t>
  </si>
  <si>
    <t xml:space="preserve">Implementation engineers (year end)</t>
  </si>
  <si>
    <t xml:space="preserve">Paid pilots per new paying plant (5-year)</t>
  </si>
  <si>
    <t xml:space="preserve">Qualified opportunities per new paying plant (5-year)</t>
  </si>
  <si>
    <t xml:space="preserve">FY31 closing vs target</t>
  </si>
  <si>
    <t xml:space="preserve">Base case</t>
  </si>
  <si>
    <t xml:space="preserve">Bull case</t>
  </si>
  <si>
    <t xml:space="preserve">C. BEAR / BASE / BULL COMPARISON (FY31 unless stated; snapshot, ₹ lakh unless stated)</t>
  </si>
  <si>
    <t xml:space="preserve">Live (active)</t>
  </si>
  <si>
    <t xml:space="preserve">Live paying plants</t>
  </si>
  <si>
    <t xml:space="preserve">Closing ARR (subscription only)</t>
  </si>
  <si>
    <t xml:space="preserve">ARR per live plant</t>
  </si>
  <si>
    <t xml:space="preserve">New-customer ARR per plant (blended realised, FY31 price)</t>
  </si>
  <si>
    <t xml:space="preserve">Subscription revenue</t>
  </si>
  <si>
    <t xml:space="preserve">Implementation fees (one-time; not ARR)</t>
  </si>
  <si>
    <t xml:space="preserve">Paid pilot revenue (not ARR)</t>
  </si>
  <si>
    <t xml:space="preserve">IoT kit resale (not ARR)</t>
  </si>
  <si>
    <t xml:space="preserve">Gain-share revenue (expected; not ARR, not guaranteed)</t>
  </si>
  <si>
    <t xml:space="preserve">Peak cumulative cash deficit (pre-financing)</t>
  </si>
  <si>
    <t xml:space="preserve">Lowest month-end cash with modelled funding</t>
  </si>
  <si>
    <t xml:space="preserve">Enterprise value @ 12%, continuing (₹ crore)</t>
  </si>
  <si>
    <t xml:space="preserve">FY36 implied live plants (valuation fade)</t>
  </si>
  <si>
    <t xml:space="preserve">Gain-share share of FY31 revenue</t>
  </si>
  <si>
    <t xml:space="preserve">Recurring subscription share of FY31 revenue</t>
  </si>
  <si>
    <t xml:space="preserve">Probability-weighted EV (14_Valuation section F)</t>
  </si>
  <si>
    <t xml:space="preserve">Bear 40% / base 45% / bull 15%, with the stop-funding floor.</t>
  </si>
  <si>
    <t xml:space="preserve">D. LIVE TIE (active scenario on Inputs!C3)</t>
  </si>
  <si>
    <t xml:space="preserve">Check: active scenario's snapshot equals the live model (plants, ARR, revenue)</t>
  </si>
  <si>
    <t xml:space="preserve">Check: every scenario's roll-forward closes on its target</t>
  </si>
  <si>
    <t xml:space="preserve">E. FLAGS: CONFLICTING TARGETS AND UNSUPPORTED INPUTS (status is live)</t>
  </si>
  <si>
    <t xml:space="preserve">Flag</t>
  </si>
  <si>
    <t xml:space="preserve">Status</t>
  </si>
  <si>
    <t xml:space="preserve">Why it matters / what would resolve it</t>
  </si>
  <si>
    <t xml:space="preserve">1. Partner pipeline needed by FY31 (qualified opportunities a month; v3 plan was 7)</t>
  </si>
  <si>
    <t xml:space="preserve">At ~0.4 qualified opportunities per active partner a month (v2 assumption), base needs ~150 active partners and bear ~185. No partner programme exists yet; the ₹1.5 lakh a month partner budget is far too small for this.</t>
  </si>
  <si>
    <t xml:space="preserve">2. Bear reaches 200 plants only with a bigger partner pipeline than base</t>
  </si>
  <si>
    <t xml:space="preserve">x base</t>
  </si>
  <si>
    <t xml:space="preserve">Bear's weaker conversion (40% pilot-to-paid, 2 opportunities per AE) means hitting 200 needs more selling effort than base. A bear case with this much capacity is not really bearish: consider a lower bear target or base-level capacity.</t>
  </si>
  <si>
    <t xml:space="preserve">3. AE hiring: 25 account executives by FY31 (v3: 9)</t>
  </si>
  <si>
    <t xml:space="preserve">Unvalidated: assumes 2-3 hires a quarter of industrial B2B sellers from FY29 and the 6-month ramp holds.</t>
  </si>
  <si>
    <t xml:space="preserve">4. Five-year qualified opportunities ÷ SAM plants</t>
  </si>
  <si>
    <t xml:space="preserve">Above 100% means the funnel must qualify more opportunities than there are serviceable plants (re-engagements, or plants outside the SAM filters).</t>
  </si>
  <si>
    <t xml:space="preserve">5. FY31 live plants ÷ SAM plants</t>
  </si>
  <si>
    <t xml:space="preserve">A new vendor winning &gt;10% of its serviceable market in five years would be exceptional.</t>
  </si>
  <si>
    <t xml:space="preserve">6. FY36 live plants implied by the valuation fade ÷ SAM</t>
  </si>
  <si>
    <t xml:space="preserve">The base fade now grows revenue 11% in FY32 rising to 12% by FY36 (team decision); bear and bull still fade from 54% / 58%. Above ~25% of SAM the terminal value rests on implausible share; widen the SAM with evidence or slow the fade.</t>
  </si>
  <si>
    <t xml:space="preserve">7. ROI plant size vs the SAM size filter</t>
  </si>
  <si>
    <t xml:space="preserve">Base ROI plant is ₹400 crore revenue so the price passes the 3x rule. ASI 2019-20 average output per factory: motor vehicles ~₹117 crore, fabricated metal ~₹18 crore. The SAM's 100+ worker filter includes many far smaller plants, so SAM is likely overstated for this pricing. Resolve with the ASI size-class × NIC table.</t>
  </si>
  <si>
    <t xml:space="preserve">8. Base Professional price vs closest global APS listing (PlanetTogether, ₹11.4 lakh)</t>
  </si>
  <si>
    <t xml:space="preserve">A 2-3x premium over an established scheduling product for an unproven vendor needs strong willingness-to-pay evidence.</t>
  </si>
  <si>
    <t xml:space="preserve">9. Enterprise price vs base customer value (gross benefit ÷ price, 3x rule)</t>
  </si>
  <si>
    <t xml:space="preserve">₹40-60 lakh Enterprise needs ₹120-180 lakh of benefit a year: multi-line or multi-plant value that is not modelled on 9_Customer_ROI.</t>
  </si>
  <si>
    <t xml:space="preserve">10. Bear ROI: low-case plant at bear Professional price</t>
  </si>
  <si>
    <t xml:space="preserve">Low-value plants do not justify even the bottom of the price range.</t>
  </si>
  <si>
    <t xml:space="preserve">11. Bear funding: lowest cash with the modelled (base) funding</t>
  </si>
  <si>
    <t xml:space="preserve">Bear needs its own, larger raise (row 'Total equity requirement' above).</t>
  </si>
  <si>
    <t xml:space="preserve">12. Seed requirement vs seed modelled (base)</t>
  </si>
  <si>
    <t xml:space="preserve">Seed metric (deficit to Series A + 6 months' burn + 15%) exceeds the ₹9 crore seed; cash stays positive only because Series A arrives in month 22.</t>
  </si>
  <si>
    <t xml:space="preserve">13. Gain-share share of FY31 revenue</t>
  </si>
  <si>
    <t xml:space="preserve">Expected value after haircuts; excluded from ARR. Do not present as contracted revenue.</t>
  </si>
  <si>
    <t xml:space="preserve">14. TAM figure (63,728) is team-provided</t>
  </si>
  <si>
    <t xml:space="preserve">Cites ASI 2023-24 but the segment-level table is not in the workbook. Consistent with the ASI 2019-20 count scaled forward (64,592). Attach the source table.</t>
  </si>
  <si>
    <t xml:space="preserve">15. Implementation fees unchanged (₹3 / 6 / 12 lakh) while subscriptions rose ~2.5x</t>
  </si>
  <si>
    <t xml:space="preserve">Preserved per instruction. Larger plants may need more integration work than the current fee and cost assumptions allow.</t>
  </si>
  <si>
    <t xml:space="preserve">16. FY31 EBITDA margin (revenue up ~6x vs v3; R&amp;D, product and G&amp;A hiring plan unchanged)</t>
  </si>
  <si>
    <t xml:space="preserve">Mature software runs 25-35%. A 400-600 plant business needs more product, support and G&amp;A staff than the preserved plan; EBITDA and FY31 value are overstated until the non-sales hiring plan is rescaled.</t>
  </si>
  <si>
    <t xml:space="preserve">ENGINE: MONTHLY BUILD (60 months, ₹ lakh; customer counts are expected values so may be fractional)</t>
  </si>
  <si>
    <t xml:space="preserve">Month →</t>
  </si>
  <si>
    <t xml:space="preserve">TIMELINE</t>
  </si>
  <si>
    <t xml:space="preserve">Month number</t>
  </si>
  <si>
    <t xml:space="preserve">Fiscal-year index (1 = FY27)</t>
  </si>
  <si>
    <t xml:space="preserve">Month within fiscal year</t>
  </si>
  <si>
    <t xml:space="preserve">Month starting</t>
  </si>
  <si>
    <t xml:space="preserve">Fiscal year</t>
  </si>
  <si>
    <t xml:space="preserve">1. SALES CAPACITY &amp; FUNNEL</t>
  </si>
  <si>
    <t xml:space="preserve">Account executives on payroll</t>
  </si>
  <si>
    <t xml:space="preserve">AE ramp length used</t>
  </si>
  <si>
    <t xml:space="preserve">Ramped AE equivalents (linear ramp)</t>
  </si>
  <si>
    <t xml:space="preserve">Founder selling capacity</t>
  </si>
  <si>
    <t xml:space="preserve">Effective selling capacity</t>
  </si>
  <si>
    <t xml:space="preserve">Qualified opportunities: direct</t>
  </si>
  <si>
    <t xml:space="preserve">Qualified opportunities: partner-sourced</t>
  </si>
  <si>
    <t xml:space="preserve">Qualified opportunities: total</t>
  </si>
  <si>
    <t xml:space="preserve">Leads required (back-solved)</t>
  </si>
  <si>
    <t xml:space="preserve">Target accounts to engage (back-solved)</t>
  </si>
  <si>
    <t xml:space="preserve">Sales cycle used (opp to pilot)</t>
  </si>
  <si>
    <t xml:space="preserve">Pilots started: direct</t>
  </si>
  <si>
    <t xml:space="preserve">Pilots started: partner</t>
  </si>
  <si>
    <t xml:space="preserve">Pilots started: total</t>
  </si>
  <si>
    <t xml:space="preserve">Pilot duration used</t>
  </si>
  <si>
    <t xml:space="preserve">Active paid pilots (not paying customers)</t>
  </si>
  <si>
    <t xml:space="preserve">Pilot-to-paid conversion used</t>
  </si>
  <si>
    <t xml:space="preserve">Contracts signed: direct</t>
  </si>
  <si>
    <t xml:space="preserve">Contracts signed: partner</t>
  </si>
  <si>
    <t xml:space="preserve">Contracts signed: total (new paying customers)</t>
  </si>
  <si>
    <t xml:space="preserve">2. IMPLEMENTATION CAPACITY &amp; GO-LIVE</t>
  </si>
  <si>
    <t xml:space="preserve">Signature-to-go-live lag used</t>
  </si>
  <si>
    <t xml:space="preserve">Implementations in progress</t>
  </si>
  <si>
    <t xml:space="preserve">Engineer load required (impl + weighted pilots)</t>
  </si>
  <si>
    <t xml:space="preserve">units</t>
  </si>
  <si>
    <t xml:space="preserve">Implementation engineers (sized to workload)</t>
  </si>
  <si>
    <t xml:space="preserve">Go-live capacity this month</t>
  </si>
  <si>
    <t xml:space="preserve">Contracts reaching scheduled go-live</t>
  </si>
  <si>
    <t xml:space="preserve">Implementation backlog: opening</t>
  </si>
  <si>
    <t xml:space="preserve">Plants going live (billing starts)</t>
  </si>
  <si>
    <t xml:space="preserve">Implementation backlog: closing</t>
  </si>
  <si>
    <t xml:space="preserve">3. CUSTOMERS &amp; ARR</t>
  </si>
  <si>
    <t xml:space="preserve">Monthly logo churn rate</t>
  </si>
  <si>
    <t xml:space="preserve">New-customer ARR per plant (blended list x scenario x escalation)</t>
  </si>
  <si>
    <t xml:space="preserve">Monthly expansion + escalation on retained ARR</t>
  </si>
  <si>
    <t xml:space="preserve">ARR: opening</t>
  </si>
  <si>
    <t xml:space="preserve">ARR: churned</t>
  </si>
  <si>
    <t xml:space="preserve">ARR: expansion &amp; price escalation</t>
  </si>
  <si>
    <t xml:space="preserve">ARR: new plants live</t>
  </si>
  <si>
    <t xml:space="preserve">ARR: closing (subscription only)</t>
  </si>
  <si>
    <t xml:space="preserve">MRR</t>
  </si>
  <si>
    <t xml:space="preserve">4. REVENUE (recognised)</t>
  </si>
  <si>
    <t xml:space="preserve">Implementation revenue (at go-live)</t>
  </si>
  <si>
    <t xml:space="preserve">Paid pilot revenue (over pilot term)</t>
  </si>
  <si>
    <t xml:space="preserve">IoT kit resale revenue</t>
  </si>
  <si>
    <t xml:space="preserve">Performance-linked revenue</t>
  </si>
  <si>
    <t xml:space="preserve">TOTAL REVENUE</t>
  </si>
  <si>
    <t xml:space="preserve">5. COST OF REVENUE</t>
  </si>
  <si>
    <t xml:space="preserve">Non-people cost index</t>
  </si>
  <si>
    <t xml:space="preserve">Monthly cost per ₹1 lakh of FY27 CTC</t>
  </si>
  <si>
    <t xml:space="preserve">Data ingestion &amp; storage</t>
  </si>
  <si>
    <t xml:space="preserve">Third-party licences</t>
  </si>
  <si>
    <t xml:space="preserve">Platform security &amp; data management (fixed)</t>
  </si>
  <si>
    <t xml:space="preserve">Customer success cost</t>
  </si>
  <si>
    <t xml:space="preserve">Technical support cost</t>
  </si>
  <si>
    <t xml:space="preserve">Cost of SaaS revenue</t>
  </si>
  <si>
    <t xml:space="preserve">Implementation engineers' cost</t>
  </si>
  <si>
    <t xml:space="preserve">Direct implementation &amp; pilot cost (travel, on-site, connectors)</t>
  </si>
  <si>
    <t xml:space="preserve">Cost of implementation &amp; pilot revenue</t>
  </si>
  <si>
    <t xml:space="preserve">IoT kit cost (hardware + installation)</t>
  </si>
  <si>
    <t xml:space="preserve">TOTAL COST OF REVENUE</t>
  </si>
  <si>
    <t xml:space="preserve">GROSS PROFIT</t>
  </si>
  <si>
    <t xml:space="preserve">6. PERSONNEL (headcount and cost)</t>
  </si>
  <si>
    <t xml:space="preserve">Headcount: Founder: CEO</t>
  </si>
  <si>
    <t xml:space="preserve">Headcount: Founder: CTO</t>
  </si>
  <si>
    <t xml:space="preserve">Headcount: Founder: Commercial</t>
  </si>
  <si>
    <t xml:space="preserve">Headcount: AI/ML engineers</t>
  </si>
  <si>
    <t xml:space="preserve">Headcount: Software developers</t>
  </si>
  <si>
    <t xml:space="preserve">Headcount: Data engineers</t>
  </si>
  <si>
    <t xml:space="preserve">Headcount: Industrial automation engineers</t>
  </si>
  <si>
    <t xml:space="preserve">Headcount: Product managers</t>
  </si>
  <si>
    <t xml:space="preserve">Headcount: Account executives</t>
  </si>
  <si>
    <t xml:space="preserve">Headcount: Pre-sales engineers</t>
  </si>
  <si>
    <t xml:space="preserve">Headcount: Marketing</t>
  </si>
  <si>
    <t xml:space="preserve">Headcount: Enterprise account managers</t>
  </si>
  <si>
    <t xml:space="preserve">Headcount: Finance, HR &amp; admin</t>
  </si>
  <si>
    <t xml:space="preserve">Headcount: Cybersecurity &amp; IT</t>
  </si>
  <si>
    <t xml:space="preserve">Headcount: implementation, CS &amp; support (cost of revenue)</t>
  </si>
  <si>
    <t xml:space="preserve">TOTAL HEADCOUNT</t>
  </si>
  <si>
    <t xml:space="preserve">Net new hires</t>
  </si>
  <si>
    <t xml:space="preserve">Cost: Founder: CEO</t>
  </si>
  <si>
    <t xml:space="preserve">Cost: Founder: CTO</t>
  </si>
  <si>
    <t xml:space="preserve">Cost: Founder: Commercial</t>
  </si>
  <si>
    <t xml:space="preserve">Cost: AI/ML engineers</t>
  </si>
  <si>
    <t xml:space="preserve">Cost: Software developers</t>
  </si>
  <si>
    <t xml:space="preserve">Cost: Data engineers</t>
  </si>
  <si>
    <t xml:space="preserve">Cost: Industrial automation engineers</t>
  </si>
  <si>
    <t xml:space="preserve">Cost: Product managers</t>
  </si>
  <si>
    <t xml:space="preserve">Cost: Account executives</t>
  </si>
  <si>
    <t xml:space="preserve">Cost: Pre-sales engineers</t>
  </si>
  <si>
    <t xml:space="preserve">Cost: Marketing</t>
  </si>
  <si>
    <t xml:space="preserve">Cost: Enterprise account managers</t>
  </si>
  <si>
    <t xml:space="preserve">Cost: Finance, HR &amp; admin</t>
  </si>
  <si>
    <t xml:space="preserve">Cost: Cybersecurity &amp; IT</t>
  </si>
  <si>
    <t xml:space="preserve">People cost: R&amp;D</t>
  </si>
  <si>
    <t xml:space="preserve">People cost: Sales &amp; marketing</t>
  </si>
  <si>
    <t xml:space="preserve">People cost: G&amp;A</t>
  </si>
  <si>
    <t xml:space="preserve">7. OPERATING EXPENSES</t>
  </si>
  <si>
    <t xml:space="preserve">Sales &amp; channel commissions</t>
  </si>
  <si>
    <t xml:space="preserve">Office / co-working</t>
  </si>
  <si>
    <t xml:space="preserve">TOTAL OPERATING EXPENSES</t>
  </si>
  <si>
    <t xml:space="preserve">8. BELOW EBITDA</t>
  </si>
  <si>
    <t xml:space="preserve">Depreciation</t>
  </si>
  <si>
    <t xml:space="preserve">Debt: closing balance</t>
  </si>
  <si>
    <t xml:space="preserve">Interest expense</t>
  </si>
  <si>
    <t xml:space="preserve">Interest income on cash</t>
  </si>
  <si>
    <t xml:space="preserve">Cumulative PBT (tax losses offset first)</t>
  </si>
  <si>
    <t xml:space="preserve">Income tax (only once cumulative losses are used)</t>
  </si>
  <si>
    <t xml:space="preserve">NET PROFIT / (LOSS)</t>
  </si>
  <si>
    <t xml:space="preserve">9. WORKING CAPITAL, CASH FLOW &amp; BALANCE SHEET</t>
  </si>
  <si>
    <t xml:space="preserve">Deferred revenue (subscriptions billed in advance)</t>
  </si>
  <si>
    <t xml:space="preserve">Billings</t>
  </si>
  <si>
    <t xml:space="preserve">Trade payables &amp; accruals</t>
  </si>
  <si>
    <t xml:space="preserve">Cash flow from investing (capex)</t>
  </si>
  <si>
    <t xml:space="preserve">Cash: opening</t>
  </si>
  <si>
    <t xml:space="preserve">CASH: CLOSING</t>
  </si>
  <si>
    <t xml:space="preserve">Cumulative operating + investing cash flow (pre-financing)</t>
  </si>
  <si>
    <t xml:space="preserve">Monthly cash burn (operating + investing outflow)</t>
  </si>
  <si>
    <t xml:space="preserve">10. FLAGS</t>
  </si>
  <si>
    <t xml:space="preserve">Month marker: trailing-3-month EBITDA positive</t>
  </si>
  <si>
    <t xml:space="preserve">Month marker: seed alone exhausted</t>
  </si>
  <si>
    <t xml:space="preserve">Go-live minus capacity (must be ≤ 0)</t>
  </si>
  <si>
    <t xml:space="preserve">Month marker: ARR ≥ ₹10 crore</t>
  </si>
  <si>
    <t xml:space="preserve">Customer roll-forward check (should be 0)</t>
  </si>
  <si>
    <t xml:space="preserve">SOURCE REGISTER</t>
  </si>
  <si>
    <t xml:space="preserve">Accessed 10-Oct-2026. Third-party and vendor-blog prices are context, not comparables.</t>
  </si>
  <si>
    <t xml:space="preserve">URL</t>
  </si>
  <si>
    <t xml:space="preserve">Accessed</t>
  </si>
  <si>
    <t xml:space="preserve">How used</t>
  </si>
  <si>
    <t xml:space="preserve">MoSPI: ASI 2024-25 Factsheet</t>
  </si>
  <si>
    <t xml:space="preserve">https://www.mospi.gov.in/uploads/publications_reports/publications_reports1790761607830_02ca8547-c087-4c5c-9826-5d58740ee63f_Factsheet_ASI_2024-25.pdf</t>
  </si>
  <si>
    <t xml:space="preserve">10-Oct-2026</t>
  </si>
  <si>
    <t xml:space="preserve">Factories 2,66,931; in operation 2,18,543 (2024-25)</t>
  </si>
  <si>
    <t xml:space="preserve">TAM base and scaling factor</t>
  </si>
  <si>
    <t xml:space="preserve">Lok Sabha Unstarred Q.541 (6-Dec-2023), MoSPI annexure</t>
  </si>
  <si>
    <t xml:space="preserve">https://eparlib.nic.in/bitstream/123456789/2972108/1/AU541.pdf</t>
  </si>
  <si>
    <t xml:space="preserve">NIC 2-digit factories in operation and persons engaged, ASI 2017-18 to 2019-20</t>
  </si>
  <si>
    <t xml:space="preserve">Segment plant counts and average size</t>
  </si>
  <si>
    <t xml:space="preserve">MoSPI microdata: ASI 2008-09 size distribution</t>
  </si>
  <si>
    <t xml:space="preserve">https://microdata.gov.in/NADA43/index.php/catalog/21/download/223</t>
  </si>
  <si>
    <t xml:space="preserve">Factories with 100-199 / 200-499 / 500-999 persons: 7.25% / 5.00% / 1.82%</t>
  </si>
  <si>
    <t xml:space="preserve">Mid-sized share (flagged as dated)</t>
  </si>
  <si>
    <t xml:space="preserve">RBI Handbook Table 116 (ASI 2023-24)</t>
  </si>
  <si>
    <t xml:space="preserve">https://rbi.org.in/ScriptS/PublicationsView.aspx?id=23565</t>
  </si>
  <si>
    <t xml:space="preserve">State-wise factories; all-India 2,60,061</t>
  </si>
  <si>
    <t xml:space="preserve">Cluster context</t>
  </si>
  <si>
    <t xml:space="preserve">TeepTrak: OEE software cost 2026</t>
  </si>
  <si>
    <t xml:space="preserve">https://teeptrak.com/en/oee-software-cost/</t>
  </si>
  <si>
    <t xml:space="preserve">$30-150 per machine per month; sensors $200-2,000 per machine</t>
  </si>
  <si>
    <t xml:space="preserve">Pricing context; IoT kit cost</t>
  </si>
  <si>
    <t xml:space="preserve">Fabrico: OEE software pricing guide 2026</t>
  </si>
  <si>
    <t xml:space="preserve">https://www.fabrico.io/blog/oee-software-pricing-guide-2026/</t>
  </si>
  <si>
    <t xml:space="preserve">$99-800+ per machine/line per month; $1,500-8,000 per site per month</t>
  </si>
  <si>
    <t xml:space="preserve">Pricing context</t>
  </si>
  <si>
    <t xml:space="preserve">FitGap: PlanetTogether listing</t>
  </si>
  <si>
    <t xml:space="preserve">https://us.fitgap.com/products/planettogether</t>
  </si>
  <si>
    <t xml:space="preserve">Essential APS $1,000 per plant per month, billed annually</t>
  </si>
  <si>
    <t xml:space="preserve">Closest pricing analogue (third-party listing)</t>
  </si>
  <si>
    <t xml:space="preserve">PlanetTogether: APS integrations page</t>
  </si>
  <si>
    <t xml:space="preserve">https://www.planettogether.com/aps-software-integrations</t>
  </si>
  <si>
    <t xml:space="preserve">Many integrations completed in about 4-8 weeks</t>
  </si>
  <si>
    <t xml:space="preserve">Implementation lag</t>
  </si>
  <si>
    <t xml:space="preserve">ITQlick: Opcenter APS pricing</t>
  </si>
  <si>
    <t xml:space="preserve">https://www.itqlick.com/preactor-aps/pricing</t>
  </si>
  <si>
    <t xml:space="preserve">From $20,000 per organisation; 18-22% maintenance</t>
  </si>
  <si>
    <t xml:space="preserve">Enterprise APS context (estimate)</t>
  </si>
  <si>
    <t xml:space="preserve">Indeed India: ML engineer salaries</t>
  </si>
  <si>
    <t xml:space="preserve">https://in.indeed.com/career/machine-learning-engineer/salaries</t>
  </si>
  <si>
    <t xml:space="preserve">Average base ~₹11.6 lakh (Jun-2026)</t>
  </si>
  <si>
    <t xml:space="preserve">Compensation sanity check</t>
  </si>
  <si>
    <t xml:space="preserve">Income-tax: Sec 200 (Act 2025) / 115BAA</t>
  </si>
  <si>
    <t xml:space="preserve">https://www.setindiabiz.com/blog/corporate-tax-private-limited-company</t>
  </si>
  <si>
    <t xml:space="preserve">22% + 10% surcharge + 4% cess = 25.168%; MAT not applicable</t>
  </si>
  <si>
    <t xml:space="preserve">Income Tax Department: tax rates, domestic company</t>
  </si>
  <si>
    <t xml:space="preserve">https://incometaxindia.gov.in/Documents/Left%20Menu/TAX%20RATES-domestic.htm</t>
  </si>
  <si>
    <t xml:space="preserve">115BAA 22%, flat 10% surcharge, MAT exemption</t>
  </si>
  <si>
    <t xml:space="preserve">Tax rate cross-check</t>
  </si>
  <si>
    <t xml:space="preserve">OFX: USD/INR</t>
  </si>
  <si>
    <t xml:space="preserve">https://www.ofx.com/en-us/exchange-rates/inr/</t>
  </si>
  <si>
    <t xml:space="preserve">1 USD = ₹95.03 (5-Aug-2026)</t>
  </si>
  <si>
    <t xml:space="preserve">FX for $ benchmarks</t>
  </si>
  <si>
    <t xml:space="preserve">(no public pricing)</t>
  </si>
  <si>
    <t xml:space="preserve">Quote-based</t>
  </si>
  <si>
    <t xml:space="preserve">Not used numerically</t>
  </si>
  <si>
    <t xml:space="preserve">MoSPI: Press note, ASI 2024-25</t>
  </si>
  <si>
    <t xml:space="preserve">https://www.mospi.gov.in/uploads/latestReleases/latest_release_1790768522303_b1ee6ba9-c9d3-481a-b30e-45a24c7f3729_PIB_Note_ASI_2024-25_English.pdf</t>
  </si>
  <si>
    <t xml:space="preserve">Factories in operation 2,18,543; top-5 states hold 53.3% of establishments</t>
  </si>
  <si>
    <t xml:space="preserve">TAM base; reachable-geography share (2_Market)</t>
  </si>
  <si>
    <t xml:space="preserve">Data For India: India’s factories (ASI 2022-23)</t>
  </si>
  <si>
    <t xml:space="preserve">https://www.dataforindia.com/factories/</t>
  </si>
  <si>
    <t xml:space="preserve">About one in five operational factories employed 100+ workers</t>
  </si>
  <si>
    <t xml:space="preserve">Size share for TAM/SAM (2_Market C23)</t>
  </si>
  <si>
    <t xml:space="preserve">Lok Sabha Unstarred Q.541, NIC 24 and 30 rows</t>
  </si>
  <si>
    <t xml:space="preserve">Basic metals 10,106 factories / 12,04,877 persons; other transport 1,855 / 4,21,386 (ASI 2019-20)</t>
  </si>
  <si>
    <t xml:space="preserve">Segments added to SAM</t>
  </si>
  <si>
    <t xml:space="preserve">SaaS Capital: 2025 B2B SaaS Retention Benchmarks (report)</t>
  </si>
  <si>
    <t xml:space="preserve">https://www.saas-capital.com/wp-content/uploads/2025/09/RB32WS1-2025-B2B-SaaS-Retention-Benchmarks.pdf</t>
  </si>
  <si>
    <t xml:space="preserve">ACV $12-25k: median NRR 103%, median GRR 91% (all companies: NRR 101%, GRR 91%)</t>
  </si>
  <si>
    <t xml:space="preserve">Churn 9% (= GRR 91%) and NRR ≈ 104.7%</t>
  </si>
  <si>
    <t xml:space="preserve">ClearTax: Section 43B(h) of the Income-tax Act</t>
  </si>
  <si>
    <t xml:space="preserve">https://cleartax.in/s/section-43bh-of-income-tax-act</t>
  </si>
  <si>
    <t xml:space="preserve">Payment to registered micro/small suppliers within the agreed term, max 45 days (MSMED Act s.15); buyer deduction deferred if late</t>
  </si>
  <si>
    <t xml:space="preserve">Receivable days 45</t>
  </si>
  <si>
    <t xml:space="preserve">Trading Economics: India 10-year bond yield</t>
  </si>
  <si>
    <t xml:space="preserve">https://tradingeconomics.com/india/government-bond-yield/news/588615</t>
  </si>
  <si>
    <t xml:space="preserve">10-year G-sec ~7.21% (1-Oct-2026)</t>
  </si>
  <si>
    <t xml:space="preserve">Ceiling for terminal growth</t>
  </si>
  <si>
    <t xml:space="preserve">Outlook Money: RBI inflation target to 2031</t>
  </si>
  <si>
    <t xml:space="preserve">https://www.outlookmoney.com/banking/rbi-to-maintain-4-per-cent-inflation-target-until-2031-centre</t>
  </si>
  <si>
    <t xml:space="preserve">CPI target 4% ± 2%, Apr-2026 to Mar-2031</t>
  </si>
  <si>
    <t xml:space="preserve">Terminal growth anchor</t>
  </si>
  <si>
    <t xml:space="preserve">Multiples.vc: PTC</t>
  </si>
  <si>
    <t xml:space="preserve">https://multiples.vc/public-comps/ptc-valuation-multiples</t>
  </si>
  <si>
    <t xml:space="preserve">EV/Revenue 8.2x LTM, EV/EBITDA 16.6x (9-Oct-2026)</t>
  </si>
  <si>
    <t xml:space="preserve">Comparable cross-check</t>
  </si>
  <si>
    <t xml:space="preserve">Multiples.vc: Samsara</t>
  </si>
  <si>
    <t xml:space="preserve">https://multiples.vc/public-comps/samsara-valuation-multiples</t>
  </si>
  <si>
    <t xml:space="preserve">EV/Revenue 12.2x LTM, EV/EBITDA 56.2x (9-Oct-2026)</t>
  </si>
  <si>
    <t xml:space="preserve">Fungies: SaaS valuation statistics 2026 (secondary)</t>
  </si>
  <si>
    <t xml:space="preserve">https://fungies.io/saas-valuation-statistics-2026/</t>
  </si>
  <si>
    <t xml:space="preserve">Public SaaS median 6.7x EV/Revenue (SaaS Capital Index, Q1 2026); private VC-backed $3-10M ARR 5.3x ARR</t>
  </si>
  <si>
    <t xml:space="preserve">Stage-adjusted multiple range; verify against SaaS Capital</t>
  </si>
  <si>
    <t xml:space="preserve">PCD&amp;F: Siemens acquires Altair</t>
  </si>
  <si>
    <t xml:space="preserve">https://pcdandf.com/pcdesign/index.php/editorial/menu-news/design-news/18380-siemens-acquires-altair-engineering-for-10b</t>
  </si>
  <si>
    <t xml:space="preserve">EV ~$10bn; adds ~$651M revenue to Siemens digital business</t>
  </si>
  <si>
    <t xml:space="preserve">Strategic deal multiple (upper bound)</t>
  </si>
  <si>
    <t xml:space="preserve">Business Wire: Augury Series F</t>
  </si>
  <si>
    <t xml:space="preserve">https://www.businesswire.com/news/home/20250219700559/en/Augury-Announces-$75-Million-of-Funding-and-Maintains-$1B-Valuation-as-it-Accelerates-Leadership-in-Industrial-AI-Solutions</t>
  </si>
  <si>
    <t xml:space="preserve">$75M at $1bn+ valuation (Feb-2025); revenue undisclosed</t>
  </si>
  <si>
    <t xml:space="preserve">Investor appetite only; no multiple</t>
  </si>
  <si>
    <t xml:space="preserve">Team-provided: ASI 2023-24 operating factories, 7 target industries</t>
  </si>
  <si>
    <t xml:space="preserve">(source table to be attached)</t>
  </si>
  <si>
    <t xml:space="preserve">11-Oct-2026</t>
  </si>
  <si>
    <t xml:space="preserve">63,728 operating factories in NIC 22, 24, 25, 27, 28, 29, 30</t>
  </si>
  <si>
    <t xml:space="preserve">TAM (broad industry pool)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</si>
</sst>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;\(#,##0.00\);\-"/>
    <numFmt numFmtId="166" formatCode="#,##0;\(#,##0\);\-"/>
    <numFmt numFmtId="167" formatCode="#,##0.0;\(#,##0.0\);\-"/>
    <numFmt numFmtId="168" formatCode="0.0%;\(0.0%\);\-"/>
    <numFmt numFmtId="169" formatCode="0.0\x;\(0.0&quot;x)&quot;;\-"/>
    <numFmt numFmtId="170" formatCode="dd\-mmm\-yy"/>
    <numFmt numFmtId="171" formatCode="0.000"/>
    <numFmt numFmtId="172" formatCode="0.00"/>
    <numFmt numFmtId="173" formatCode="General"/>
    <numFmt numFmtId="174" formatCode="0"/>
    <numFmt numFmtId="175" formatCode="mmm\-yy"/>
    <numFmt numFmtId="176" formatCode="0.0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2F5496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5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A7EBB"/>
      <rgbColor rgb="FF33CCCC"/>
      <rgbColor rgb="FF70AD47"/>
      <rgbColor rgb="FFFFC000"/>
      <rgbColor rgb="FFBF8F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1_Dashboard!$C$18:$G$18</c:f>
              <c:strCache>
                <c:ptCount val="5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</c:v>
                </c:pt>
                <c:pt idx="4">
                  <c:v>FY31</c:v>
                </c:pt>
              </c:strCache>
            </c:strRef>
          </c:cat>
          <c:val>
            <c:numRef>
              <c:f>1_Dashboard!$C$19:$G$19</c:f>
              <c:numCache>
                <c:formatCode>#,##0.0;\(#,##0.0\);\-</c:formatCode>
                <c:ptCount val="5"/>
                <c:pt idx="0">
                  <c:v>28.6376248328144</c:v>
                </c:pt>
                <c:pt idx="1">
                  <c:v>478.845035099508</c:v>
                </c:pt>
                <c:pt idx="2">
                  <c:v>2411.14780337274</c:v>
                </c:pt>
                <c:pt idx="3">
                  <c:v>7026.31622245338</c:v>
                </c:pt>
                <c:pt idx="4">
                  <c:v>15092.9719681828</c:v>
                </c:pt>
              </c:numCache>
            </c:numRef>
          </c:val>
        </c:ser>
        <c:gapWidth val="150"/>
        <c:overlap val="0"/>
        <c:axId val="90743517"/>
        <c:axId val="19576869"/>
      </c:barChart>
      <c:catAx>
        <c:axId val="907435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576869"/>
        <c:crosses val="autoZero"/>
        <c:auto val="1"/>
        <c:lblAlgn val="ctr"/>
        <c:lblOffset val="100"/>
        <c:noMultiLvlLbl val="0"/>
      </c:catAx>
      <c:valAx>
        <c:axId val="195768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435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ARR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1_Dashboard!$C$18:$G$18</c:f>
              <c:strCache>
                <c:ptCount val="5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</c:v>
                </c:pt>
                <c:pt idx="4">
                  <c:v>FY31</c:v>
                </c:pt>
              </c:strCache>
            </c:strRef>
          </c:cat>
          <c:val>
            <c:numRef>
              <c:f>1_Dashboard!$C$21:$G$21</c:f>
              <c:numCache>
                <c:formatCode>#,##0.0;\(#,##0.0\);\-</c:formatCode>
                <c:ptCount val="5"/>
                <c:pt idx="0">
                  <c:v>30.9967989601111</c:v>
                </c:pt>
                <c:pt idx="1">
                  <c:v>552.944981798989</c:v>
                </c:pt>
                <c:pt idx="2">
                  <c:v>2619.64347232039</c:v>
                </c:pt>
                <c:pt idx="3">
                  <c:v>7429.62436790498</c:v>
                </c:pt>
                <c:pt idx="4">
                  <c:v>15745.7780317477</c:v>
                </c:pt>
              </c:numCache>
            </c:numRef>
          </c:val>
        </c:ser>
        <c:gapWidth val="150"/>
        <c:overlap val="0"/>
        <c:axId val="24008001"/>
        <c:axId val="26369378"/>
      </c:barChart>
      <c:catAx>
        <c:axId val="24008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369378"/>
        <c:crosses val="autoZero"/>
        <c:auto val="1"/>
        <c:lblAlgn val="ctr"/>
        <c:lblOffset val="100"/>
        <c:noMultiLvlLbl val="0"/>
      </c:catAx>
      <c:valAx>
        <c:axId val="263693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08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Live paying plants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1_Dashboard!$C$18:$G$18</c:f>
              <c:strCache>
                <c:ptCount val="5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</c:v>
                </c:pt>
                <c:pt idx="4">
                  <c:v>FY31</c:v>
                </c:pt>
              </c:strCache>
            </c:strRef>
          </c:cat>
          <c:val>
            <c:numRef>
              <c:f>1_Dashboard!$C$24:$G$24</c:f>
              <c:numCache>
                <c:formatCode>#,##0.0;\(#,##0.0\);\-</c:formatCode>
                <c:ptCount val="5"/>
                <c:pt idx="0">
                  <c:v>1.06093534837466</c:v>
                </c:pt>
                <c:pt idx="1">
                  <c:v>17.5985909615109</c:v>
                </c:pt>
                <c:pt idx="2">
                  <c:v>77.249595001917</c:v>
                </c:pt>
                <c:pt idx="3">
                  <c:v>203.400031810899</c:v>
                </c:pt>
                <c:pt idx="4">
                  <c:v>400.000009074275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396662"/>
        <c:axId val="46485883"/>
      </c:lineChart>
      <c:catAx>
        <c:axId val="523966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85883"/>
        <c:crosses val="autoZero"/>
        <c:auto val="1"/>
        <c:lblAlgn val="ctr"/>
        <c:lblOffset val="100"/>
        <c:noMultiLvlLbl val="0"/>
      </c:catAx>
      <c:valAx>
        <c:axId val="464858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3966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1_Dashboard!$C$18:$G$18</c:f>
              <c:strCache>
                <c:ptCount val="5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</c:v>
                </c:pt>
                <c:pt idx="4">
                  <c:v>FY31</c:v>
                </c:pt>
              </c:strCache>
            </c:strRef>
          </c:cat>
          <c:val>
            <c:numRef>
              <c:f>1_Dashboard!$C$28:$G$28</c:f>
              <c:numCache>
                <c:formatCode>#,##0.0;\(#,##0.0\);\-</c:formatCode>
                <c:ptCount val="5"/>
                <c:pt idx="0">
                  <c:v>-203.334994231797</c:v>
                </c:pt>
                <c:pt idx="1">
                  <c:v>-349.499344848053</c:v>
                </c:pt>
                <c:pt idx="2">
                  <c:v>354.794061464275</c:v>
                </c:pt>
                <c:pt idx="3">
                  <c:v>3061.34250288065</c:v>
                </c:pt>
                <c:pt idx="4">
                  <c:v>8786.09553021468</c:v>
                </c:pt>
              </c:numCache>
            </c:numRef>
          </c:val>
        </c:ser>
        <c:gapWidth val="150"/>
        <c:overlap val="0"/>
        <c:axId val="7509607"/>
        <c:axId val="41676472"/>
      </c:barChart>
      <c:catAx>
        <c:axId val="75096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76472"/>
        <c:crosses val="autoZero"/>
        <c:auto val="1"/>
        <c:lblAlgn val="ctr"/>
        <c:lblOffset val="100"/>
        <c:noMultiLvlLbl val="0"/>
      </c:catAx>
      <c:valAx>
        <c:axId val="416764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096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cash: runway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1_Dashboard!$C$18:$G$18</c:f>
              <c:strCache>
                <c:ptCount val="5"/>
                <c:pt idx="0">
                  <c:v>FY27</c:v>
                </c:pt>
                <c:pt idx="1">
                  <c:v>FY28</c:v>
                </c:pt>
                <c:pt idx="2">
                  <c:v>FY29</c:v>
                </c:pt>
                <c:pt idx="3">
                  <c:v>FY30</c:v>
                </c:pt>
                <c:pt idx="4">
                  <c:v>FY31</c:v>
                </c:pt>
              </c:strCache>
            </c:strRef>
          </c:cat>
          <c:val>
            <c:numRef>
              <c:f>1_Dashboard!$C$31:$G$31</c:f>
              <c:numCache>
                <c:formatCode>#,##0.0;\(#,##0.0\);\-</c:formatCode>
                <c:ptCount val="5"/>
                <c:pt idx="0">
                  <c:v>676.193887195411</c:v>
                </c:pt>
                <c:pt idx="1">
                  <c:v>1181.29190409383</c:v>
                </c:pt>
                <c:pt idx="2">
                  <c:v>1443.51274436118</c:v>
                </c:pt>
                <c:pt idx="3">
                  <c:v>3674.91022835463</c:v>
                </c:pt>
                <c:pt idx="4">
                  <c:v>10114.9702518239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503449"/>
        <c:axId val="30747361"/>
      </c:lineChart>
      <c:catAx>
        <c:axId val="145034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747361"/>
        <c:crosses val="autoZero"/>
        <c:auto val="1"/>
        <c:lblAlgn val="ctr"/>
        <c:lblOffset val="100"/>
        <c:noMultiLvlLbl val="0"/>
      </c:catAx>
      <c:valAx>
        <c:axId val="30747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lakh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034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49</xdr:row>
      <xdr:rowOff>160560</xdr:rowOff>
    </xdr:from>
    <xdr:to>
      <xdr:col>0</xdr:col>
      <xdr:colOff>4317120</xdr:colOff>
      <xdr:row>62</xdr:row>
      <xdr:rowOff>21240</xdr:rowOff>
    </xdr:to>
    <xdr:graphicFrame>
      <xdr:nvGraphicFramePr>
        <xdr:cNvPr id="0" name="Chart 1"/>
        <xdr:cNvGraphicFramePr/>
      </xdr:nvGraphicFramePr>
      <xdr:xfrm>
        <a:off x="0" y="9495000"/>
        <a:ext cx="4317120" cy="221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49</xdr:row>
      <xdr:rowOff>160560</xdr:rowOff>
    </xdr:from>
    <xdr:to>
      <xdr:col>8</xdr:col>
      <xdr:colOff>370080</xdr:colOff>
      <xdr:row>62</xdr:row>
      <xdr:rowOff>21240</xdr:rowOff>
    </xdr:to>
    <xdr:graphicFrame>
      <xdr:nvGraphicFramePr>
        <xdr:cNvPr id="1" name="Chart 2"/>
        <xdr:cNvGraphicFramePr/>
      </xdr:nvGraphicFramePr>
      <xdr:xfrm>
        <a:off x="6061680" y="9495000"/>
        <a:ext cx="4317120" cy="221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63</xdr:row>
      <xdr:rowOff>160920</xdr:rowOff>
    </xdr:from>
    <xdr:to>
      <xdr:col>0</xdr:col>
      <xdr:colOff>4317120</xdr:colOff>
      <xdr:row>76</xdr:row>
      <xdr:rowOff>21240</xdr:rowOff>
    </xdr:to>
    <xdr:graphicFrame>
      <xdr:nvGraphicFramePr>
        <xdr:cNvPr id="2" name="Chart 3"/>
        <xdr:cNvGraphicFramePr/>
      </xdr:nvGraphicFramePr>
      <xdr:xfrm>
        <a:off x="0" y="12029040"/>
        <a:ext cx="4317120" cy="2212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63</xdr:row>
      <xdr:rowOff>160920</xdr:rowOff>
    </xdr:from>
    <xdr:to>
      <xdr:col>8</xdr:col>
      <xdr:colOff>370080</xdr:colOff>
      <xdr:row>76</xdr:row>
      <xdr:rowOff>21240</xdr:rowOff>
    </xdr:to>
    <xdr:graphicFrame>
      <xdr:nvGraphicFramePr>
        <xdr:cNvPr id="3" name="Chart 4"/>
        <xdr:cNvGraphicFramePr/>
      </xdr:nvGraphicFramePr>
      <xdr:xfrm>
        <a:off x="6061680" y="12029040"/>
        <a:ext cx="4317120" cy="2212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77</xdr:row>
      <xdr:rowOff>160560</xdr:rowOff>
    </xdr:from>
    <xdr:to>
      <xdr:col>0</xdr:col>
      <xdr:colOff>4317120</xdr:colOff>
      <xdr:row>90</xdr:row>
      <xdr:rowOff>21240</xdr:rowOff>
    </xdr:to>
    <xdr:graphicFrame>
      <xdr:nvGraphicFramePr>
        <xdr:cNvPr id="4" name="Chart 5"/>
        <xdr:cNvGraphicFramePr/>
      </xdr:nvGraphicFramePr>
      <xdr:xfrm>
        <a:off x="0" y="14562360"/>
        <a:ext cx="4317120" cy="221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0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</row>
    <row r="2" customFormat="false" ht="15" hidden="false" customHeight="true" outlineLevel="0" collapsed="false">
      <c r="A2" s="4" t="s">
        <v>1</v>
      </c>
    </row>
    <row r="4" customFormat="false" ht="31.5" hidden="false" customHeight="true" outlineLevel="0" collapsed="false">
      <c r="A4" s="5" t="s">
        <v>2</v>
      </c>
      <c r="B4" s="6" t="s">
        <v>3</v>
      </c>
    </row>
    <row r="6" customFormat="false" ht="31.5" hidden="false" customHeight="true" outlineLevel="0" collapsed="false">
      <c r="A6" s="5" t="s">
        <v>4</v>
      </c>
      <c r="B6" s="6" t="s">
        <v>5</v>
      </c>
    </row>
    <row r="8" customFormat="false" ht="31.5" hidden="false" customHeight="true" outlineLevel="0" collapsed="false">
      <c r="A8" s="5" t="s">
        <v>6</v>
      </c>
      <c r="B8" s="6" t="s">
        <v>7</v>
      </c>
    </row>
    <row r="10" customFormat="false" ht="31.5" hidden="false" customHeight="true" outlineLevel="0" collapsed="false">
      <c r="A10" s="5" t="s">
        <v>8</v>
      </c>
      <c r="B10" s="6" t="s">
        <v>9</v>
      </c>
    </row>
    <row r="12" customFormat="false" ht="31.5" hidden="false" customHeight="true" outlineLevel="0" collapsed="false">
      <c r="A12" s="5" t="s">
        <v>10</v>
      </c>
      <c r="B12" s="6" t="s">
        <v>11</v>
      </c>
    </row>
    <row r="14" customFormat="false" ht="31.5" hidden="false" customHeight="true" outlineLevel="0" collapsed="false">
      <c r="A14" s="5" t="s">
        <v>12</v>
      </c>
      <c r="B14" s="6" t="s">
        <v>13</v>
      </c>
    </row>
    <row r="16" customFormat="false" ht="31.5" hidden="false" customHeight="true" outlineLevel="0" collapsed="false">
      <c r="A16" s="5" t="s">
        <v>14</v>
      </c>
      <c r="B16" s="6" t="s">
        <v>15</v>
      </c>
    </row>
    <row r="18" customFormat="false" ht="31.5" hidden="false" customHeight="true" outlineLevel="0" collapsed="false">
      <c r="A18" s="5" t="s">
        <v>16</v>
      </c>
      <c r="B18" s="6" t="s">
        <v>17</v>
      </c>
    </row>
    <row r="20" customFormat="false" ht="23.25" hidden="false" customHeight="true" outlineLevel="0" collapsed="false">
      <c r="A20" s="5" t="s">
        <v>18</v>
      </c>
      <c r="B20" s="6" t="s">
        <v>19</v>
      </c>
    </row>
    <row r="22" customFormat="false" ht="41.25" hidden="false" customHeight="true" outlineLevel="0" collapsed="false">
      <c r="A22" s="5" t="s">
        <v>20</v>
      </c>
      <c r="B22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7" min="4" style="1" width="13"/>
    <col collapsed="false" customWidth="true" hidden="false" outlineLevel="0" max="8" min="8" style="1" width="4"/>
    <col collapsed="false" customWidth="true" hidden="false" outlineLevel="0" max="9" min="9" style="1" width="40"/>
  </cols>
  <sheetData>
    <row r="1" customFormat="false" ht="17.25" hidden="false" customHeight="true" outlineLevel="0" collapsed="false">
      <c r="A1" s="2" t="s">
        <v>22</v>
      </c>
      <c r="B1" s="3"/>
      <c r="C1" s="3"/>
      <c r="D1" s="3"/>
      <c r="E1" s="3"/>
      <c r="F1" s="3"/>
      <c r="G1" s="3"/>
      <c r="H1" s="3"/>
      <c r="I1" s="3"/>
    </row>
    <row r="3" customFormat="false" ht="15" hidden="false" customHeight="true" outlineLevel="0" collapsed="false">
      <c r="A3" s="5" t="s">
        <v>23</v>
      </c>
      <c r="C3" s="8" t="str">
        <f aca="false">Inputs!D3</f>
        <v>BASE</v>
      </c>
      <c r="E3" s="5" t="s">
        <v>24</v>
      </c>
      <c r="F3" s="9" t="str">
        <f aca="false">IF(13_Risks_Checks!$B$22,"ALL PASS","CHECK 13_Risks_Checks")</f>
        <v>ALL PASS</v>
      </c>
    </row>
    <row r="5" customFormat="false" ht="15" hidden="false" customHeight="true" outlineLevel="0" collapsed="false">
      <c r="A5" s="10" t="s">
        <v>25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true" outlineLevel="0" collapsed="false">
      <c r="A6" s="12" t="s">
        <v>26</v>
      </c>
      <c r="B6" s="4" t="s">
        <v>27</v>
      </c>
      <c r="C6" s="13" t="n">
        <f aca="false">7_Financials!$G$11/100</f>
        <v>150.929719681828</v>
      </c>
    </row>
    <row r="7" customFormat="false" ht="15" hidden="false" customHeight="true" outlineLevel="0" collapsed="false">
      <c r="A7" s="12" t="s">
        <v>28</v>
      </c>
      <c r="B7" s="4" t="s">
        <v>27</v>
      </c>
      <c r="C7" s="13" t="n">
        <f aca="false">4_Revenue_Build!G30/100</f>
        <v>157.457780317477</v>
      </c>
    </row>
    <row r="8" customFormat="false" ht="15" hidden="false" customHeight="true" outlineLevel="0" collapsed="false">
      <c r="A8" s="12" t="str">
        <f aca="false">"Live paying plants, end FY31 (target "&amp;TEXT(Inputs!C151,"0")&amp;")"</f>
        <v>Live paying plants, end FY31 (target 400)</v>
      </c>
      <c r="B8" s="4" t="s">
        <v>29</v>
      </c>
      <c r="C8" s="14" t="n">
        <f aca="false">4_Revenue_Build!G21</f>
        <v>400.000009074275</v>
      </c>
    </row>
    <row r="9" customFormat="false" ht="15" hidden="false" customHeight="true" outlineLevel="0" collapsed="false">
      <c r="A9" s="12" t="s">
        <v>30</v>
      </c>
      <c r="B9" s="4" t="s">
        <v>31</v>
      </c>
      <c r="C9" s="9" t="str">
        <f aca="false">IF(COUNT(Engine_Monthly!$D$176:$BK$176)=0,"Not within 5 years",TEXT(INDEX(Engine_Monthly!$D$9:$BK$9,1,MIN(Engine_Monthly!$D$176:$BK$176)),"mmm-yy")&amp;"  ("&amp;INDEX(Engine_Monthly!$D$10:$BK$10,1,MIN(Engine_Monthly!$D$176:$BK$176))&amp;")")</f>
        <v>Aug-28  (FY29)</v>
      </c>
    </row>
    <row r="10" customFormat="false" ht="15" hidden="false" customHeight="true" outlineLevel="0" collapsed="false">
      <c r="A10" s="12" t="s">
        <v>32</v>
      </c>
      <c r="B10" s="4" t="s">
        <v>27</v>
      </c>
      <c r="C10" s="13" t="n">
        <f aca="false">11_Funding!C5/100</f>
        <v>6.92949528528841</v>
      </c>
    </row>
    <row r="11" customFormat="false" ht="15" hidden="false" customHeight="true" outlineLevel="0" collapsed="false">
      <c r="A11" s="12" t="s">
        <v>33</v>
      </c>
      <c r="B11" s="4" t="s">
        <v>27</v>
      </c>
      <c r="C11" s="13" t="n">
        <f aca="false">11_Funding!C11/100</f>
        <v>11.0291147268624</v>
      </c>
    </row>
    <row r="12" customFormat="false" ht="15" hidden="false" customHeight="true" outlineLevel="0" collapsed="false">
      <c r="A12" s="12" t="s">
        <v>34</v>
      </c>
      <c r="B12" s="4" t="s">
        <v>27</v>
      </c>
      <c r="C12" s="13" t="n">
        <f aca="false">11_Funding!C15/100</f>
        <v>9.71575858872754</v>
      </c>
    </row>
    <row r="13" customFormat="false" ht="15" hidden="false" customHeight="true" outlineLevel="0" collapsed="false">
      <c r="A13" s="12" t="s">
        <v>35</v>
      </c>
      <c r="B13" s="4" t="s">
        <v>29</v>
      </c>
      <c r="C13" s="14" t="n">
        <f aca="false">8_Unit_Economics!G33</f>
        <v>62.8899470237341</v>
      </c>
    </row>
    <row r="14" customFormat="false" ht="15" hidden="false" customHeight="true" outlineLevel="0" collapsed="false">
      <c r="A14" s="12" t="s">
        <v>36</v>
      </c>
      <c r="B14" s="4" t="s">
        <v>37</v>
      </c>
      <c r="C14" s="9" t="str">
        <f aca="false">TEXT(9_Customer_ROI!C52,"0.0")&amp;"x / "&amp;TEXT(9_Customer_ROI!D52,"0.0")&amp;"x / "&amp;TEXT(9_Customer_ROI!E52,"0.0")&amp;"x"</f>
        <v>0.7x / 3.9x / 12.6x</v>
      </c>
    </row>
    <row r="15" customFormat="false" ht="15" hidden="false" customHeight="true" outlineLevel="0" collapsed="false">
      <c r="A15" s="12" t="s">
        <v>38</v>
      </c>
      <c r="B15" s="4" t="s">
        <v>27</v>
      </c>
      <c r="C15" s="13" t="n">
        <f aca="false">14_Valuation!C75</f>
        <v>367.698339337244</v>
      </c>
    </row>
    <row r="16" customFormat="false" ht="15" hidden="false" customHeight="true" outlineLevel="0" collapsed="false">
      <c r="A16" s="12" t="s">
        <v>39</v>
      </c>
      <c r="B16" s="4" t="s">
        <v>27</v>
      </c>
      <c r="C16" s="9" t="str">
        <f aca="false">TEXT(14_Valuation!F195,"0.0")&amp;" / "&amp;TEXT(14_Valuation!C225,"0.0")&amp;"-"&amp;TEXT(14_Valuation!E225,"0.0")&amp;" / "&amp;TEXT(14_Valuation!C86,"0.0")</f>
        <v>503.1 / 315.5-672.9 / 161.4</v>
      </c>
    </row>
    <row r="17" customFormat="false" ht="15" hidden="false" customHeight="true" outlineLevel="0" collapsed="false">
      <c r="A17" s="10" t="s">
        <v>40</v>
      </c>
      <c r="B17" s="11"/>
      <c r="C17" s="11"/>
      <c r="D17" s="11"/>
      <c r="E17" s="11"/>
      <c r="F17" s="11"/>
      <c r="G17" s="11"/>
      <c r="H17" s="11"/>
      <c r="I17" s="11"/>
    </row>
    <row r="18" customFormat="false" ht="15" hidden="false" customHeight="true" outlineLevel="0" collapsed="false">
      <c r="A18" s="15" t="s">
        <v>41</v>
      </c>
      <c r="B18" s="15" t="s">
        <v>42</v>
      </c>
      <c r="C18" s="15" t="str">
        <f aca="false">INDEX(Engine_Monthly!$D$10:$BK$10,1,12)</f>
        <v>FY27</v>
      </c>
      <c r="D18" s="15" t="str">
        <f aca="false">INDEX(Engine_Monthly!$D$10:$BK$10,1,24)</f>
        <v>FY28</v>
      </c>
      <c r="E18" s="15" t="str">
        <f aca="false">INDEX(Engine_Monthly!$D$10:$BK$10,1,36)</f>
        <v>FY29</v>
      </c>
      <c r="F18" s="15" t="str">
        <f aca="false">INDEX(Engine_Monthly!$D$10:$BK$10,1,48)</f>
        <v>FY30</v>
      </c>
      <c r="G18" s="15" t="str">
        <f aca="false">INDEX(Engine_Monthly!$D$10:$BK$10,1,60)</f>
        <v>FY31</v>
      </c>
    </row>
    <row r="19" customFormat="false" ht="15" hidden="false" customHeight="true" outlineLevel="0" collapsed="false">
      <c r="A19" s="12" t="s">
        <v>43</v>
      </c>
      <c r="B19" s="4" t="s">
        <v>44</v>
      </c>
      <c r="C19" s="16" t="n">
        <f aca="false">7_Financials!C11</f>
        <v>28.6376248328144</v>
      </c>
      <c r="D19" s="16" t="n">
        <f aca="false">7_Financials!D11</f>
        <v>478.845035099508</v>
      </c>
      <c r="E19" s="16" t="n">
        <f aca="false">7_Financials!E11</f>
        <v>2411.14780337274</v>
      </c>
      <c r="F19" s="16" t="n">
        <f aca="false">7_Financials!F11</f>
        <v>7026.31622245338</v>
      </c>
      <c r="G19" s="16" t="n">
        <f aca="false">7_Financials!G11</f>
        <v>15092.9719681828</v>
      </c>
    </row>
    <row r="20" customFormat="false" ht="15" hidden="false" customHeight="true" outlineLevel="0" collapsed="false">
      <c r="A20" s="12" t="s">
        <v>45</v>
      </c>
      <c r="B20" s="4" t="s">
        <v>46</v>
      </c>
      <c r="C20" s="17" t="n">
        <f aca="false">7_Financials!C12</f>
        <v>0</v>
      </c>
      <c r="D20" s="17" t="n">
        <f aca="false">7_Financials!D12</f>
        <v>15.7208362388638</v>
      </c>
      <c r="E20" s="17" t="n">
        <f aca="false">7_Financials!E12</f>
        <v>4.03534051025857</v>
      </c>
      <c r="F20" s="17" t="n">
        <f aca="false">7_Financials!F12</f>
        <v>1.91409602207915</v>
      </c>
      <c r="G20" s="17" t="n">
        <f aca="false">7_Financials!G12</f>
        <v>1.14806329381412</v>
      </c>
    </row>
    <row r="21" customFormat="false" ht="15" hidden="false" customHeight="true" outlineLevel="0" collapsed="false">
      <c r="A21" s="12" t="s">
        <v>47</v>
      </c>
      <c r="B21" s="4" t="s">
        <v>44</v>
      </c>
      <c r="C21" s="16" t="n">
        <f aca="false">4_Revenue_Build!C30</f>
        <v>30.9967989601111</v>
      </c>
      <c r="D21" s="16" t="n">
        <f aca="false">4_Revenue_Build!D30</f>
        <v>552.944981798989</v>
      </c>
      <c r="E21" s="16" t="n">
        <f aca="false">4_Revenue_Build!E30</f>
        <v>2619.64347232039</v>
      </c>
      <c r="F21" s="16" t="n">
        <f aca="false">4_Revenue_Build!F30</f>
        <v>7429.62436790498</v>
      </c>
      <c r="G21" s="16" t="n">
        <f aca="false">4_Revenue_Build!G30</f>
        <v>15745.7780317477</v>
      </c>
    </row>
    <row r="22" customFormat="false" ht="15" hidden="false" customHeight="true" outlineLevel="0" collapsed="false">
      <c r="A22" s="12" t="s">
        <v>48</v>
      </c>
      <c r="B22" s="4" t="s">
        <v>44</v>
      </c>
      <c r="C22" s="16" t="n">
        <f aca="false">4_Revenue_Build!C32</f>
        <v>2.58306658000926</v>
      </c>
      <c r="D22" s="16" t="n">
        <f aca="false">4_Revenue_Build!D32</f>
        <v>46.0787484832491</v>
      </c>
      <c r="E22" s="16" t="n">
        <f aca="false">4_Revenue_Build!E32</f>
        <v>218.303622693365</v>
      </c>
      <c r="F22" s="16" t="n">
        <f aca="false">4_Revenue_Build!F32</f>
        <v>619.135363992081</v>
      </c>
      <c r="G22" s="16" t="n">
        <f aca="false">4_Revenue_Build!G32</f>
        <v>1312.14816931231</v>
      </c>
    </row>
    <row r="23" customFormat="false" ht="15" hidden="false" customHeight="true" outlineLevel="0" collapsed="false">
      <c r="A23" s="12" t="s">
        <v>49</v>
      </c>
      <c r="B23" s="4" t="s">
        <v>29</v>
      </c>
      <c r="C23" s="16" t="n">
        <f aca="false">4_Revenue_Build!C13</f>
        <v>1.98</v>
      </c>
      <c r="D23" s="16" t="n">
        <f aca="false">4_Revenue_Build!D13</f>
        <v>23.57938968</v>
      </c>
      <c r="E23" s="16" t="n">
        <f aca="false">4_Revenue_Build!E13</f>
        <v>75.26005872</v>
      </c>
      <c r="F23" s="16" t="n">
        <f aca="false">4_Revenue_Build!F13</f>
        <v>152.50011744</v>
      </c>
      <c r="G23" s="16" t="n">
        <f aca="false">4_Revenue_Build!G13</f>
        <v>237.16517616</v>
      </c>
    </row>
    <row r="24" customFormat="false" ht="15" hidden="false" customHeight="true" outlineLevel="0" collapsed="false">
      <c r="A24" s="12" t="s">
        <v>50</v>
      </c>
      <c r="B24" s="4" t="s">
        <v>29</v>
      </c>
      <c r="C24" s="16" t="n">
        <f aca="false">4_Revenue_Build!C21</f>
        <v>1.06093534837466</v>
      </c>
      <c r="D24" s="16" t="n">
        <f aca="false">4_Revenue_Build!D21</f>
        <v>17.5985909615109</v>
      </c>
      <c r="E24" s="16" t="n">
        <f aca="false">4_Revenue_Build!E21</f>
        <v>77.249595001917</v>
      </c>
      <c r="F24" s="16" t="n">
        <f aca="false">4_Revenue_Build!F21</f>
        <v>203.400031810899</v>
      </c>
      <c r="G24" s="16" t="n">
        <f aca="false">4_Revenue_Build!G21</f>
        <v>400.000009074275</v>
      </c>
    </row>
    <row r="25" customFormat="false" ht="15" hidden="false" customHeight="true" outlineLevel="0" collapsed="false">
      <c r="A25" s="12" t="s">
        <v>51</v>
      </c>
      <c r="B25" s="4" t="s">
        <v>29</v>
      </c>
      <c r="C25" s="16" t="n">
        <f aca="false">4_Revenue_Build!C12</f>
        <v>3.6</v>
      </c>
      <c r="D25" s="16" t="n">
        <f aca="false">4_Revenue_Build!D12</f>
        <v>20.9858088</v>
      </c>
      <c r="E25" s="16" t="n">
        <f aca="false">4_Revenue_Build!E12</f>
        <v>54.1824264</v>
      </c>
      <c r="F25" s="16" t="n">
        <f aca="false">4_Revenue_Build!F12</f>
        <v>93.454044</v>
      </c>
      <c r="G25" s="16" t="n">
        <f aca="false">4_Revenue_Build!G12</f>
        <v>130.0256616</v>
      </c>
    </row>
    <row r="26" customFormat="false" ht="15" hidden="false" customHeight="true" outlineLevel="0" collapsed="false">
      <c r="A26" s="12" t="s">
        <v>52</v>
      </c>
      <c r="B26" s="4" t="s">
        <v>46</v>
      </c>
      <c r="C26" s="17" t="n">
        <f aca="false">7_Financials!C15</f>
        <v>-0.575967024549824</v>
      </c>
      <c r="D26" s="17" t="n">
        <f aca="false">7_Financials!D15</f>
        <v>0.453477334895667</v>
      </c>
      <c r="E26" s="17" t="n">
        <f aca="false">7_Financials!E15</f>
        <v>0.655393994279156</v>
      </c>
      <c r="F26" s="17" t="n">
        <f aca="false">7_Financials!F15</f>
        <v>0.740604720802535</v>
      </c>
      <c r="G26" s="17" t="n">
        <f aca="false">7_Financials!G15</f>
        <v>0.793563079627187</v>
      </c>
    </row>
    <row r="27" customFormat="false" ht="15" hidden="false" customHeight="true" outlineLevel="0" collapsed="false">
      <c r="A27" s="12" t="s">
        <v>53</v>
      </c>
      <c r="B27" s="4" t="s">
        <v>46</v>
      </c>
      <c r="C27" s="17" t="n">
        <f aca="false">5_Cost_of_Service!C17</f>
        <v>-3.94827850555194</v>
      </c>
      <c r="D27" s="17" t="n">
        <f aca="false">5_Cost_of_Service!D17</f>
        <v>0.592808809401401</v>
      </c>
      <c r="E27" s="17" t="n">
        <f aca="false">5_Cost_of_Service!E17</f>
        <v>0.843713071077813</v>
      </c>
      <c r="F27" s="17" t="n">
        <f aca="false">5_Cost_of_Service!F17</f>
        <v>0.891545475268491</v>
      </c>
      <c r="G27" s="17" t="n">
        <f aca="false">5_Cost_of_Service!G17</f>
        <v>0.912684281479539</v>
      </c>
    </row>
    <row r="28" customFormat="false" ht="15" hidden="false" customHeight="true" outlineLevel="0" collapsed="false">
      <c r="A28" s="12" t="s">
        <v>54</v>
      </c>
      <c r="B28" s="4" t="s">
        <v>44</v>
      </c>
      <c r="C28" s="16" t="n">
        <f aca="false">7_Financials!C19</f>
        <v>-203.334994231797</v>
      </c>
      <c r="D28" s="16" t="n">
        <f aca="false">7_Financials!D19</f>
        <v>-349.499344848053</v>
      </c>
      <c r="E28" s="16" t="n">
        <f aca="false">7_Financials!E19</f>
        <v>354.794061464275</v>
      </c>
      <c r="F28" s="16" t="n">
        <f aca="false">7_Financials!F19</f>
        <v>3061.34250288065</v>
      </c>
      <c r="G28" s="16" t="n">
        <f aca="false">7_Financials!G19</f>
        <v>8786.09553021468</v>
      </c>
    </row>
    <row r="29" customFormat="false" ht="15" hidden="false" customHeight="true" outlineLevel="0" collapsed="false">
      <c r="A29" s="12" t="s">
        <v>55</v>
      </c>
      <c r="B29" s="4" t="s">
        <v>46</v>
      </c>
      <c r="C29" s="17" t="n">
        <f aca="false">7_Financials!C20</f>
        <v>-7.10027439142948</v>
      </c>
      <c r="D29" s="17" t="n">
        <f aca="false">7_Financials!D20</f>
        <v>-0.7298798551298</v>
      </c>
      <c r="E29" s="17" t="n">
        <f aca="false">7_Financials!E20</f>
        <v>0.147147371458517</v>
      </c>
      <c r="F29" s="17" t="n">
        <f aca="false">7_Financials!F20</f>
        <v>0.435696658954487</v>
      </c>
      <c r="G29" s="17" t="n">
        <f aca="false">7_Financials!G20</f>
        <v>0.582131574135068</v>
      </c>
    </row>
    <row r="30" customFormat="false" ht="15" hidden="false" customHeight="true" outlineLevel="0" collapsed="false">
      <c r="A30" s="12" t="s">
        <v>56</v>
      </c>
      <c r="B30" s="4" t="s">
        <v>44</v>
      </c>
      <c r="C30" s="16" t="n">
        <f aca="false">SUMIF(Engine_Monthly!$D$7:$BK$7,1,Engine_Monthly!$D$167:$BK$167)</f>
        <v>223.806112804589</v>
      </c>
      <c r="D30" s="16" t="n">
        <f aca="false">SUMIF(Engine_Monthly!$D$7:$BK$7,2,Engine_Monthly!$D$167:$BK$167)</f>
        <v>394.90198310158</v>
      </c>
      <c r="E30" s="16" t="n">
        <f aca="false">SUMIF(Engine_Monthly!$D$7:$BK$7,3,Engine_Monthly!$D$167:$BK$167)</f>
        <v>74.2414326226714</v>
      </c>
      <c r="F30" s="16" t="n">
        <f aca="false">SUMIF(Engine_Monthly!$D$7:$BK$7,4,Engine_Monthly!$D$167:$BK$167)</f>
        <v>0</v>
      </c>
      <c r="G30" s="16" t="n">
        <f aca="false">SUMIF(Engine_Monthly!$D$7:$BK$7,5,Engine_Monthly!$D$167:$BK$167)</f>
        <v>0</v>
      </c>
    </row>
    <row r="31" customFormat="false" ht="15" hidden="false" customHeight="true" outlineLevel="0" collapsed="false">
      <c r="A31" s="12" t="s">
        <v>57</v>
      </c>
      <c r="B31" s="4" t="s">
        <v>44</v>
      </c>
      <c r="C31" s="16" t="n">
        <f aca="false">7_Financials!C43</f>
        <v>676.193887195411</v>
      </c>
      <c r="D31" s="16" t="n">
        <f aca="false">7_Financials!D43</f>
        <v>1181.29190409383</v>
      </c>
      <c r="E31" s="16" t="n">
        <f aca="false">7_Financials!E43</f>
        <v>1443.51274436118</v>
      </c>
      <c r="F31" s="16" t="n">
        <f aca="false">7_Financials!F43</f>
        <v>3674.91022835463</v>
      </c>
      <c r="G31" s="16" t="n">
        <f aca="false">7_Financials!G43</f>
        <v>10114.9702518239</v>
      </c>
    </row>
    <row r="32" customFormat="false" ht="15" hidden="false" customHeight="true" outlineLevel="0" collapsed="false">
      <c r="A32" s="12" t="s">
        <v>58</v>
      </c>
      <c r="B32" s="4" t="s">
        <v>44</v>
      </c>
      <c r="C32" s="18" t="str">
        <f aca="false">8_Unit_Economics!C17</f>
        <v>n.m.</v>
      </c>
      <c r="D32" s="18" t="n">
        <f aca="false">8_Unit_Economics!D17</f>
        <v>12.9992132685684</v>
      </c>
      <c r="E32" s="18" t="n">
        <f aca="false">8_Unit_Economics!E17</f>
        <v>10.792680659572</v>
      </c>
      <c r="F32" s="18" t="n">
        <f aca="false">8_Unit_Economics!F17</f>
        <v>10.2211035863171</v>
      </c>
      <c r="G32" s="18" t="n">
        <f aca="false">8_Unit_Economics!G17</f>
        <v>10.0580481599337</v>
      </c>
    </row>
    <row r="33" customFormat="false" ht="15" hidden="false" customHeight="true" outlineLevel="0" collapsed="false">
      <c r="A33" s="12" t="s">
        <v>59</v>
      </c>
      <c r="B33" s="4" t="s">
        <v>44</v>
      </c>
      <c r="C33" s="18" t="str">
        <f aca="false">8_Unit_Economics!C27</f>
        <v>n.m.</v>
      </c>
      <c r="D33" s="18" t="n">
        <f aca="false">8_Unit_Economics!D27</f>
        <v>46.2404723840468</v>
      </c>
      <c r="E33" s="18" t="n">
        <f aca="false">8_Unit_Economics!E27</f>
        <v>76.8781862852545</v>
      </c>
      <c r="F33" s="18" t="n">
        <f aca="false">8_Unit_Economics!F27</f>
        <v>89.481784350455</v>
      </c>
      <c r="G33" s="18" t="n">
        <f aca="false">8_Unit_Economics!G27</f>
        <v>99.8176189828015</v>
      </c>
    </row>
    <row r="34" customFormat="false" ht="15" hidden="false" customHeight="true" outlineLevel="0" collapsed="false">
      <c r="A34" s="12" t="s">
        <v>60</v>
      </c>
      <c r="B34" s="4" t="s">
        <v>37</v>
      </c>
      <c r="C34" s="19" t="str">
        <f aca="false">8_Unit_Economics!C28</f>
        <v>n.m.</v>
      </c>
      <c r="D34" s="19" t="n">
        <f aca="false">8_Unit_Economics!D28</f>
        <v>3.55717468655235</v>
      </c>
      <c r="E34" s="19" t="n">
        <f aca="false">8_Unit_Economics!E28</f>
        <v>7.12317807875388</v>
      </c>
      <c r="F34" s="19" t="n">
        <f aca="false">8_Unit_Economics!F28</f>
        <v>8.7546108494824</v>
      </c>
      <c r="G34" s="19" t="n">
        <f aca="false">8_Unit_Economics!G28</f>
        <v>9.92415401036011</v>
      </c>
    </row>
    <row r="35" customFormat="false" ht="15" hidden="false" customHeight="true" outlineLevel="0" collapsed="false">
      <c r="A35" s="12" t="s">
        <v>61</v>
      </c>
      <c r="B35" s="4" t="s">
        <v>62</v>
      </c>
      <c r="C35" s="16" t="str">
        <f aca="false">8_Unit_Economics!C29</f>
        <v>n.m.</v>
      </c>
      <c r="D35" s="16" t="n">
        <f aca="false">8_Unit_Economics!D29</f>
        <v>9.41328967517521</v>
      </c>
      <c r="E35" s="16" t="n">
        <f aca="false">8_Unit_Economics!E29</f>
        <v>4.89679090721751</v>
      </c>
      <c r="F35" s="16" t="n">
        <f aca="false">8_Unit_Economics!F29</f>
        <v>4.01940930292346</v>
      </c>
      <c r="G35" s="16" t="n">
        <f aca="false">8_Unit_Economics!G29</f>
        <v>3.5580541119211</v>
      </c>
    </row>
    <row r="36" customFormat="false" ht="15" hidden="false" customHeight="true" outlineLevel="0" collapsed="false">
      <c r="A36" s="12" t="s">
        <v>63</v>
      </c>
      <c r="B36" s="4" t="s">
        <v>46</v>
      </c>
      <c r="C36" s="17" t="n">
        <f aca="false">8_Unit_Economics!C21</f>
        <v>0.09</v>
      </c>
      <c r="D36" s="17" t="n">
        <f aca="false">8_Unit_Economics!D21</f>
        <v>0.09</v>
      </c>
      <c r="E36" s="17" t="n">
        <f aca="false">8_Unit_Economics!E21</f>
        <v>0.09</v>
      </c>
      <c r="F36" s="17" t="n">
        <f aca="false">8_Unit_Economics!F21</f>
        <v>0.09</v>
      </c>
      <c r="G36" s="17" t="n">
        <f aca="false">8_Unit_Economics!G21</f>
        <v>0.09</v>
      </c>
    </row>
    <row r="37" customFormat="false" ht="15" hidden="false" customHeight="true" outlineLevel="0" collapsed="false">
      <c r="A37" s="12" t="s">
        <v>64</v>
      </c>
      <c r="B37" s="4" t="s">
        <v>44</v>
      </c>
      <c r="C37" s="18" t="n">
        <f aca="false">8_Unit_Economics!C7</f>
        <v>22.9691325944507</v>
      </c>
      <c r="D37" s="18" t="n">
        <f aca="false">8_Unit_Economics!D7</f>
        <v>27.9538894130849</v>
      </c>
      <c r="E37" s="18" t="n">
        <f aca="false">8_Unit_Economics!E7</f>
        <v>31.3475956122092</v>
      </c>
      <c r="F37" s="18" t="n">
        <f aca="false">8_Unit_Economics!F7</f>
        <v>34.2273520723125</v>
      </c>
      <c r="G37" s="18" t="n">
        <f aca="false">8_Unit_Economics!G7</f>
        <v>37.167370516143</v>
      </c>
    </row>
    <row r="38" customFormat="false" ht="15" hidden="false" customHeight="true" outlineLevel="0" collapsed="false">
      <c r="A38" s="12" t="s">
        <v>65</v>
      </c>
      <c r="B38" s="4" t="s">
        <v>29</v>
      </c>
      <c r="C38" s="20" t="n">
        <f aca="false">6_Personnel_Opex!C24</f>
        <v>11</v>
      </c>
      <c r="D38" s="20" t="n">
        <f aca="false">6_Personnel_Opex!D24</f>
        <v>25</v>
      </c>
      <c r="E38" s="20" t="n">
        <f aca="false">6_Personnel_Opex!E24</f>
        <v>53</v>
      </c>
      <c r="F38" s="20" t="n">
        <f aca="false">6_Personnel_Opex!F24</f>
        <v>88</v>
      </c>
      <c r="G38" s="20" t="n">
        <f aca="false">6_Personnel_Opex!G24</f>
        <v>128</v>
      </c>
    </row>
    <row r="40" customFormat="false" ht="15" hidden="false" customHeight="true" outlineLevel="0" collapsed="false">
      <c r="A40" s="10" t="s">
        <v>66</v>
      </c>
      <c r="B40" s="11"/>
      <c r="C40" s="11"/>
      <c r="D40" s="11"/>
      <c r="E40" s="11"/>
      <c r="F40" s="11"/>
      <c r="G40" s="11"/>
      <c r="H40" s="11"/>
      <c r="I40" s="11"/>
    </row>
    <row r="41" customFormat="false" ht="15" hidden="false" customHeight="true" outlineLevel="0" collapsed="false">
      <c r="A41" s="15" t="s">
        <v>67</v>
      </c>
      <c r="B41" s="15" t="s">
        <v>42</v>
      </c>
      <c r="C41" s="15" t="s">
        <v>68</v>
      </c>
      <c r="D41" s="15" t="s">
        <v>69</v>
      </c>
      <c r="E41" s="15" t="s">
        <v>70</v>
      </c>
      <c r="F41" s="15" t="s">
        <v>71</v>
      </c>
    </row>
    <row r="42" customFormat="false" ht="15" hidden="false" customHeight="true" outlineLevel="0" collapsed="false">
      <c r="A42" s="12" t="str">
        <f aca="false">12_Scenarios!A28</f>
        <v>FY31 revenue</v>
      </c>
      <c r="B42" s="4" t="str">
        <f aca="false">12_Scenarios!B28</f>
        <v>₹ lakh</v>
      </c>
      <c r="C42" s="21" t="n">
        <f aca="false">12_Scenarios!C28</f>
        <v>4938.48991599909</v>
      </c>
      <c r="D42" s="22" t="n">
        <f aca="false">12_Scenarios!D28</f>
        <v>15092.9719681828</v>
      </c>
      <c r="E42" s="21" t="n">
        <f aca="false">12_Scenarios!E28</f>
        <v>31192.8444787127</v>
      </c>
      <c r="F42" s="21" t="n">
        <f aca="false">12_Scenarios!F28</f>
        <v>15092.9719681828</v>
      </c>
    </row>
    <row r="43" customFormat="false" ht="15" hidden="false" customHeight="true" outlineLevel="0" collapsed="false">
      <c r="A43" s="12" t="str">
        <f aca="false">12_Scenarios!A29</f>
        <v>FY31 closing ARR</v>
      </c>
      <c r="B43" s="4" t="str">
        <f aca="false">12_Scenarios!B29</f>
        <v>₹ lakh</v>
      </c>
      <c r="C43" s="21" t="n">
        <f aca="false">12_Scenarios!C29</f>
        <v>4678.53257211694</v>
      </c>
      <c r="D43" s="22" t="n">
        <f aca="false">12_Scenarios!D29</f>
        <v>15745.7780317477</v>
      </c>
      <c r="E43" s="21" t="n">
        <f aca="false">12_Scenarios!E29</f>
        <v>33677.8881742944</v>
      </c>
      <c r="F43" s="21" t="n">
        <f aca="false">12_Scenarios!F29</f>
        <v>15745.7780317477</v>
      </c>
    </row>
    <row r="44" customFormat="false" ht="15" hidden="false" customHeight="true" outlineLevel="0" collapsed="false">
      <c r="A44" s="12" t="str">
        <f aca="false">12_Scenarios!A30</f>
        <v>FY31 live paying plants</v>
      </c>
      <c r="B44" s="4" t="str">
        <f aca="false">12_Scenarios!B30</f>
        <v>#</v>
      </c>
      <c r="C44" s="21" t="n">
        <f aca="false">12_Scenarios!C30</f>
        <v>199.999999841988</v>
      </c>
      <c r="D44" s="22" t="n">
        <f aca="false">12_Scenarios!D30</f>
        <v>400.000009074275</v>
      </c>
      <c r="E44" s="21" t="n">
        <f aca="false">12_Scenarios!E30</f>
        <v>600.000011642617</v>
      </c>
      <c r="F44" s="21" t="n">
        <f aca="false">12_Scenarios!F30</f>
        <v>400.000009074275</v>
      </c>
    </row>
    <row r="45" customFormat="false" ht="15" hidden="false" customHeight="true" outlineLevel="0" collapsed="false">
      <c r="A45" s="12" t="str">
        <f aca="false">12_Scenarios!A31</f>
        <v>FY31 EBITDA</v>
      </c>
      <c r="B45" s="4" t="str">
        <f aca="false">12_Scenarios!B31</f>
        <v>₹ lakh</v>
      </c>
      <c r="C45" s="21" t="n">
        <f aca="false">12_Scenarios!C31</f>
        <v>-160.229558026852</v>
      </c>
      <c r="D45" s="22" t="n">
        <f aca="false">12_Scenarios!D31</f>
        <v>8786.09553021468</v>
      </c>
      <c r="E45" s="21" t="n">
        <f aca="false">12_Scenarios!E31</f>
        <v>23770.2690890305</v>
      </c>
      <c r="F45" s="21" t="n">
        <f aca="false">12_Scenarios!F31</f>
        <v>8786.09553021468</v>
      </c>
    </row>
    <row r="46" customFormat="false" ht="15" hidden="false" customHeight="true" outlineLevel="0" collapsed="false">
      <c r="A46" s="12" t="str">
        <f aca="false">12_Scenarios!A33</f>
        <v>Cumulative EBITDA FY27-FY31</v>
      </c>
      <c r="B46" s="4" t="str">
        <f aca="false">12_Scenarios!B33</f>
        <v>₹ lakh</v>
      </c>
      <c r="C46" s="21" t="n">
        <f aca="false">12_Scenarios!C33</f>
        <v>-2660.60513055878</v>
      </c>
      <c r="D46" s="22" t="n">
        <f aca="false">12_Scenarios!D33</f>
        <v>11649.3977554798</v>
      </c>
      <c r="E46" s="21" t="n">
        <f aca="false">12_Scenarios!E33</f>
        <v>36128.1713126672</v>
      </c>
      <c r="F46" s="21" t="n">
        <f aca="false">12_Scenarios!F33</f>
        <v>11649.3977554798</v>
      </c>
    </row>
    <row r="47" customFormat="false" ht="15" hidden="false" customHeight="true" outlineLevel="0" collapsed="false">
      <c r="A47" s="12" t="str">
        <f aca="false">12_Scenarios!A36</f>
        <v>Total equity requirement (incl. buffer &amp; contingency)</v>
      </c>
      <c r="B47" s="4" t="str">
        <f aca="false">12_Scenarios!B36</f>
        <v>₹ lakh</v>
      </c>
      <c r="C47" s="21" t="n">
        <f aca="false">12_Scenarios!C36</f>
        <v>4666.73944099613</v>
      </c>
      <c r="D47" s="22" t="n">
        <f aca="false">12_Scenarios!D36</f>
        <v>1102.91147268624</v>
      </c>
      <c r="E47" s="21" t="n">
        <f aca="false">12_Scenarios!E36</f>
        <v>508.942751029139</v>
      </c>
      <c r="F47" s="21" t="n">
        <f aca="false">12_Scenarios!F36</f>
        <v>1102.91147268624</v>
      </c>
    </row>
    <row r="48" customFormat="false" ht="15" hidden="false" customHeight="true" outlineLevel="0" collapsed="false">
      <c r="A48" s="12" t="str">
        <f aca="false">12_Scenarios!A37</f>
        <v>EBITDA break-even month (trailing 3 months &gt; 0)</v>
      </c>
      <c r="B48" s="4" t="str">
        <f aca="false">12_Scenarios!B37</f>
        <v>month #</v>
      </c>
      <c r="C48" s="23" t="n">
        <f aca="false">12_Scenarios!C37</f>
        <v>57</v>
      </c>
      <c r="D48" s="24" t="n">
        <f aca="false">12_Scenarios!D37</f>
        <v>29</v>
      </c>
      <c r="E48" s="23" t="n">
        <f aca="false">12_Scenarios!E37</f>
        <v>20</v>
      </c>
      <c r="F48" s="23" t="n">
        <f aca="false">12_Scenarios!F37</f>
        <v>29</v>
      </c>
    </row>
    <row r="49" customFormat="false" ht="15" hidden="false" customHeight="true" outlineLevel="0" collapsed="false">
      <c r="A49" s="12" t="str">
        <f aca="false">12_Scenarios!A42</f>
        <v>Enterprise value @ 12% (two-stage DCF, steady-state terminal value)</v>
      </c>
      <c r="B49" s="4" t="str">
        <f aca="false">12_Scenarios!B42</f>
        <v>₹ crore</v>
      </c>
      <c r="C49" s="25" t="n">
        <f aca="false">12_Scenarios!C42</f>
        <v>41.5972724242349</v>
      </c>
      <c r="D49" s="26" t="n">
        <f aca="false">12_Scenarios!D42</f>
        <v>367.698339337244</v>
      </c>
      <c r="E49" s="25" t="n">
        <f aca="false">12_Scenarios!E42</f>
        <v>2140.16833381844</v>
      </c>
      <c r="F49" s="25" t="n">
        <f aca="false">12_Scenarios!F42</f>
        <v>367.698339337244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J1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6"/>
    <col collapsed="false" customWidth="true" hidden="false" outlineLevel="0" max="6" min="3" style="1" width="11"/>
    <col collapsed="false" customWidth="true" hidden="false" outlineLevel="0" max="7" min="7" style="1" width="14"/>
    <col collapsed="false" customWidth="true" hidden="false" outlineLevel="0" max="8" min="8" style="1" width="70"/>
    <col collapsed="false" customWidth="true" hidden="false" outlineLevel="0" max="9" min="9" style="1" width="48"/>
  </cols>
  <sheetData>
    <row r="1" customFormat="false" ht="17.25" hidden="false" customHeight="true" outlineLevel="0" collapsed="false">
      <c r="A1" s="2" t="s">
        <v>72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73</v>
      </c>
    </row>
    <row r="3" customFormat="false" ht="15" hidden="false" customHeight="true" outlineLevel="0" collapsed="false">
      <c r="A3" s="5" t="s">
        <v>74</v>
      </c>
      <c r="C3" s="27" t="n">
        <v>2</v>
      </c>
      <c r="D3" s="5" t="str">
        <f aca="false">CHOOSE($C$3,"BEAR","BASE","BULL")</f>
        <v>BASE</v>
      </c>
    </row>
    <row r="5" customFormat="false" ht="15" hidden="false" customHeight="true" outlineLevel="0" collapsed="false">
      <c r="A5" s="15" t="s">
        <v>75</v>
      </c>
      <c r="B5" s="15" t="s">
        <v>42</v>
      </c>
      <c r="C5" s="15" t="s">
        <v>76</v>
      </c>
      <c r="D5" s="15" t="s">
        <v>68</v>
      </c>
      <c r="E5" s="15" t="s">
        <v>69</v>
      </c>
      <c r="F5" s="15" t="s">
        <v>70</v>
      </c>
      <c r="G5" s="15" t="s">
        <v>77</v>
      </c>
      <c r="H5" s="15" t="s">
        <v>78</v>
      </c>
      <c r="I5" s="15" t="s">
        <v>79</v>
      </c>
    </row>
    <row r="7" customFormat="false" ht="15" hidden="false" customHeight="true" outlineLevel="0" collapsed="false">
      <c r="A7" s="10" t="s">
        <v>80</v>
      </c>
      <c r="B7" s="11"/>
      <c r="C7" s="11"/>
      <c r="D7" s="11"/>
      <c r="E7" s="11"/>
      <c r="F7" s="11"/>
      <c r="G7" s="11"/>
      <c r="H7" s="11"/>
      <c r="I7" s="11"/>
    </row>
    <row r="8" customFormat="false" ht="21.75" hidden="false" customHeight="true" outlineLevel="0" collapsed="false">
      <c r="A8" s="12" t="s">
        <v>81</v>
      </c>
      <c r="B8" s="4" t="s">
        <v>82</v>
      </c>
      <c r="C8" s="28" t="n">
        <f aca="false">IF(D8="",E8,CHOOSE($C$3,D8,E8,F8))</f>
        <v>46113</v>
      </c>
      <c r="E8" s="29" t="n">
        <v>46113</v>
      </c>
      <c r="G8" s="4" t="s">
        <v>83</v>
      </c>
      <c r="H8" s="30" t="s">
        <v>84</v>
      </c>
      <c r="I8" s="30"/>
    </row>
    <row r="9" customFormat="false" ht="21.75" hidden="false" customHeight="true" outlineLevel="0" collapsed="false">
      <c r="A9" s="12" t="s">
        <v>85</v>
      </c>
      <c r="B9" s="4" t="s">
        <v>86</v>
      </c>
      <c r="C9" s="31" t="n">
        <f aca="false">IF(D9="",E9,CHOOSE($C$3,D9,E9,F9))</f>
        <v>95</v>
      </c>
      <c r="E9" s="32" t="n">
        <v>95</v>
      </c>
      <c r="G9" s="4" t="s">
        <v>87</v>
      </c>
      <c r="H9" s="30" t="s">
        <v>88</v>
      </c>
      <c r="I9" s="30"/>
    </row>
    <row r="10" customFormat="false" ht="21.75" hidden="false" customHeight="true" outlineLevel="0" collapsed="false">
      <c r="A10" s="12" t="s">
        <v>89</v>
      </c>
      <c r="B10" s="4" t="s">
        <v>46</v>
      </c>
      <c r="C10" s="33" t="n">
        <f aca="false">IF(D10="",E10,CHOOSE($C$3,D10,E10,F10))</f>
        <v>0.25168</v>
      </c>
      <c r="E10" s="34" t="n">
        <v>0.25168</v>
      </c>
      <c r="G10" s="4" t="s">
        <v>87</v>
      </c>
      <c r="H10" s="30" t="s">
        <v>90</v>
      </c>
      <c r="I10" s="30" t="s">
        <v>91</v>
      </c>
    </row>
    <row r="11" customFormat="false" ht="15" hidden="false" customHeight="true" outlineLevel="0" collapsed="false">
      <c r="A11" s="12" t="s">
        <v>92</v>
      </c>
      <c r="B11" s="4" t="s">
        <v>93</v>
      </c>
      <c r="C11" s="33" t="n">
        <f aca="false">IF(D11="",E11,CHOOSE($C$3,D11,E11,F11))</f>
        <v>0.12</v>
      </c>
      <c r="E11" s="34" t="n">
        <v>0.12</v>
      </c>
      <c r="G11" s="4" t="s">
        <v>83</v>
      </c>
      <c r="H11" s="30" t="s">
        <v>94</v>
      </c>
      <c r="I11" s="30"/>
    </row>
    <row r="12" customFormat="false" ht="15" hidden="false" customHeight="true" outlineLevel="0" collapsed="false">
      <c r="A12" s="12" t="s">
        <v>95</v>
      </c>
      <c r="B12" s="4" t="s">
        <v>96</v>
      </c>
      <c r="C12" s="33" t="n">
        <f aca="false">IF(D12="",E12,CHOOSE($C$3,D12,E12,F12))</f>
        <v>0.08</v>
      </c>
      <c r="E12" s="34" t="n">
        <v>0.08</v>
      </c>
      <c r="G12" s="4" t="s">
        <v>83</v>
      </c>
      <c r="H12" s="30" t="s">
        <v>97</v>
      </c>
      <c r="I12" s="30"/>
    </row>
    <row r="13" customFormat="false" ht="15" hidden="false" customHeight="true" outlineLevel="0" collapsed="false">
      <c r="A13" s="12" t="s">
        <v>98</v>
      </c>
      <c r="B13" s="4" t="s">
        <v>96</v>
      </c>
      <c r="C13" s="33" t="n">
        <f aca="false">IF(D13="",E13,CHOOSE($C$3,D13,E13,F13))</f>
        <v>0.05</v>
      </c>
      <c r="E13" s="34" t="n">
        <v>0.05</v>
      </c>
      <c r="G13" s="4" t="s">
        <v>83</v>
      </c>
      <c r="H13" s="30" t="s">
        <v>99</v>
      </c>
      <c r="I13" s="30"/>
    </row>
    <row r="14" customFormat="false" ht="15" hidden="false" customHeight="true" outlineLevel="0" collapsed="false">
      <c r="A14" s="12" t="s">
        <v>100</v>
      </c>
      <c r="B14" s="4" t="s">
        <v>96</v>
      </c>
      <c r="C14" s="33" t="n">
        <f aca="false">IF(D14="",E14,CHOOSE($C$3,D14,E14,F14))</f>
        <v>0.2</v>
      </c>
      <c r="E14" s="34" t="n">
        <v>0.2</v>
      </c>
      <c r="G14" s="4" t="s">
        <v>83</v>
      </c>
      <c r="H14" s="30" t="s">
        <v>101</v>
      </c>
      <c r="I14" s="30"/>
    </row>
    <row r="15" customFormat="false" ht="15" hidden="false" customHeight="true" outlineLevel="0" collapsed="false">
      <c r="A15" s="12" t="s">
        <v>102</v>
      </c>
      <c r="B15" s="4" t="s">
        <v>103</v>
      </c>
      <c r="C15" s="35" t="n">
        <f aca="false">IF(D15="",E15,CHOOSE($C$3,D15,E15,F15))</f>
        <v>7</v>
      </c>
      <c r="E15" s="36" t="n">
        <v>7</v>
      </c>
      <c r="G15" s="4" t="s">
        <v>83</v>
      </c>
      <c r="H15" s="30" t="s">
        <v>104</v>
      </c>
      <c r="I15" s="30"/>
    </row>
    <row r="17" customFormat="false" ht="15" hidden="false" customHeight="true" outlineLevel="0" collapsed="false">
      <c r="A17" s="10" t="s">
        <v>105</v>
      </c>
      <c r="B17" s="11"/>
      <c r="C17" s="11"/>
      <c r="D17" s="11"/>
      <c r="E17" s="11"/>
      <c r="F17" s="11"/>
      <c r="G17" s="11"/>
      <c r="H17" s="11"/>
      <c r="I17" s="11"/>
    </row>
    <row r="18" customFormat="false" ht="15" hidden="false" customHeight="true" outlineLevel="0" collapsed="false">
      <c r="A18" s="12" t="s">
        <v>106</v>
      </c>
      <c r="B18" s="4" t="s">
        <v>107</v>
      </c>
      <c r="C18" s="35" t="n">
        <f aca="false">IF(D18="",E18,CHOOSE($C$3,D18,E18,F18))</f>
        <v>4</v>
      </c>
      <c r="E18" s="36" t="n">
        <v>4</v>
      </c>
      <c r="G18" s="4" t="s">
        <v>83</v>
      </c>
      <c r="H18" s="30" t="s">
        <v>108</v>
      </c>
      <c r="I18" s="30"/>
    </row>
    <row r="19" customFormat="false" ht="15" hidden="false" customHeight="true" outlineLevel="0" collapsed="false">
      <c r="A19" s="12" t="s">
        <v>109</v>
      </c>
      <c r="B19" s="4" t="s">
        <v>62</v>
      </c>
      <c r="C19" s="35" t="n">
        <f aca="false">IF(D19="",E19,CHOOSE($C$3,D19,E19,F19))</f>
        <v>6</v>
      </c>
      <c r="D19" s="36" t="n">
        <v>6</v>
      </c>
      <c r="E19" s="36" t="n">
        <v>6</v>
      </c>
      <c r="F19" s="36" t="n">
        <v>4</v>
      </c>
      <c r="G19" s="4" t="s">
        <v>83</v>
      </c>
      <c r="H19" s="30" t="s">
        <v>110</v>
      </c>
      <c r="I19" s="30"/>
    </row>
    <row r="20" customFormat="false" ht="15" hidden="false" customHeight="true" outlineLevel="0" collapsed="false">
      <c r="A20" s="12" t="s">
        <v>111</v>
      </c>
      <c r="B20" s="4" t="s">
        <v>112</v>
      </c>
      <c r="C20" s="31" t="n">
        <f aca="false">IF(D20="",E20,CHOOSE($C$3,D20,E20,F20))</f>
        <v>0.5</v>
      </c>
      <c r="E20" s="32" t="n">
        <v>0.5</v>
      </c>
      <c r="G20" s="4" t="s">
        <v>83</v>
      </c>
      <c r="H20" s="30" t="s">
        <v>113</v>
      </c>
      <c r="I20" s="30"/>
    </row>
    <row r="21" customFormat="false" ht="15" hidden="false" customHeight="true" outlineLevel="0" collapsed="false">
      <c r="A21" s="12" t="s">
        <v>114</v>
      </c>
      <c r="B21" s="4" t="s">
        <v>112</v>
      </c>
      <c r="C21" s="31" t="n">
        <f aca="false">IF(D21="",E21,CHOOSE($C$3,D21,E21,F21))</f>
        <v>0.25</v>
      </c>
      <c r="E21" s="32" t="n">
        <v>0.25</v>
      </c>
      <c r="G21" s="4" t="s">
        <v>83</v>
      </c>
      <c r="H21" s="30" t="s">
        <v>115</v>
      </c>
      <c r="I21" s="30"/>
    </row>
    <row r="22" customFormat="false" ht="21.75" hidden="false" customHeight="true" outlineLevel="0" collapsed="false">
      <c r="A22" s="12" t="s">
        <v>116</v>
      </c>
      <c r="B22" s="4" t="s">
        <v>29</v>
      </c>
      <c r="C22" s="31" t="n">
        <f aca="false">IF(D22="",E22,CHOOSE($C$3,D22,E22,F22))</f>
        <v>3</v>
      </c>
      <c r="D22" s="32" t="n">
        <v>2</v>
      </c>
      <c r="E22" s="32" t="n">
        <v>3</v>
      </c>
      <c r="F22" s="32" t="n">
        <v>4</v>
      </c>
      <c r="G22" s="4" t="s">
        <v>117</v>
      </c>
      <c r="H22" s="30" t="s">
        <v>118</v>
      </c>
      <c r="I22" s="30" t="s">
        <v>119</v>
      </c>
    </row>
    <row r="23" customFormat="false" ht="15" hidden="false" customHeight="true" outlineLevel="0" collapsed="false">
      <c r="A23" s="12" t="s">
        <v>120</v>
      </c>
      <c r="B23" s="4" t="s">
        <v>46</v>
      </c>
      <c r="C23" s="33" t="n">
        <f aca="false">IF(D23="",E23,CHOOSE($C$3,D23,E23,F23))</f>
        <v>0.2</v>
      </c>
      <c r="E23" s="34" t="n">
        <v>0.2</v>
      </c>
      <c r="G23" s="4" t="s">
        <v>83</v>
      </c>
      <c r="H23" s="30" t="s">
        <v>121</v>
      </c>
      <c r="I23" s="30"/>
    </row>
    <row r="24" customFormat="false" ht="15" hidden="false" customHeight="true" outlineLevel="0" collapsed="false">
      <c r="A24" s="12" t="s">
        <v>122</v>
      </c>
      <c r="B24" s="4" t="s">
        <v>46</v>
      </c>
      <c r="C24" s="33" t="n">
        <f aca="false">IF(D24="",E24,CHOOSE($C$3,D24,E24,F24))</f>
        <v>0.25</v>
      </c>
      <c r="E24" s="34" t="n">
        <v>0.25</v>
      </c>
      <c r="G24" s="4" t="s">
        <v>83</v>
      </c>
      <c r="H24" s="30" t="s">
        <v>123</v>
      </c>
      <c r="I24" s="30"/>
    </row>
    <row r="25" customFormat="false" ht="21.75" hidden="false" customHeight="true" outlineLevel="0" collapsed="false">
      <c r="A25" s="12" t="s">
        <v>124</v>
      </c>
      <c r="B25" s="4" t="s">
        <v>46</v>
      </c>
      <c r="C25" s="33" t="n">
        <f aca="false">IF(D25="",E25,CHOOSE($C$3,D25,E25,F25))</f>
        <v>0.3</v>
      </c>
      <c r="D25" s="34" t="n">
        <v>0.25</v>
      </c>
      <c r="E25" s="34" t="n">
        <v>0.3</v>
      </c>
      <c r="F25" s="34" t="n">
        <v>0.35</v>
      </c>
      <c r="G25" s="4" t="s">
        <v>117</v>
      </c>
      <c r="H25" s="30" t="s">
        <v>125</v>
      </c>
      <c r="I25" s="30" t="s">
        <v>126</v>
      </c>
    </row>
    <row r="26" customFormat="false" ht="15" hidden="false" customHeight="true" outlineLevel="0" collapsed="false">
      <c r="A26" s="12" t="s">
        <v>127</v>
      </c>
      <c r="B26" s="4" t="s">
        <v>46</v>
      </c>
      <c r="C26" s="33" t="n">
        <f aca="false">IF(D26="",E26,CHOOSE($C$3,D26,E26,F26))</f>
        <v>0.35</v>
      </c>
      <c r="D26" s="34" t="n">
        <v>0.3</v>
      </c>
      <c r="E26" s="34" t="n">
        <v>0.35</v>
      </c>
      <c r="F26" s="34" t="n">
        <v>0.4</v>
      </c>
      <c r="G26" s="4" t="s">
        <v>83</v>
      </c>
      <c r="H26" s="30" t="s">
        <v>128</v>
      </c>
      <c r="I26" s="30"/>
    </row>
    <row r="27" customFormat="false" ht="15" hidden="false" customHeight="true" outlineLevel="0" collapsed="false">
      <c r="A27" s="12" t="s">
        <v>129</v>
      </c>
      <c r="B27" s="4" t="s">
        <v>62</v>
      </c>
      <c r="C27" s="35" t="n">
        <f aca="false">IF(D27="",E27,CHOOSE($C$3,D27,E27,F27))</f>
        <v>3</v>
      </c>
      <c r="D27" s="36" t="n">
        <v>4</v>
      </c>
      <c r="E27" s="36" t="n">
        <v>3</v>
      </c>
      <c r="F27" s="36" t="n">
        <v>2</v>
      </c>
      <c r="G27" s="4" t="s">
        <v>117</v>
      </c>
      <c r="H27" s="30" t="s">
        <v>130</v>
      </c>
      <c r="I27" s="30" t="s">
        <v>131</v>
      </c>
    </row>
    <row r="28" customFormat="false" ht="15" hidden="false" customHeight="true" outlineLevel="0" collapsed="false">
      <c r="A28" s="12" t="s">
        <v>132</v>
      </c>
      <c r="B28" s="4" t="s">
        <v>62</v>
      </c>
      <c r="C28" s="35" t="n">
        <f aca="false">IF(D28="",E28,CHOOSE($C$3,D28,E28,F28))</f>
        <v>3</v>
      </c>
      <c r="E28" s="36" t="n">
        <v>3</v>
      </c>
      <c r="G28" s="4" t="s">
        <v>83</v>
      </c>
      <c r="H28" s="30" t="s">
        <v>133</v>
      </c>
      <c r="I28" s="30"/>
    </row>
    <row r="29" customFormat="false" ht="15" hidden="false" customHeight="true" outlineLevel="0" collapsed="false">
      <c r="A29" s="12" t="s">
        <v>134</v>
      </c>
      <c r="B29" s="4" t="s">
        <v>46</v>
      </c>
      <c r="C29" s="33" t="n">
        <f aca="false">IF(D29="",E29,CHOOSE($C$3,D29,E29,F29))</f>
        <v>0.55</v>
      </c>
      <c r="D29" s="34" t="n">
        <v>0.4</v>
      </c>
      <c r="E29" s="34" t="n">
        <v>0.55</v>
      </c>
      <c r="F29" s="34" t="n">
        <v>0.65</v>
      </c>
      <c r="G29" s="4" t="s">
        <v>117</v>
      </c>
      <c r="H29" s="30" t="s">
        <v>135</v>
      </c>
      <c r="I29" s="30" t="s">
        <v>136</v>
      </c>
    </row>
    <row r="30" customFormat="false" ht="15" hidden="false" customHeight="true" outlineLevel="0" collapsed="false">
      <c r="A30" s="12" t="s">
        <v>137</v>
      </c>
      <c r="B30" s="4" t="s">
        <v>138</v>
      </c>
      <c r="C30" s="31" t="n">
        <f aca="false">IF(D30="",E30,CHOOSE($C$3,D30,E30,F30))</f>
        <v>1</v>
      </c>
      <c r="D30" s="32" t="n">
        <v>0.5</v>
      </c>
      <c r="E30" s="32" t="n">
        <v>1</v>
      </c>
      <c r="F30" s="32" t="n">
        <v>1.5</v>
      </c>
      <c r="G30" s="4" t="s">
        <v>83</v>
      </c>
      <c r="H30" s="30" t="s">
        <v>139</v>
      </c>
      <c r="I30" s="30"/>
    </row>
    <row r="32" customFormat="false" ht="15" hidden="false" customHeight="true" outlineLevel="0" collapsed="false">
      <c r="A32" s="10" t="s">
        <v>140</v>
      </c>
      <c r="B32" s="11"/>
      <c r="C32" s="11"/>
      <c r="D32" s="11"/>
      <c r="E32" s="11"/>
      <c r="F32" s="11"/>
      <c r="G32" s="11"/>
      <c r="H32" s="11"/>
      <c r="I32" s="11"/>
    </row>
    <row r="33" customFormat="false" ht="21.75" hidden="false" customHeight="true" outlineLevel="0" collapsed="false">
      <c r="A33" s="12" t="s">
        <v>141</v>
      </c>
      <c r="B33" s="4" t="s">
        <v>62</v>
      </c>
      <c r="C33" s="35" t="n">
        <f aca="false">IF(D33="",E33,CHOOSE($C$3,D33,E33,F33))</f>
        <v>2</v>
      </c>
      <c r="D33" s="36" t="n">
        <v>3</v>
      </c>
      <c r="E33" s="36" t="n">
        <v>2</v>
      </c>
      <c r="F33" s="36" t="n">
        <v>2</v>
      </c>
      <c r="G33" s="4" t="s">
        <v>83</v>
      </c>
      <c r="H33" s="30" t="s">
        <v>142</v>
      </c>
      <c r="I33" s="30"/>
    </row>
    <row r="34" customFormat="false" ht="15" hidden="false" customHeight="true" outlineLevel="0" collapsed="false">
      <c r="A34" s="12" t="s">
        <v>143</v>
      </c>
      <c r="B34" s="4" t="s">
        <v>29</v>
      </c>
      <c r="C34" s="31" t="n">
        <f aca="false">IF(D34="",E34,CHOOSE($C$3,D34,E34,F34))</f>
        <v>3</v>
      </c>
      <c r="D34" s="32" t="n">
        <v>2</v>
      </c>
      <c r="E34" s="32" t="n">
        <v>3</v>
      </c>
      <c r="F34" s="32" t="n">
        <v>3.5</v>
      </c>
      <c r="G34" s="4" t="s">
        <v>83</v>
      </c>
      <c r="H34" s="30" t="s">
        <v>144</v>
      </c>
      <c r="I34" s="30"/>
    </row>
    <row r="35" customFormat="false" ht="15" hidden="false" customHeight="true" outlineLevel="0" collapsed="false">
      <c r="A35" s="12" t="s">
        <v>145</v>
      </c>
      <c r="B35" s="4" t="s">
        <v>37</v>
      </c>
      <c r="C35" s="31" t="n">
        <f aca="false">IF(D35="",E35,CHOOSE($C$3,D35,E35,F35))</f>
        <v>0.5</v>
      </c>
      <c r="E35" s="32" t="n">
        <v>0.5</v>
      </c>
      <c r="G35" s="4" t="s">
        <v>83</v>
      </c>
      <c r="H35" s="30" t="s">
        <v>146</v>
      </c>
      <c r="I35" s="30"/>
    </row>
    <row r="36" customFormat="false" ht="15" hidden="false" customHeight="true" outlineLevel="0" collapsed="false">
      <c r="A36" s="12" t="s">
        <v>147</v>
      </c>
      <c r="B36" s="4" t="s">
        <v>148</v>
      </c>
      <c r="C36" s="35" t="n">
        <f aca="false">IF(D36="",E36,CHOOSE($C$3,D36,E36,F36))</f>
        <v>3</v>
      </c>
      <c r="E36" s="36" t="n">
        <v>3</v>
      </c>
      <c r="G36" s="4" t="s">
        <v>83</v>
      </c>
      <c r="H36" s="30" t="s">
        <v>149</v>
      </c>
      <c r="I36" s="30"/>
    </row>
    <row r="37" customFormat="false" ht="15" hidden="false" customHeight="true" outlineLevel="0" collapsed="false">
      <c r="A37" s="12" t="s">
        <v>150</v>
      </c>
      <c r="B37" s="4" t="s">
        <v>29</v>
      </c>
      <c r="C37" s="35" t="n">
        <f aca="false">IF(D37="",E37,CHOOSE($C$3,D37,E37,F37))</f>
        <v>1</v>
      </c>
      <c r="E37" s="36" t="n">
        <v>1</v>
      </c>
      <c r="G37" s="4" t="s">
        <v>83</v>
      </c>
      <c r="H37" s="30"/>
      <c r="I37" s="30"/>
    </row>
    <row r="38" customFormat="false" ht="15" hidden="false" customHeight="true" outlineLevel="0" collapsed="false">
      <c r="A38" s="12" t="s">
        <v>151</v>
      </c>
      <c r="B38" s="4" t="s">
        <v>44</v>
      </c>
      <c r="C38" s="31" t="n">
        <f aca="false">IF(D38="",E38,CHOOSE($C$3,D38,E38,F38))</f>
        <v>2.5</v>
      </c>
      <c r="E38" s="32" t="n">
        <v>2.5</v>
      </c>
      <c r="G38" s="4" t="s">
        <v>83</v>
      </c>
      <c r="H38" s="30" t="s">
        <v>152</v>
      </c>
      <c r="I38" s="30" t="s">
        <v>153</v>
      </c>
    </row>
    <row r="39" customFormat="false" ht="15" hidden="false" customHeight="true" outlineLevel="0" collapsed="false">
      <c r="A39" s="12" t="s">
        <v>154</v>
      </c>
      <c r="B39" s="4" t="s">
        <v>37</v>
      </c>
      <c r="C39" s="31" t="n">
        <f aca="false">IF(D39="",E39,CHOOSE($C$3,D39,E39,F39))</f>
        <v>1</v>
      </c>
      <c r="D39" s="32" t="n">
        <v>1.3</v>
      </c>
      <c r="E39" s="32" t="n">
        <v>1</v>
      </c>
      <c r="F39" s="32" t="n">
        <v>0.85</v>
      </c>
      <c r="G39" s="4" t="s">
        <v>83</v>
      </c>
      <c r="H39" s="30" t="s">
        <v>155</v>
      </c>
      <c r="I39" s="30"/>
    </row>
    <row r="40" customFormat="false" ht="15" hidden="false" customHeight="true" outlineLevel="0" collapsed="false">
      <c r="A40" s="12" t="s">
        <v>156</v>
      </c>
      <c r="B40" s="4" t="s">
        <v>44</v>
      </c>
      <c r="C40" s="31" t="n">
        <f aca="false">IF(D40="",E40,CHOOSE($C$3,D40,E40,F40))</f>
        <v>1</v>
      </c>
      <c r="E40" s="32" t="n">
        <v>1</v>
      </c>
      <c r="G40" s="4" t="s">
        <v>83</v>
      </c>
      <c r="H40" s="30" t="s">
        <v>157</v>
      </c>
      <c r="I40" s="30"/>
    </row>
    <row r="41" customFormat="false" ht="15" hidden="false" customHeight="true" outlineLevel="0" collapsed="false">
      <c r="A41" s="12" t="s">
        <v>158</v>
      </c>
      <c r="B41" s="4" t="s">
        <v>46</v>
      </c>
      <c r="C41" s="33" t="n">
        <f aca="false">IF(D41="",E41,CHOOSE($C$3,D41,E41,F41))</f>
        <v>0.5</v>
      </c>
      <c r="D41" s="34" t="n">
        <v>0.6</v>
      </c>
      <c r="E41" s="34" t="n">
        <v>0.5</v>
      </c>
      <c r="F41" s="34" t="n">
        <v>0.4</v>
      </c>
      <c r="G41" s="4" t="s">
        <v>117</v>
      </c>
      <c r="H41" s="30" t="s">
        <v>159</v>
      </c>
      <c r="I41" s="30" t="s">
        <v>160</v>
      </c>
    </row>
    <row r="42" customFormat="false" ht="15" hidden="false" customHeight="true" outlineLevel="0" collapsed="false">
      <c r="A42" s="12" t="s">
        <v>161</v>
      </c>
      <c r="B42" s="4" t="s">
        <v>29</v>
      </c>
      <c r="C42" s="35" t="n">
        <f aca="false">IF(D42="",E42,CHOOSE($C$3,D42,E42,F42))</f>
        <v>20</v>
      </c>
      <c r="E42" s="36" t="n">
        <v>20</v>
      </c>
      <c r="G42" s="4" t="s">
        <v>83</v>
      </c>
      <c r="H42" s="30" t="s">
        <v>162</v>
      </c>
      <c r="I42" s="30"/>
    </row>
    <row r="43" customFormat="false" ht="21.75" hidden="false" customHeight="true" outlineLevel="0" collapsed="false">
      <c r="A43" s="12" t="s">
        <v>163</v>
      </c>
      <c r="B43" s="4" t="s">
        <v>44</v>
      </c>
      <c r="C43" s="31" t="n">
        <f aca="false">IF(D43="",E43,CHOOSE($C$3,D43,E43,F43))</f>
        <v>3.5</v>
      </c>
      <c r="E43" s="32" t="n">
        <v>3.5</v>
      </c>
      <c r="G43" s="4" t="s">
        <v>83</v>
      </c>
      <c r="H43" s="30" t="s">
        <v>164</v>
      </c>
      <c r="I43" s="30"/>
    </row>
    <row r="44" customFormat="false" ht="15" hidden="false" customHeight="true" outlineLevel="0" collapsed="false">
      <c r="A44" s="12" t="s">
        <v>165</v>
      </c>
      <c r="B44" s="4" t="s">
        <v>46</v>
      </c>
      <c r="C44" s="33" t="n">
        <f aca="false">IF(D44="",E44,CHOOSE($C$3,D44,E44,F44))</f>
        <v>0.1</v>
      </c>
      <c r="E44" s="34" t="n">
        <v>0.1</v>
      </c>
      <c r="G44" s="4" t="s">
        <v>83</v>
      </c>
      <c r="H44" s="30" t="s">
        <v>166</v>
      </c>
      <c r="I44" s="30"/>
    </row>
    <row r="46" customFormat="false" ht="15" hidden="false" customHeight="true" outlineLevel="0" collapsed="false">
      <c r="A46" s="10" t="s">
        <v>167</v>
      </c>
      <c r="B46" s="11"/>
      <c r="C46" s="11"/>
      <c r="D46" s="11"/>
      <c r="E46" s="11"/>
      <c r="F46" s="11"/>
      <c r="G46" s="11"/>
      <c r="H46" s="11"/>
      <c r="I46" s="11"/>
    </row>
    <row r="47" customFormat="false" ht="21.75" hidden="false" customHeight="true" outlineLevel="0" collapsed="false">
      <c r="A47" s="12" t="s">
        <v>168</v>
      </c>
      <c r="B47" s="4" t="s">
        <v>37</v>
      </c>
      <c r="C47" s="31" t="n">
        <f aca="false">IF(D47="",E47,CHOOSE($C$3,D47,E47,F47))</f>
        <v>1</v>
      </c>
      <c r="D47" s="32" t="n">
        <v>1</v>
      </c>
      <c r="E47" s="32" t="n">
        <v>1</v>
      </c>
      <c r="F47" s="32" t="n">
        <v>1</v>
      </c>
      <c r="G47" s="4" t="s">
        <v>117</v>
      </c>
      <c r="H47" s="30" t="s">
        <v>169</v>
      </c>
      <c r="I47" s="30" t="s">
        <v>170</v>
      </c>
    </row>
    <row r="48" customFormat="false" ht="15" hidden="false" customHeight="true" outlineLevel="0" collapsed="false">
      <c r="A48" s="12" t="s">
        <v>171</v>
      </c>
      <c r="B48" s="4" t="s">
        <v>96</v>
      </c>
      <c r="C48" s="33" t="n">
        <f aca="false">IF(D48="",E48,CHOOSE($C$3,D48,E48,F48))</f>
        <v>0.05</v>
      </c>
      <c r="D48" s="34" t="n">
        <v>0.03</v>
      </c>
      <c r="E48" s="34" t="n">
        <v>0.05</v>
      </c>
      <c r="F48" s="34" t="n">
        <v>0.05</v>
      </c>
      <c r="G48" s="4" t="s">
        <v>83</v>
      </c>
      <c r="H48" s="30" t="s">
        <v>172</v>
      </c>
      <c r="I48" s="30"/>
    </row>
    <row r="49" customFormat="false" ht="15" hidden="false" customHeight="true" outlineLevel="0" collapsed="false">
      <c r="A49" s="12" t="s">
        <v>173</v>
      </c>
      <c r="B49" s="4" t="s">
        <v>174</v>
      </c>
      <c r="C49" s="33" t="n">
        <f aca="false">IF(D49="",E49,CHOOSE($C$3,D49,E49,F49))</f>
        <v>0.1</v>
      </c>
      <c r="D49" s="34" t="n">
        <v>0.05</v>
      </c>
      <c r="E49" s="34" t="n">
        <v>0.1</v>
      </c>
      <c r="F49" s="34" t="n">
        <v>0.15</v>
      </c>
      <c r="G49" s="4" t="s">
        <v>83</v>
      </c>
      <c r="H49" s="30" t="s">
        <v>175</v>
      </c>
      <c r="I49" s="30" t="s">
        <v>176</v>
      </c>
    </row>
    <row r="50" customFormat="false" ht="15" hidden="false" customHeight="true" outlineLevel="0" collapsed="false">
      <c r="A50" s="12" t="s">
        <v>177</v>
      </c>
      <c r="B50" s="4" t="s">
        <v>96</v>
      </c>
      <c r="C50" s="33" t="n">
        <f aca="false">IF(D50="",E50,CHOOSE($C$3,D50,E50,F50))</f>
        <v>0.09</v>
      </c>
      <c r="D50" s="34" t="n">
        <v>0.15</v>
      </c>
      <c r="E50" s="37" t="n">
        <v>0.09</v>
      </c>
      <c r="F50" s="37" t="n">
        <v>0.06</v>
      </c>
      <c r="G50" s="4" t="s">
        <v>117</v>
      </c>
      <c r="H50" s="30" t="s">
        <v>178</v>
      </c>
      <c r="I50" s="30" t="s">
        <v>179</v>
      </c>
    </row>
    <row r="51" customFormat="false" ht="15" hidden="false" customHeight="true" outlineLevel="0" collapsed="false">
      <c r="A51" s="12" t="s">
        <v>180</v>
      </c>
      <c r="B51" s="4" t="s">
        <v>44</v>
      </c>
      <c r="C51" s="31" t="n">
        <f aca="false">IF(D51="",E51,CHOOSE($C$3,D51,E51,F51))</f>
        <v>2.5</v>
      </c>
      <c r="D51" s="32" t="n">
        <v>1.5</v>
      </c>
      <c r="E51" s="32" t="n">
        <v>2.5</v>
      </c>
      <c r="F51" s="32" t="n">
        <v>3</v>
      </c>
      <c r="G51" s="4" t="s">
        <v>117</v>
      </c>
      <c r="H51" s="30" t="s">
        <v>181</v>
      </c>
      <c r="I51" s="30"/>
    </row>
    <row r="52" customFormat="false" ht="21.75" hidden="false" customHeight="true" outlineLevel="0" collapsed="false">
      <c r="A52" s="12" t="s">
        <v>182</v>
      </c>
      <c r="B52" s="4" t="s">
        <v>44</v>
      </c>
      <c r="C52" s="31" t="n">
        <f aca="false">IF(D52="",E52,CHOOSE($C$3,D52,E52,F52))</f>
        <v>0.1453125</v>
      </c>
      <c r="D52" s="12" t="n">
        <f aca="false">D153*D154*D155*D156/12</f>
        <v>0</v>
      </c>
      <c r="E52" s="18" t="n">
        <f aca="false">E153*E154*E155*E156/12</f>
        <v>0.1453125</v>
      </c>
      <c r="F52" s="12" t="n">
        <f aca="false">F153*F154*F155*F156/12</f>
        <v>0.406875</v>
      </c>
      <c r="G52" s="4" t="s">
        <v>183</v>
      </c>
      <c r="H52" s="30" t="s">
        <v>184</v>
      </c>
      <c r="I52" s="30"/>
    </row>
    <row r="54" customFormat="false" ht="15" hidden="false" customHeight="true" outlineLevel="0" collapsed="false">
      <c r="A54" s="10" t="s">
        <v>185</v>
      </c>
      <c r="B54" s="11"/>
      <c r="C54" s="11"/>
      <c r="D54" s="11"/>
      <c r="E54" s="11"/>
      <c r="F54" s="11"/>
      <c r="G54" s="11"/>
      <c r="H54" s="11"/>
      <c r="I54" s="11"/>
    </row>
    <row r="55" customFormat="false" ht="15" hidden="false" customHeight="true" outlineLevel="0" collapsed="false">
      <c r="A55" s="12" t="s">
        <v>186</v>
      </c>
      <c r="B55" s="4" t="s">
        <v>187</v>
      </c>
      <c r="C55" s="31" t="n">
        <f aca="false">IF(D55="",E55,CHOOSE($C$3,D55,E55,F55))</f>
        <v>0.07</v>
      </c>
      <c r="E55" s="32" t="n">
        <v>0.07</v>
      </c>
      <c r="G55" s="4" t="s">
        <v>83</v>
      </c>
      <c r="H55" s="30" t="s">
        <v>188</v>
      </c>
      <c r="I55" s="30" t="s">
        <v>189</v>
      </c>
    </row>
    <row r="56" customFormat="false" ht="15" hidden="false" customHeight="true" outlineLevel="0" collapsed="false">
      <c r="A56" s="12" t="s">
        <v>190</v>
      </c>
      <c r="B56" s="4" t="s">
        <v>187</v>
      </c>
      <c r="C56" s="31" t="n">
        <f aca="false">IF(D56="",E56,CHOOSE($C$3,D56,E56,F56))</f>
        <v>0.03</v>
      </c>
      <c r="E56" s="32" t="n">
        <v>0.03</v>
      </c>
      <c r="G56" s="4" t="s">
        <v>83</v>
      </c>
      <c r="H56" s="30" t="s">
        <v>191</v>
      </c>
      <c r="I56" s="30"/>
    </row>
    <row r="57" customFormat="false" ht="15" hidden="false" customHeight="true" outlineLevel="0" collapsed="false">
      <c r="A57" s="12" t="s">
        <v>192</v>
      </c>
      <c r="B57" s="4" t="s">
        <v>187</v>
      </c>
      <c r="C57" s="31" t="n">
        <f aca="false">IF(D57="",E57,CHOOSE($C$3,D57,E57,F57))</f>
        <v>0.02</v>
      </c>
      <c r="E57" s="32" t="n">
        <v>0.02</v>
      </c>
      <c r="G57" s="4" t="s">
        <v>83</v>
      </c>
      <c r="H57" s="30" t="s">
        <v>193</v>
      </c>
      <c r="I57" s="30"/>
    </row>
    <row r="58" customFormat="false" ht="15" hidden="false" customHeight="true" outlineLevel="0" collapsed="false">
      <c r="A58" s="12" t="s">
        <v>194</v>
      </c>
      <c r="B58" s="4" t="s">
        <v>187</v>
      </c>
      <c r="C58" s="31" t="n">
        <f aca="false">IF(D58="",E58,CHOOSE($C$3,D58,E58,F58))</f>
        <v>0.025</v>
      </c>
      <c r="E58" s="32" t="n">
        <v>0.025</v>
      </c>
      <c r="G58" s="4" t="s">
        <v>83</v>
      </c>
      <c r="H58" s="30" t="s">
        <v>195</v>
      </c>
      <c r="I58" s="30"/>
    </row>
    <row r="59" customFormat="false" ht="15" hidden="false" customHeight="true" outlineLevel="0" collapsed="false">
      <c r="A59" s="12" t="s">
        <v>196</v>
      </c>
      <c r="B59" s="4" t="s">
        <v>187</v>
      </c>
      <c r="C59" s="31" t="n">
        <f aca="false">IF(D59="",E59,CHOOSE($C$3,D59,E59,F59))</f>
        <v>0.025</v>
      </c>
      <c r="E59" s="32" t="n">
        <v>0.025</v>
      </c>
      <c r="G59" s="4" t="s">
        <v>83</v>
      </c>
      <c r="H59" s="30" t="s">
        <v>197</v>
      </c>
      <c r="I59" s="30"/>
    </row>
    <row r="60" customFormat="false" ht="15" hidden="false" customHeight="true" outlineLevel="0" collapsed="false">
      <c r="A60" s="12" t="s">
        <v>198</v>
      </c>
      <c r="B60" s="4" t="s">
        <v>37</v>
      </c>
      <c r="C60" s="31" t="n">
        <f aca="false">IF(D60="",E60,CHOOSE($C$3,D60,E60,F60))</f>
        <v>1</v>
      </c>
      <c r="D60" s="32" t="n">
        <v>1.25</v>
      </c>
      <c r="E60" s="32" t="n">
        <v>1</v>
      </c>
      <c r="F60" s="32" t="n">
        <v>0.9</v>
      </c>
      <c r="G60" s="4" t="s">
        <v>83</v>
      </c>
      <c r="H60" s="30" t="s">
        <v>199</v>
      </c>
      <c r="I60" s="30"/>
    </row>
    <row r="61" customFormat="false" ht="21.75" hidden="false" customHeight="true" outlineLevel="0" collapsed="false">
      <c r="A61" s="12" t="s">
        <v>200</v>
      </c>
      <c r="B61" s="4" t="s">
        <v>96</v>
      </c>
      <c r="C61" s="33" t="n">
        <f aca="false">IF(D61="",E61,CHOOSE($C$3,D61,E61,F61))</f>
        <v>-0.05</v>
      </c>
      <c r="D61" s="34" t="n">
        <v>0</v>
      </c>
      <c r="E61" s="34" t="n">
        <v>-0.05</v>
      </c>
      <c r="F61" s="34" t="n">
        <v>-0.1</v>
      </c>
      <c r="G61" s="4" t="s">
        <v>83</v>
      </c>
      <c r="H61" s="30" t="s">
        <v>201</v>
      </c>
      <c r="I61" s="30"/>
    </row>
    <row r="62" customFormat="false" ht="15" hidden="false" customHeight="true" outlineLevel="0" collapsed="false">
      <c r="A62" s="12" t="s">
        <v>202</v>
      </c>
      <c r="B62" s="4" t="s">
        <v>203</v>
      </c>
      <c r="C62" s="31" t="n">
        <f aca="false">IF(D62="",E62,CHOOSE($C$3,D62,E62,F62))</f>
        <v>1.5</v>
      </c>
      <c r="E62" s="32" t="n">
        <v>1.5</v>
      </c>
      <c r="G62" s="4" t="s">
        <v>83</v>
      </c>
      <c r="H62" s="30" t="s">
        <v>204</v>
      </c>
      <c r="I62" s="30"/>
    </row>
    <row r="63" customFormat="false" ht="15" hidden="false" customHeight="true" outlineLevel="0" collapsed="false">
      <c r="A63" s="12" t="s">
        <v>205</v>
      </c>
      <c r="B63" s="4" t="s">
        <v>148</v>
      </c>
      <c r="C63" s="35" t="n">
        <f aca="false">IF(D63="",E63,CHOOSE($C$3,D63,E63,F63))</f>
        <v>3</v>
      </c>
      <c r="E63" s="36" t="n">
        <v>3</v>
      </c>
      <c r="G63" s="4" t="s">
        <v>83</v>
      </c>
      <c r="H63" s="30"/>
      <c r="I63" s="30"/>
    </row>
    <row r="64" customFormat="false" ht="15" hidden="false" customHeight="true" outlineLevel="0" collapsed="false">
      <c r="A64" s="12" t="s">
        <v>206</v>
      </c>
      <c r="B64" s="4" t="s">
        <v>29</v>
      </c>
      <c r="C64" s="35" t="n">
        <f aca="false">IF(D64="",E64,CHOOSE($C$3,D64,E64,F64))</f>
        <v>25</v>
      </c>
      <c r="D64" s="36" t="n">
        <v>20</v>
      </c>
      <c r="E64" s="36" t="n">
        <v>25</v>
      </c>
      <c r="F64" s="36" t="n">
        <v>30</v>
      </c>
      <c r="G64" s="4" t="s">
        <v>83</v>
      </c>
      <c r="H64" s="30" t="s">
        <v>207</v>
      </c>
      <c r="I64" s="30"/>
    </row>
    <row r="65" customFormat="false" ht="15" hidden="false" customHeight="true" outlineLevel="0" collapsed="false">
      <c r="A65" s="12" t="s">
        <v>208</v>
      </c>
      <c r="B65" s="4" t="s">
        <v>29</v>
      </c>
      <c r="C65" s="35" t="n">
        <f aca="false">IF(D65="",E65,CHOOSE($C$3,D65,E65,F65))</f>
        <v>30</v>
      </c>
      <c r="E65" s="36" t="n">
        <v>30</v>
      </c>
      <c r="G65" s="4" t="s">
        <v>83</v>
      </c>
      <c r="H65" s="30" t="s">
        <v>209</v>
      </c>
      <c r="I65" s="30"/>
    </row>
    <row r="67" customFormat="false" ht="15" hidden="false" customHeight="true" outlineLevel="0" collapsed="false">
      <c r="A67" s="10" t="s">
        <v>210</v>
      </c>
      <c r="B67" s="11"/>
      <c r="C67" s="11"/>
      <c r="D67" s="11"/>
      <c r="E67" s="11"/>
      <c r="F67" s="11"/>
      <c r="G67" s="11"/>
      <c r="H67" s="11"/>
      <c r="I67" s="11"/>
    </row>
    <row r="68" customFormat="false" ht="15" hidden="false" customHeight="true" outlineLevel="0" collapsed="false">
      <c r="A68" s="12" t="s">
        <v>211</v>
      </c>
      <c r="B68" s="4" t="s">
        <v>212</v>
      </c>
      <c r="C68" s="31" t="n">
        <f aca="false">IF(D68="",E68,CHOOSE($C$3,D68,E68,F68))</f>
        <v>12</v>
      </c>
      <c r="E68" s="32" t="n">
        <v>12</v>
      </c>
      <c r="G68" s="4" t="s">
        <v>83</v>
      </c>
      <c r="H68" s="30" t="s">
        <v>213</v>
      </c>
      <c r="I68" s="30"/>
    </row>
    <row r="69" customFormat="false" ht="21.75" hidden="false" customHeight="true" outlineLevel="0" collapsed="false">
      <c r="A69" s="12" t="s">
        <v>214</v>
      </c>
      <c r="B69" s="4" t="s">
        <v>212</v>
      </c>
      <c r="C69" s="31" t="n">
        <f aca="false">IF(D69="",E69,CHOOSE($C$3,D69,E69,F69))</f>
        <v>18</v>
      </c>
      <c r="E69" s="32" t="n">
        <v>18</v>
      </c>
      <c r="G69" s="4" t="s">
        <v>117</v>
      </c>
      <c r="H69" s="30" t="s">
        <v>215</v>
      </c>
      <c r="I69" s="30"/>
    </row>
    <row r="70" customFormat="false" ht="15" hidden="false" customHeight="true" outlineLevel="0" collapsed="false">
      <c r="A70" s="12" t="s">
        <v>216</v>
      </c>
      <c r="B70" s="4" t="s">
        <v>212</v>
      </c>
      <c r="C70" s="31" t="n">
        <f aca="false">IF(D70="",E70,CHOOSE($C$3,D70,E70,F70))</f>
        <v>14</v>
      </c>
      <c r="E70" s="32" t="n">
        <v>14</v>
      </c>
      <c r="G70" s="4" t="s">
        <v>83</v>
      </c>
      <c r="H70" s="30" t="s">
        <v>213</v>
      </c>
      <c r="I70" s="30"/>
    </row>
    <row r="71" customFormat="false" ht="15" hidden="false" customHeight="true" outlineLevel="0" collapsed="false">
      <c r="A71" s="12" t="s">
        <v>217</v>
      </c>
      <c r="B71" s="4" t="s">
        <v>212</v>
      </c>
      <c r="C71" s="31" t="n">
        <f aca="false">IF(D71="",E71,CHOOSE($C$3,D71,E71,F71))</f>
        <v>15</v>
      </c>
      <c r="E71" s="32" t="n">
        <v>15</v>
      </c>
      <c r="G71" s="4" t="s">
        <v>83</v>
      </c>
      <c r="H71" s="30" t="s">
        <v>213</v>
      </c>
      <c r="I71" s="30"/>
    </row>
    <row r="72" customFormat="false" ht="15" hidden="false" customHeight="true" outlineLevel="0" collapsed="false">
      <c r="A72" s="12" t="s">
        <v>218</v>
      </c>
      <c r="B72" s="4" t="s">
        <v>212</v>
      </c>
      <c r="C72" s="31" t="n">
        <f aca="false">IF(D72="",E72,CHOOSE($C$3,D72,E72,F72))</f>
        <v>12</v>
      </c>
      <c r="E72" s="32" t="n">
        <v>12</v>
      </c>
      <c r="G72" s="4" t="s">
        <v>83</v>
      </c>
      <c r="H72" s="30" t="s">
        <v>213</v>
      </c>
      <c r="I72" s="30"/>
    </row>
    <row r="73" customFormat="false" ht="15" hidden="false" customHeight="true" outlineLevel="0" collapsed="false">
      <c r="A73" s="12" t="s">
        <v>219</v>
      </c>
      <c r="B73" s="4" t="s">
        <v>212</v>
      </c>
      <c r="C73" s="31" t="n">
        <f aca="false">IF(D73="",E73,CHOOSE($C$3,D73,E73,F73))</f>
        <v>24</v>
      </c>
      <c r="E73" s="32" t="n">
        <v>24</v>
      </c>
      <c r="G73" s="4" t="s">
        <v>83</v>
      </c>
      <c r="H73" s="30" t="s">
        <v>213</v>
      </c>
      <c r="I73" s="30"/>
    </row>
    <row r="74" customFormat="false" ht="15" hidden="false" customHeight="true" outlineLevel="0" collapsed="false">
      <c r="A74" s="12" t="s">
        <v>220</v>
      </c>
      <c r="B74" s="4" t="s">
        <v>212</v>
      </c>
      <c r="C74" s="31" t="n">
        <f aca="false">IF(D74="",E74,CHOOSE($C$3,D74,E74,F74))</f>
        <v>10</v>
      </c>
      <c r="E74" s="32" t="n">
        <v>10</v>
      </c>
      <c r="G74" s="4" t="s">
        <v>83</v>
      </c>
      <c r="H74" s="30" t="s">
        <v>213</v>
      </c>
      <c r="I74" s="30"/>
    </row>
    <row r="75" customFormat="false" ht="15" hidden="false" customHeight="true" outlineLevel="0" collapsed="false">
      <c r="A75" s="12" t="s">
        <v>221</v>
      </c>
      <c r="B75" s="4" t="s">
        <v>212</v>
      </c>
      <c r="C75" s="31" t="n">
        <f aca="false">IF(D75="",E75,CHOOSE($C$3,D75,E75,F75))</f>
        <v>9</v>
      </c>
      <c r="E75" s="32" t="n">
        <v>9</v>
      </c>
      <c r="G75" s="4" t="s">
        <v>83</v>
      </c>
      <c r="H75" s="30" t="s">
        <v>213</v>
      </c>
      <c r="I75" s="30"/>
    </row>
    <row r="76" customFormat="false" ht="15" hidden="false" customHeight="true" outlineLevel="0" collapsed="false">
      <c r="A76" s="12" t="s">
        <v>222</v>
      </c>
      <c r="B76" s="4" t="s">
        <v>212</v>
      </c>
      <c r="C76" s="31" t="n">
        <f aca="false">IF(D76="",E76,CHOOSE($C$3,D76,E76,F76))</f>
        <v>6</v>
      </c>
      <c r="E76" s="32" t="n">
        <v>6</v>
      </c>
      <c r="G76" s="4" t="s">
        <v>83</v>
      </c>
      <c r="H76" s="30" t="s">
        <v>213</v>
      </c>
      <c r="I76" s="30"/>
    </row>
    <row r="77" customFormat="false" ht="15" hidden="false" customHeight="true" outlineLevel="0" collapsed="false">
      <c r="A77" s="12" t="s">
        <v>223</v>
      </c>
      <c r="B77" s="4" t="s">
        <v>212</v>
      </c>
      <c r="C77" s="31" t="n">
        <f aca="false">IF(D77="",E77,CHOOSE($C$3,D77,E77,F77))</f>
        <v>14</v>
      </c>
      <c r="E77" s="32" t="n">
        <v>14</v>
      </c>
      <c r="G77" s="4" t="s">
        <v>83</v>
      </c>
      <c r="H77" s="30" t="s">
        <v>213</v>
      </c>
      <c r="I77" s="30"/>
    </row>
    <row r="78" customFormat="false" ht="15" hidden="false" customHeight="true" outlineLevel="0" collapsed="false">
      <c r="A78" s="12" t="s">
        <v>224</v>
      </c>
      <c r="B78" s="4" t="s">
        <v>212</v>
      </c>
      <c r="C78" s="31" t="n">
        <f aca="false">IF(D78="",E78,CHOOSE($C$3,D78,E78,F78))</f>
        <v>15</v>
      </c>
      <c r="E78" s="32" t="n">
        <v>15</v>
      </c>
      <c r="G78" s="4" t="s">
        <v>83</v>
      </c>
      <c r="H78" s="30" t="s">
        <v>213</v>
      </c>
      <c r="I78" s="30"/>
    </row>
    <row r="79" customFormat="false" ht="15" hidden="false" customHeight="true" outlineLevel="0" collapsed="false">
      <c r="A79" s="12" t="s">
        <v>225</v>
      </c>
      <c r="B79" s="4" t="s">
        <v>212</v>
      </c>
      <c r="C79" s="31" t="n">
        <f aca="false">IF(D79="",E79,CHOOSE($C$3,D79,E79,F79))</f>
        <v>20</v>
      </c>
      <c r="E79" s="32" t="n">
        <v>20</v>
      </c>
      <c r="G79" s="4" t="s">
        <v>83</v>
      </c>
      <c r="H79" s="30" t="s">
        <v>213</v>
      </c>
      <c r="I79" s="30"/>
    </row>
    <row r="80" customFormat="false" ht="15" hidden="false" customHeight="true" outlineLevel="0" collapsed="false">
      <c r="A80" s="12" t="s">
        <v>226</v>
      </c>
      <c r="B80" s="4" t="s">
        <v>212</v>
      </c>
      <c r="C80" s="31" t="n">
        <f aca="false">IF(D80="",E80,CHOOSE($C$3,D80,E80,F80))</f>
        <v>12</v>
      </c>
      <c r="E80" s="32" t="n">
        <v>12</v>
      </c>
      <c r="G80" s="4" t="s">
        <v>83</v>
      </c>
      <c r="H80" s="30" t="s">
        <v>213</v>
      </c>
      <c r="I80" s="30"/>
    </row>
    <row r="81" customFormat="false" ht="15" hidden="false" customHeight="true" outlineLevel="0" collapsed="false">
      <c r="A81" s="12" t="s">
        <v>227</v>
      </c>
      <c r="B81" s="4" t="s">
        <v>212</v>
      </c>
      <c r="C81" s="31" t="n">
        <f aca="false">IF(D81="",E81,CHOOSE($C$3,D81,E81,F81))</f>
        <v>8</v>
      </c>
      <c r="E81" s="32" t="n">
        <v>8</v>
      </c>
      <c r="G81" s="4" t="s">
        <v>83</v>
      </c>
      <c r="H81" s="30" t="s">
        <v>213</v>
      </c>
      <c r="I81" s="30"/>
    </row>
    <row r="82" customFormat="false" ht="15" hidden="false" customHeight="true" outlineLevel="0" collapsed="false">
      <c r="A82" s="12" t="s">
        <v>228</v>
      </c>
      <c r="B82" s="4" t="s">
        <v>212</v>
      </c>
      <c r="C82" s="31" t="n">
        <f aca="false">IF(D82="",E82,CHOOSE($C$3,D82,E82,F82))</f>
        <v>20</v>
      </c>
      <c r="E82" s="32" t="n">
        <v>20</v>
      </c>
      <c r="G82" s="4" t="s">
        <v>83</v>
      </c>
      <c r="H82" s="30" t="s">
        <v>213</v>
      </c>
      <c r="I82" s="30"/>
    </row>
    <row r="83" customFormat="false" ht="15" hidden="false" customHeight="true" outlineLevel="0" collapsed="false">
      <c r="A83" s="12" t="s">
        <v>229</v>
      </c>
      <c r="B83" s="4" t="s">
        <v>29</v>
      </c>
      <c r="C83" s="35" t="n">
        <f aca="false">IF(D83="",E83,CHOOSE($C$3,D83,E83,F83))</f>
        <v>3</v>
      </c>
      <c r="E83" s="36" t="n">
        <v>3</v>
      </c>
      <c r="G83" s="4" t="s">
        <v>83</v>
      </c>
      <c r="H83" s="30"/>
      <c r="I83" s="30"/>
    </row>
    <row r="84" customFormat="false" ht="15" hidden="false" customHeight="true" outlineLevel="0" collapsed="false">
      <c r="A84" s="12" t="s">
        <v>230</v>
      </c>
      <c r="B84" s="4" t="s">
        <v>107</v>
      </c>
      <c r="C84" s="35" t="n">
        <f aca="false">IF(D84="",E84,CHOOSE($C$3,D84,E84,F84))</f>
        <v>3</v>
      </c>
      <c r="E84" s="36" t="n">
        <v>3</v>
      </c>
      <c r="G84" s="4" t="s">
        <v>83</v>
      </c>
      <c r="H84" s="30" t="s">
        <v>231</v>
      </c>
      <c r="I84" s="30"/>
    </row>
    <row r="86" customFormat="false" ht="15" hidden="false" customHeight="true" outlineLevel="0" collapsed="false">
      <c r="A86" s="10" t="s">
        <v>232</v>
      </c>
      <c r="B86" s="11"/>
      <c r="C86" s="11"/>
      <c r="D86" s="11"/>
      <c r="E86" s="11"/>
      <c r="F86" s="11"/>
      <c r="G86" s="11"/>
      <c r="H86" s="11"/>
      <c r="I86" s="11"/>
    </row>
    <row r="87" customFormat="false" ht="15" hidden="false" customHeight="true" outlineLevel="0" collapsed="false">
      <c r="A87" s="12" t="s">
        <v>233</v>
      </c>
      <c r="B87" s="4" t="s">
        <v>203</v>
      </c>
      <c r="C87" s="31" t="n">
        <f aca="false">IF(D87="",E87,CHOOSE($C$3,D87,E87,F87))</f>
        <v>0.6</v>
      </c>
      <c r="E87" s="32" t="n">
        <v>0.6</v>
      </c>
      <c r="G87" s="4" t="s">
        <v>83</v>
      </c>
      <c r="H87" s="30" t="s">
        <v>234</v>
      </c>
      <c r="I87" s="30"/>
    </row>
    <row r="88" customFormat="false" ht="15" hidden="false" customHeight="true" outlineLevel="0" collapsed="false">
      <c r="A88" s="12" t="s">
        <v>235</v>
      </c>
      <c r="B88" s="4" t="s">
        <v>46</v>
      </c>
      <c r="C88" s="33" t="n">
        <f aca="false">IF(D88="",E88,CHOOSE($C$3,D88,E88,F88))</f>
        <v>0.08</v>
      </c>
      <c r="E88" s="34" t="n">
        <v>0.08</v>
      </c>
      <c r="G88" s="4" t="s">
        <v>83</v>
      </c>
      <c r="H88" s="30" t="s">
        <v>236</v>
      </c>
      <c r="I88" s="30"/>
    </row>
    <row r="89" customFormat="false" ht="15" hidden="false" customHeight="true" outlineLevel="0" collapsed="false">
      <c r="A89" s="12" t="s">
        <v>237</v>
      </c>
      <c r="B89" s="4" t="s">
        <v>46</v>
      </c>
      <c r="C89" s="33" t="n">
        <f aca="false">IF(D89="",E89,CHOOSE($C$3,D89,E89,F89))</f>
        <v>0.2</v>
      </c>
      <c r="E89" s="34" t="n">
        <v>0.2</v>
      </c>
      <c r="G89" s="4" t="s">
        <v>83</v>
      </c>
      <c r="H89" s="30" t="s">
        <v>238</v>
      </c>
      <c r="I89" s="30" t="s">
        <v>239</v>
      </c>
    </row>
    <row r="90" customFormat="false" ht="15" hidden="false" customHeight="true" outlineLevel="0" collapsed="false">
      <c r="A90" s="12" t="s">
        <v>240</v>
      </c>
      <c r="B90" s="4" t="s">
        <v>203</v>
      </c>
      <c r="C90" s="31" t="n">
        <f aca="false">IF(D90="",E90,CHOOSE($C$3,D90,E90,F90))</f>
        <v>1.5</v>
      </c>
      <c r="E90" s="32" t="n">
        <v>1.5</v>
      </c>
      <c r="G90" s="4" t="s">
        <v>83</v>
      </c>
      <c r="H90" s="30" t="s">
        <v>241</v>
      </c>
      <c r="I90" s="30"/>
    </row>
    <row r="91" customFormat="false" ht="15" hidden="false" customHeight="true" outlineLevel="0" collapsed="false">
      <c r="A91" s="12" t="s">
        <v>242</v>
      </c>
      <c r="B91" s="4" t="s">
        <v>203</v>
      </c>
      <c r="C91" s="31" t="n">
        <f aca="false">IF(D91="",E91,CHOOSE($C$3,D91,E91,F91))</f>
        <v>0.15</v>
      </c>
      <c r="E91" s="32" t="n">
        <v>0.15</v>
      </c>
      <c r="G91" s="4" t="s">
        <v>83</v>
      </c>
      <c r="H91" s="30"/>
      <c r="I91" s="30"/>
    </row>
    <row r="92" customFormat="false" ht="15" hidden="false" customHeight="true" outlineLevel="0" collapsed="false">
      <c r="A92" s="12" t="s">
        <v>243</v>
      </c>
      <c r="B92" s="4" t="s">
        <v>203</v>
      </c>
      <c r="C92" s="31" t="n">
        <f aca="false">IF(D92="",E92,CHOOSE($C$3,D92,E92,F92))</f>
        <v>0.75</v>
      </c>
      <c r="E92" s="32" t="n">
        <v>0.75</v>
      </c>
      <c r="G92" s="4" t="s">
        <v>83</v>
      </c>
      <c r="H92" s="30"/>
      <c r="I92" s="30"/>
    </row>
    <row r="93" customFormat="false" ht="15" hidden="false" customHeight="true" outlineLevel="0" collapsed="false">
      <c r="A93" s="12" t="s">
        <v>244</v>
      </c>
      <c r="B93" s="4" t="s">
        <v>203</v>
      </c>
      <c r="C93" s="31" t="n">
        <f aca="false">IF(D93="",E93,CHOOSE($C$3,D93,E93,F93))</f>
        <v>0.12</v>
      </c>
      <c r="E93" s="32" t="n">
        <v>0.12</v>
      </c>
      <c r="G93" s="4" t="s">
        <v>83</v>
      </c>
      <c r="H93" s="30"/>
      <c r="I93" s="30"/>
    </row>
    <row r="94" customFormat="false" ht="15" hidden="false" customHeight="true" outlineLevel="0" collapsed="false">
      <c r="A94" s="12" t="s">
        <v>245</v>
      </c>
      <c r="B94" s="4" t="s">
        <v>203</v>
      </c>
      <c r="C94" s="31" t="n">
        <f aca="false">IF(D94="",E94,CHOOSE($C$3,D94,E94,F94))</f>
        <v>0.75</v>
      </c>
      <c r="E94" s="32" t="n">
        <v>0.75</v>
      </c>
      <c r="G94" s="4" t="s">
        <v>83</v>
      </c>
      <c r="H94" s="30"/>
      <c r="I94" s="30"/>
    </row>
    <row r="95" customFormat="false" ht="15" hidden="false" customHeight="true" outlineLevel="0" collapsed="false">
      <c r="A95" s="12" t="s">
        <v>246</v>
      </c>
      <c r="B95" s="4" t="s">
        <v>203</v>
      </c>
      <c r="C95" s="31" t="n">
        <f aca="false">IF(D95="",E95,CHOOSE($C$3,D95,E95,F95))</f>
        <v>0.25</v>
      </c>
      <c r="E95" s="32" t="n">
        <v>0.25</v>
      </c>
      <c r="G95" s="4" t="s">
        <v>83</v>
      </c>
      <c r="H95" s="30" t="s">
        <v>247</v>
      </c>
      <c r="I95" s="30"/>
    </row>
    <row r="96" customFormat="false" ht="15" hidden="false" customHeight="true" outlineLevel="0" collapsed="false">
      <c r="A96" s="12" t="s">
        <v>248</v>
      </c>
      <c r="B96" s="4" t="s">
        <v>148</v>
      </c>
      <c r="C96" s="35" t="n">
        <f aca="false">IF(D96="",E96,CHOOSE($C$3,D96,E96,F96))</f>
        <v>6</v>
      </c>
      <c r="E96" s="36" t="n">
        <v>6</v>
      </c>
      <c r="G96" s="4" t="s">
        <v>83</v>
      </c>
      <c r="H96" s="30"/>
      <c r="I96" s="30"/>
    </row>
    <row r="97" customFormat="false" ht="15" hidden="false" customHeight="true" outlineLevel="0" collapsed="false">
      <c r="A97" s="12" t="s">
        <v>249</v>
      </c>
      <c r="B97" s="4" t="s">
        <v>44</v>
      </c>
      <c r="C97" s="31" t="n">
        <f aca="false">IF(D97="",E97,CHOOSE($C$3,D97,E97,F97))</f>
        <v>0.75</v>
      </c>
      <c r="E97" s="32" t="n">
        <v>0.75</v>
      </c>
      <c r="G97" s="4" t="s">
        <v>83</v>
      </c>
      <c r="H97" s="30"/>
      <c r="I97" s="30"/>
    </row>
    <row r="98" customFormat="false" ht="15" hidden="false" customHeight="true" outlineLevel="0" collapsed="false">
      <c r="A98" s="12" t="s">
        <v>250</v>
      </c>
      <c r="B98" s="4" t="s">
        <v>44</v>
      </c>
      <c r="C98" s="31" t="n">
        <f aca="false">IF(D98="",E98,CHOOSE($C$3,D98,E98,F98))</f>
        <v>1.2</v>
      </c>
      <c r="E98" s="32" t="n">
        <v>1.2</v>
      </c>
      <c r="G98" s="4" t="s">
        <v>83</v>
      </c>
      <c r="H98" s="30"/>
      <c r="I98" s="30"/>
    </row>
    <row r="99" customFormat="false" ht="15" hidden="false" customHeight="true" outlineLevel="0" collapsed="false">
      <c r="A99" s="12" t="s">
        <v>251</v>
      </c>
      <c r="B99" s="4" t="s">
        <v>44</v>
      </c>
      <c r="C99" s="31" t="n">
        <f aca="false">IF(D99="",E99,CHOOSE($C$3,D99,E99,F99))</f>
        <v>10</v>
      </c>
      <c r="E99" s="32" t="n">
        <v>10</v>
      </c>
      <c r="G99" s="4" t="s">
        <v>83</v>
      </c>
      <c r="H99" s="30" t="s">
        <v>252</v>
      </c>
      <c r="I99" s="30"/>
    </row>
    <row r="100" customFormat="false" ht="15" hidden="false" customHeight="true" outlineLevel="0" collapsed="false">
      <c r="A100" s="12" t="s">
        <v>253</v>
      </c>
      <c r="B100" s="4" t="s">
        <v>148</v>
      </c>
      <c r="C100" s="35" t="n">
        <f aca="false">IF(D100="",E100,CHOOSE($C$3,D100,E100,F100))</f>
        <v>3</v>
      </c>
      <c r="E100" s="36" t="n">
        <v>3</v>
      </c>
      <c r="G100" s="4" t="s">
        <v>83</v>
      </c>
      <c r="H100" s="30"/>
      <c r="I100" s="30"/>
    </row>
    <row r="101" customFormat="false" ht="21.75" hidden="false" customHeight="true" outlineLevel="0" collapsed="false">
      <c r="A101" s="12" t="s">
        <v>254</v>
      </c>
      <c r="B101" s="4" t="s">
        <v>62</v>
      </c>
      <c r="C101" s="35" t="n">
        <f aca="false">IF(D101="",E101,CHOOSE($C$3,D101,E101,F101))</f>
        <v>36</v>
      </c>
      <c r="E101" s="36" t="n">
        <v>36</v>
      </c>
      <c r="G101" s="4" t="s">
        <v>83</v>
      </c>
      <c r="H101" s="30" t="s">
        <v>255</v>
      </c>
      <c r="I101" s="30"/>
    </row>
    <row r="102" customFormat="false" ht="21.75" hidden="false" customHeight="true" outlineLevel="0" collapsed="false">
      <c r="A102" s="12" t="s">
        <v>256</v>
      </c>
      <c r="B102" s="4" t="s">
        <v>257</v>
      </c>
      <c r="C102" s="35" t="n">
        <f aca="false">IF(D102="",E102,CHOOSE($C$3,D102,E102,F102))</f>
        <v>45</v>
      </c>
      <c r="D102" s="36" t="n">
        <v>75</v>
      </c>
      <c r="E102" s="36" t="n">
        <v>45</v>
      </c>
      <c r="F102" s="36" t="n">
        <v>30</v>
      </c>
      <c r="G102" s="4" t="s">
        <v>83</v>
      </c>
      <c r="H102" s="30" t="s">
        <v>258</v>
      </c>
      <c r="I102" s="30" t="s">
        <v>259</v>
      </c>
    </row>
    <row r="103" customFormat="false" ht="15" hidden="false" customHeight="true" outlineLevel="0" collapsed="false">
      <c r="A103" s="12" t="s">
        <v>260</v>
      </c>
      <c r="B103" s="4" t="s">
        <v>257</v>
      </c>
      <c r="C103" s="35" t="n">
        <f aca="false">IF(D103="",E103,CHOOSE($C$3,D103,E103,F103))</f>
        <v>30</v>
      </c>
      <c r="E103" s="36" t="n">
        <v>30</v>
      </c>
      <c r="G103" s="4" t="s">
        <v>83</v>
      </c>
      <c r="H103" s="30"/>
      <c r="I103" s="30"/>
    </row>
    <row r="104" customFormat="false" ht="15" hidden="false" customHeight="true" outlineLevel="0" collapsed="false">
      <c r="A104" s="12" t="s">
        <v>261</v>
      </c>
      <c r="B104" s="4" t="s">
        <v>62</v>
      </c>
      <c r="C104" s="31" t="n">
        <f aca="false">IF(D104="",E104,CHOOSE($C$3,D104,E104,F104))</f>
        <v>1.5</v>
      </c>
      <c r="E104" s="32" t="n">
        <v>1.5</v>
      </c>
      <c r="G104" s="4" t="s">
        <v>83</v>
      </c>
      <c r="H104" s="30" t="s">
        <v>262</v>
      </c>
      <c r="I104" s="30"/>
    </row>
    <row r="105" customFormat="false" ht="15" hidden="false" customHeight="true" outlineLevel="0" collapsed="false">
      <c r="A105" s="12" t="s">
        <v>263</v>
      </c>
      <c r="B105" s="4" t="s">
        <v>96</v>
      </c>
      <c r="C105" s="33" t="n">
        <f aca="false">IF(D105="",E105,CHOOSE($C$3,D105,E105,F105))</f>
        <v>0</v>
      </c>
      <c r="E105" s="34" t="n">
        <v>0</v>
      </c>
      <c r="G105" s="4" t="s">
        <v>83</v>
      </c>
      <c r="H105" s="30" t="s">
        <v>264</v>
      </c>
      <c r="I105" s="30"/>
    </row>
    <row r="107" customFormat="false" ht="15" hidden="false" customHeight="true" outlineLevel="0" collapsed="false">
      <c r="A107" s="10" t="s">
        <v>265</v>
      </c>
      <c r="B107" s="11"/>
      <c r="C107" s="11"/>
      <c r="D107" s="11"/>
      <c r="E107" s="11"/>
      <c r="F107" s="11"/>
      <c r="G107" s="11"/>
      <c r="H107" s="11"/>
      <c r="I107" s="11"/>
    </row>
    <row r="108" customFormat="false" ht="21.75" hidden="false" customHeight="true" outlineLevel="0" collapsed="false">
      <c r="A108" s="12" t="s">
        <v>266</v>
      </c>
      <c r="B108" s="4" t="s">
        <v>44</v>
      </c>
      <c r="C108" s="38" t="n">
        <f aca="false">IF(D108="",E108,CHOOSE($C$3,D108,E108,F108))</f>
        <v>900</v>
      </c>
      <c r="E108" s="39" t="n">
        <v>900</v>
      </c>
      <c r="G108" s="4" t="s">
        <v>83</v>
      </c>
      <c r="H108" s="30" t="s">
        <v>267</v>
      </c>
      <c r="I108" s="30"/>
    </row>
    <row r="109" customFormat="false" ht="15" hidden="false" customHeight="true" outlineLevel="0" collapsed="false">
      <c r="A109" s="12" t="s">
        <v>268</v>
      </c>
      <c r="B109" s="4" t="s">
        <v>148</v>
      </c>
      <c r="C109" s="35" t="n">
        <f aca="false">IF(D109="",E109,CHOOSE($C$3,D109,E109,F109))</f>
        <v>1</v>
      </c>
      <c r="E109" s="36" t="n">
        <v>1</v>
      </c>
      <c r="G109" s="4" t="s">
        <v>83</v>
      </c>
      <c r="H109" s="30"/>
      <c r="I109" s="30"/>
    </row>
    <row r="110" customFormat="false" ht="21.75" hidden="false" customHeight="true" outlineLevel="0" collapsed="false">
      <c r="A110" s="12" t="s">
        <v>269</v>
      </c>
      <c r="B110" s="4" t="s">
        <v>44</v>
      </c>
      <c r="C110" s="38" t="n">
        <f aca="false">IF(D110="",E110,CHOOSE($C$3,D110,E110,F110))</f>
        <v>900</v>
      </c>
      <c r="E110" s="39" t="n">
        <v>900</v>
      </c>
      <c r="G110" s="4" t="s">
        <v>83</v>
      </c>
      <c r="H110" s="30" t="s">
        <v>270</v>
      </c>
      <c r="I110" s="30"/>
    </row>
    <row r="111" customFormat="false" ht="15" hidden="false" customHeight="true" outlineLevel="0" collapsed="false">
      <c r="A111" s="12" t="s">
        <v>271</v>
      </c>
      <c r="B111" s="4" t="s">
        <v>148</v>
      </c>
      <c r="C111" s="35" t="n">
        <f aca="false">IF(D111="",E111,CHOOSE($C$3,D111,E111,F111))</f>
        <v>22</v>
      </c>
      <c r="E111" s="36" t="n">
        <v>22</v>
      </c>
      <c r="G111" s="4" t="s">
        <v>83</v>
      </c>
      <c r="H111" s="30" t="s">
        <v>272</v>
      </c>
      <c r="I111" s="30"/>
    </row>
    <row r="112" customFormat="false" ht="21.75" hidden="false" customHeight="true" outlineLevel="0" collapsed="false">
      <c r="A112" s="12" t="s">
        <v>273</v>
      </c>
      <c r="B112" s="4" t="s">
        <v>44</v>
      </c>
      <c r="C112" s="38" t="n">
        <f aca="false">IF(D112="",E112,CHOOSE($C$3,D112,E112,F112))</f>
        <v>0</v>
      </c>
      <c r="E112" s="39" t="n">
        <v>0</v>
      </c>
      <c r="G112" s="4" t="s">
        <v>83</v>
      </c>
      <c r="H112" s="30" t="s">
        <v>274</v>
      </c>
      <c r="I112" s="30"/>
    </row>
    <row r="113" customFormat="false" ht="15" hidden="false" customHeight="true" outlineLevel="0" collapsed="false">
      <c r="A113" s="12" t="s">
        <v>275</v>
      </c>
      <c r="B113" s="4" t="s">
        <v>148</v>
      </c>
      <c r="C113" s="35" t="n">
        <f aca="false">IF(D113="",E113,CHOOSE($C$3,D113,E113,F113))</f>
        <v>42</v>
      </c>
      <c r="E113" s="36" t="n">
        <v>42</v>
      </c>
      <c r="G113" s="4" t="s">
        <v>83</v>
      </c>
      <c r="H113" s="30"/>
      <c r="I113" s="30"/>
    </row>
    <row r="114" customFormat="false" ht="15" hidden="false" customHeight="true" outlineLevel="0" collapsed="false">
      <c r="A114" s="12" t="s">
        <v>276</v>
      </c>
      <c r="B114" s="4" t="s">
        <v>44</v>
      </c>
      <c r="C114" s="38" t="n">
        <f aca="false">IF(D114="",E114,CHOOSE($C$3,D114,E114,F114))</f>
        <v>0</v>
      </c>
      <c r="E114" s="39" t="n">
        <v>0</v>
      </c>
      <c r="G114" s="4" t="s">
        <v>83</v>
      </c>
      <c r="H114" s="30" t="s">
        <v>277</v>
      </c>
      <c r="I114" s="30"/>
    </row>
    <row r="115" customFormat="false" ht="15" hidden="false" customHeight="true" outlineLevel="0" collapsed="false">
      <c r="A115" s="12" t="s">
        <v>278</v>
      </c>
      <c r="B115" s="4" t="s">
        <v>148</v>
      </c>
      <c r="C115" s="35" t="n">
        <f aca="false">IF(D115="",E115,CHOOSE($C$3,D115,E115,F115))</f>
        <v>36</v>
      </c>
      <c r="E115" s="36" t="n">
        <v>36</v>
      </c>
      <c r="G115" s="4" t="s">
        <v>83</v>
      </c>
      <c r="H115" s="30"/>
      <c r="I115" s="30"/>
    </row>
    <row r="116" customFormat="false" ht="15" hidden="false" customHeight="true" outlineLevel="0" collapsed="false">
      <c r="A116" s="12" t="s">
        <v>279</v>
      </c>
      <c r="B116" s="4" t="s">
        <v>148</v>
      </c>
      <c r="C116" s="35" t="n">
        <f aca="false">IF(D116="",E116,CHOOSE($C$3,D116,E116,F116))</f>
        <v>60</v>
      </c>
      <c r="E116" s="36" t="n">
        <v>60</v>
      </c>
      <c r="G116" s="4" t="s">
        <v>83</v>
      </c>
      <c r="H116" s="30"/>
      <c r="I116" s="30"/>
    </row>
    <row r="117" customFormat="false" ht="15" hidden="false" customHeight="true" outlineLevel="0" collapsed="false">
      <c r="A117" s="12" t="s">
        <v>280</v>
      </c>
      <c r="B117" s="4" t="s">
        <v>96</v>
      </c>
      <c r="C117" s="33" t="n">
        <f aca="false">IF(D117="",E117,CHOOSE($C$3,D117,E117,F117))</f>
        <v>0.14</v>
      </c>
      <c r="E117" s="34" t="n">
        <v>0.14</v>
      </c>
      <c r="G117" s="4" t="s">
        <v>83</v>
      </c>
      <c r="H117" s="30"/>
      <c r="I117" s="30"/>
    </row>
    <row r="118" customFormat="false" ht="15" hidden="false" customHeight="true" outlineLevel="0" collapsed="false">
      <c r="A118" s="12" t="s">
        <v>281</v>
      </c>
      <c r="B118" s="4" t="s">
        <v>282</v>
      </c>
      <c r="C118" s="35" t="n">
        <f aca="false">IF(D118="",E118,CHOOSE($C$3,D118,E118,F118))</f>
        <v>6</v>
      </c>
      <c r="E118" s="36" t="n">
        <v>6</v>
      </c>
      <c r="G118" s="4" t="s">
        <v>83</v>
      </c>
      <c r="H118" s="30" t="s">
        <v>283</v>
      </c>
      <c r="I118" s="30"/>
    </row>
    <row r="119" customFormat="false" ht="15" hidden="false" customHeight="true" outlineLevel="0" collapsed="false">
      <c r="A119" s="12" t="s">
        <v>284</v>
      </c>
      <c r="B119" s="4" t="s">
        <v>46</v>
      </c>
      <c r="C119" s="33" t="n">
        <f aca="false">IF(D119="",E119,CHOOSE($C$3,D119,E119,F119))</f>
        <v>0.15</v>
      </c>
      <c r="E119" s="34" t="n">
        <v>0.15</v>
      </c>
      <c r="G119" s="4" t="s">
        <v>83</v>
      </c>
      <c r="H119" s="30" t="s">
        <v>285</v>
      </c>
      <c r="I119" s="30"/>
    </row>
    <row r="120" customFormat="false" ht="15" hidden="false" customHeight="true" outlineLevel="0" collapsed="false">
      <c r="A120" s="12" t="s">
        <v>286</v>
      </c>
      <c r="B120" s="4" t="s">
        <v>62</v>
      </c>
      <c r="C120" s="35" t="n">
        <f aca="false">IF(D120="",E120,CHOOSE($C$3,D120,E120,F120))</f>
        <v>21</v>
      </c>
      <c r="E120" s="36" t="n">
        <v>21</v>
      </c>
      <c r="G120" s="4" t="s">
        <v>83</v>
      </c>
      <c r="H120" s="30" t="s">
        <v>287</v>
      </c>
      <c r="I120" s="30"/>
    </row>
    <row r="122" customFormat="false" ht="15" hidden="false" customHeight="true" outlineLevel="0" collapsed="false">
      <c r="A122" s="10" t="s">
        <v>288</v>
      </c>
      <c r="B122" s="11"/>
      <c r="C122" s="11"/>
      <c r="D122" s="11"/>
      <c r="E122" s="11"/>
      <c r="F122" s="11"/>
      <c r="G122" s="11"/>
      <c r="H122" s="11"/>
      <c r="I122" s="11"/>
    </row>
    <row r="123" customFormat="false" ht="15" hidden="false" customHeight="true" outlineLevel="0" collapsed="false">
      <c r="A123" s="12" t="s">
        <v>289</v>
      </c>
      <c r="B123" s="4" t="s">
        <v>37</v>
      </c>
      <c r="C123" s="31" t="n">
        <f aca="false">IF(D123="",E123,CHOOSE($C$3,D123,E123,F123))</f>
        <v>1</v>
      </c>
      <c r="E123" s="32" t="n">
        <v>1</v>
      </c>
      <c r="G123" s="4" t="s">
        <v>290</v>
      </c>
      <c r="H123" s="30"/>
      <c r="I123" s="30"/>
    </row>
    <row r="124" customFormat="false" ht="15" hidden="false" customHeight="true" outlineLevel="0" collapsed="false">
      <c r="A124" s="12" t="s">
        <v>291</v>
      </c>
      <c r="B124" s="4" t="s">
        <v>37</v>
      </c>
      <c r="C124" s="31" t="n">
        <f aca="false">IF(D124="",E124,CHOOSE($C$3,D124,E124,F124))</f>
        <v>1</v>
      </c>
      <c r="E124" s="32" t="n">
        <v>1</v>
      </c>
      <c r="G124" s="4" t="s">
        <v>290</v>
      </c>
      <c r="H124" s="30"/>
      <c r="I124" s="30"/>
    </row>
    <row r="125" customFormat="false" ht="15" hidden="false" customHeight="true" outlineLevel="0" collapsed="false">
      <c r="A125" s="12" t="s">
        <v>292</v>
      </c>
      <c r="B125" s="4" t="s">
        <v>37</v>
      </c>
      <c r="C125" s="31" t="n">
        <f aca="false">IF(D125="",E125,CHOOSE($C$3,D125,E125,F125))</f>
        <v>1</v>
      </c>
      <c r="E125" s="32" t="n">
        <v>1</v>
      </c>
      <c r="G125" s="4" t="s">
        <v>290</v>
      </c>
      <c r="H125" s="30"/>
      <c r="I125" s="30"/>
    </row>
    <row r="126" customFormat="false" ht="15" hidden="false" customHeight="true" outlineLevel="0" collapsed="false">
      <c r="A126" s="12" t="s">
        <v>293</v>
      </c>
      <c r="B126" s="4" t="s">
        <v>294</v>
      </c>
      <c r="C126" s="35" t="n">
        <f aca="false">IF(D126="",E126,CHOOSE($C$3,D126,E126,F126))</f>
        <v>0</v>
      </c>
      <c r="E126" s="36" t="n">
        <v>0</v>
      </c>
      <c r="G126" s="4" t="s">
        <v>290</v>
      </c>
      <c r="H126" s="30"/>
      <c r="I126" s="30"/>
    </row>
    <row r="127" customFormat="false" ht="15" hidden="false" customHeight="true" outlineLevel="0" collapsed="false">
      <c r="A127" s="12" t="s">
        <v>295</v>
      </c>
      <c r="B127" s="4" t="s">
        <v>37</v>
      </c>
      <c r="C127" s="31" t="n">
        <f aca="false">IF(D127="",E127,CHOOSE($C$3,D127,E127,F127))</f>
        <v>1</v>
      </c>
      <c r="E127" s="32" t="n">
        <v>1</v>
      </c>
      <c r="G127" s="4" t="s">
        <v>290</v>
      </c>
      <c r="H127" s="30"/>
      <c r="I127" s="30"/>
    </row>
    <row r="128" customFormat="false" ht="15" hidden="false" customHeight="true" outlineLevel="0" collapsed="false">
      <c r="A128" s="12" t="s">
        <v>296</v>
      </c>
      <c r="B128" s="4" t="s">
        <v>37</v>
      </c>
      <c r="C128" s="31" t="n">
        <f aca="false">IF(D128="",E128,CHOOSE($C$3,D128,E128,F128))</f>
        <v>1</v>
      </c>
      <c r="E128" s="32" t="n">
        <v>1</v>
      </c>
      <c r="G128" s="4" t="s">
        <v>290</v>
      </c>
      <c r="H128" s="30"/>
      <c r="I128" s="30"/>
    </row>
    <row r="129" customFormat="false" ht="15" hidden="false" customHeight="true" outlineLevel="0" collapsed="false">
      <c r="A129" s="12" t="s">
        <v>297</v>
      </c>
      <c r="B129" s="4" t="s">
        <v>37</v>
      </c>
      <c r="C129" s="31" t="n">
        <f aca="false">IF(D129="",E129,CHOOSE($C$3,D129,E129,F129))</f>
        <v>1</v>
      </c>
      <c r="E129" s="32" t="n">
        <v>1</v>
      </c>
      <c r="G129" s="4" t="s">
        <v>290</v>
      </c>
      <c r="H129" s="30"/>
      <c r="I129" s="30"/>
    </row>
    <row r="130" customFormat="false" ht="15" hidden="false" customHeight="true" outlineLevel="0" collapsed="false">
      <c r="A130" s="12" t="s">
        <v>298</v>
      </c>
      <c r="B130" s="4" t="s">
        <v>37</v>
      </c>
      <c r="C130" s="31" t="n">
        <f aca="false">IF(D130="",E130,CHOOSE($C$3,D130,E130,F130))</f>
        <v>1</v>
      </c>
      <c r="E130" s="32" t="n">
        <v>1</v>
      </c>
      <c r="G130" s="4" t="s">
        <v>290</v>
      </c>
      <c r="H130" s="30"/>
      <c r="I130" s="30"/>
    </row>
    <row r="132" customFormat="false" ht="15" hidden="false" customHeight="true" outlineLevel="0" collapsed="false">
      <c r="A132" s="10" t="s">
        <v>299</v>
      </c>
      <c r="B132" s="11"/>
      <c r="C132" s="11"/>
      <c r="D132" s="11"/>
      <c r="E132" s="11"/>
      <c r="F132" s="11"/>
      <c r="G132" s="11"/>
      <c r="H132" s="11"/>
      <c r="I132" s="11"/>
    </row>
    <row r="133" customFormat="false" ht="15" hidden="false" customHeight="true" outlineLevel="0" collapsed="false">
      <c r="A133" s="15" t="s">
        <v>300</v>
      </c>
      <c r="B133" s="15" t="s">
        <v>301</v>
      </c>
      <c r="C133" s="15" t="s">
        <v>302</v>
      </c>
      <c r="D133" s="15" t="s">
        <v>303</v>
      </c>
      <c r="E133" s="15" t="s">
        <v>304</v>
      </c>
      <c r="F133" s="15" t="s">
        <v>305</v>
      </c>
      <c r="G133" s="15" t="s">
        <v>306</v>
      </c>
      <c r="H133" s="15" t="s">
        <v>77</v>
      </c>
      <c r="I133" s="15" t="s">
        <v>307</v>
      </c>
    </row>
    <row r="134" customFormat="false" ht="15" hidden="false" customHeight="true" outlineLevel="0" collapsed="false">
      <c r="A134" s="12" t="s">
        <v>308</v>
      </c>
      <c r="B134" s="4" t="s">
        <v>309</v>
      </c>
      <c r="C134" s="36" t="n">
        <v>1</v>
      </c>
      <c r="D134" s="36" t="n">
        <v>4</v>
      </c>
      <c r="E134" s="36" t="n">
        <v>10</v>
      </c>
      <c r="F134" s="36" t="n">
        <v>18</v>
      </c>
      <c r="G134" s="36" t="n">
        <v>25</v>
      </c>
      <c r="H134" s="4" t="s">
        <v>83</v>
      </c>
      <c r="I134" s="4" t="s">
        <v>310</v>
      </c>
    </row>
    <row r="135" customFormat="false" ht="15" hidden="false" customHeight="true" outlineLevel="0" collapsed="false">
      <c r="A135" s="12" t="s">
        <v>311</v>
      </c>
      <c r="B135" s="4" t="s">
        <v>309</v>
      </c>
      <c r="C135" s="18" t="n">
        <f aca="false">C$159*$C$152</f>
        <v>0</v>
      </c>
      <c r="D135" s="18" t="n">
        <f aca="false">D$159*$C$152</f>
        <v>8.415056</v>
      </c>
      <c r="E135" s="18" t="n">
        <f aca="false">E$159*$C$152</f>
        <v>25.245168</v>
      </c>
      <c r="F135" s="18" t="n">
        <f aca="false">F$159*$C$152</f>
        <v>42.07528</v>
      </c>
      <c r="G135" s="18" t="n">
        <f aca="false">G$159*$C$152</f>
        <v>58.905392</v>
      </c>
      <c r="H135" s="4" t="s">
        <v>83</v>
      </c>
      <c r="I135" s="4" t="s">
        <v>312</v>
      </c>
    </row>
    <row r="136" customFormat="false" ht="15" hidden="false" customHeight="true" outlineLevel="0" collapsed="false">
      <c r="A136" s="12" t="s">
        <v>313</v>
      </c>
      <c r="B136" s="4" t="s">
        <v>309</v>
      </c>
      <c r="C136" s="32" t="n">
        <v>1</v>
      </c>
      <c r="D136" s="32" t="n">
        <v>2</v>
      </c>
      <c r="E136" s="32" t="n">
        <v>3.5</v>
      </c>
      <c r="F136" s="32" t="n">
        <v>5</v>
      </c>
      <c r="G136" s="32" t="n">
        <v>6</v>
      </c>
      <c r="H136" s="4" t="s">
        <v>83</v>
      </c>
      <c r="I136" s="4" t="s">
        <v>314</v>
      </c>
    </row>
    <row r="137" customFormat="false" ht="15" hidden="false" customHeight="true" outlineLevel="0" collapsed="false">
      <c r="A137" s="12" t="s">
        <v>315</v>
      </c>
      <c r="B137" s="4" t="s">
        <v>316</v>
      </c>
      <c r="C137" s="36" t="n">
        <v>1</v>
      </c>
      <c r="D137" s="36" t="n">
        <v>1</v>
      </c>
      <c r="E137" s="36" t="n">
        <v>1</v>
      </c>
      <c r="F137" s="36" t="n">
        <v>1</v>
      </c>
      <c r="G137" s="36" t="n">
        <v>1</v>
      </c>
      <c r="H137" s="4" t="s">
        <v>83</v>
      </c>
      <c r="I137" s="4"/>
    </row>
    <row r="138" customFormat="false" ht="15" hidden="false" customHeight="true" outlineLevel="0" collapsed="false">
      <c r="A138" s="12" t="s">
        <v>317</v>
      </c>
      <c r="B138" s="4" t="s">
        <v>318</v>
      </c>
      <c r="C138" s="36" t="n">
        <v>1</v>
      </c>
      <c r="D138" s="36" t="n">
        <v>1</v>
      </c>
      <c r="E138" s="36" t="n">
        <v>1</v>
      </c>
      <c r="F138" s="36" t="n">
        <v>1</v>
      </c>
      <c r="G138" s="36" t="n">
        <v>1</v>
      </c>
      <c r="H138" s="4" t="s">
        <v>83</v>
      </c>
      <c r="I138" s="4"/>
    </row>
    <row r="139" customFormat="false" ht="15" hidden="false" customHeight="true" outlineLevel="0" collapsed="false">
      <c r="A139" s="12" t="s">
        <v>319</v>
      </c>
      <c r="B139" s="4" t="s">
        <v>309</v>
      </c>
      <c r="C139" s="36" t="n">
        <v>1</v>
      </c>
      <c r="D139" s="36" t="n">
        <v>1</v>
      </c>
      <c r="E139" s="36" t="n">
        <v>1</v>
      </c>
      <c r="F139" s="36" t="n">
        <v>1</v>
      </c>
      <c r="G139" s="36" t="n">
        <v>1</v>
      </c>
      <c r="H139" s="4" t="s">
        <v>83</v>
      </c>
      <c r="I139" s="4"/>
    </row>
    <row r="140" customFormat="false" ht="15" hidden="false" customHeight="true" outlineLevel="0" collapsed="false">
      <c r="A140" s="12" t="s">
        <v>320</v>
      </c>
      <c r="B140" s="4" t="s">
        <v>318</v>
      </c>
      <c r="C140" s="36" t="n">
        <v>1</v>
      </c>
      <c r="D140" s="36" t="n">
        <v>2</v>
      </c>
      <c r="E140" s="36" t="n">
        <v>3</v>
      </c>
      <c r="F140" s="36" t="n">
        <v>4</v>
      </c>
      <c r="G140" s="36" t="n">
        <v>5</v>
      </c>
      <c r="H140" s="4" t="s">
        <v>83</v>
      </c>
      <c r="I140" s="4"/>
    </row>
    <row r="141" customFormat="false" ht="15" hidden="false" customHeight="true" outlineLevel="0" collapsed="false">
      <c r="A141" s="12" t="s">
        <v>321</v>
      </c>
      <c r="B141" s="4" t="s">
        <v>318</v>
      </c>
      <c r="C141" s="36" t="n">
        <v>1</v>
      </c>
      <c r="D141" s="36" t="n">
        <v>2</v>
      </c>
      <c r="E141" s="36" t="n">
        <v>3</v>
      </c>
      <c r="F141" s="36" t="n">
        <v>4</v>
      </c>
      <c r="G141" s="36" t="n">
        <v>5</v>
      </c>
      <c r="H141" s="4" t="s">
        <v>83</v>
      </c>
      <c r="I141" s="4"/>
    </row>
    <row r="142" customFormat="false" ht="15" hidden="false" customHeight="true" outlineLevel="0" collapsed="false">
      <c r="A142" s="12" t="s">
        <v>322</v>
      </c>
      <c r="B142" s="4" t="s">
        <v>318</v>
      </c>
      <c r="C142" s="36" t="n">
        <v>0</v>
      </c>
      <c r="D142" s="36" t="n">
        <v>1</v>
      </c>
      <c r="E142" s="36" t="n">
        <v>1</v>
      </c>
      <c r="F142" s="36" t="n">
        <v>2</v>
      </c>
      <c r="G142" s="36" t="n">
        <v>2</v>
      </c>
      <c r="H142" s="4" t="s">
        <v>83</v>
      </c>
      <c r="I142" s="4" t="s">
        <v>323</v>
      </c>
    </row>
    <row r="143" customFormat="false" ht="15" hidden="false" customHeight="true" outlineLevel="0" collapsed="false">
      <c r="A143" s="12" t="s">
        <v>324</v>
      </c>
      <c r="B143" s="4" t="s">
        <v>318</v>
      </c>
      <c r="C143" s="36" t="n">
        <v>1</v>
      </c>
      <c r="D143" s="36" t="n">
        <v>1</v>
      </c>
      <c r="E143" s="36" t="n">
        <v>2</v>
      </c>
      <c r="F143" s="36" t="n">
        <v>2</v>
      </c>
      <c r="G143" s="36" t="n">
        <v>3</v>
      </c>
      <c r="H143" s="4" t="s">
        <v>83</v>
      </c>
      <c r="I143" s="4"/>
    </row>
    <row r="144" customFormat="false" ht="15" hidden="false" customHeight="true" outlineLevel="0" collapsed="false">
      <c r="A144" s="12" t="s">
        <v>325</v>
      </c>
      <c r="B144" s="4" t="s">
        <v>318</v>
      </c>
      <c r="C144" s="36" t="n">
        <v>0</v>
      </c>
      <c r="D144" s="36" t="n">
        <v>1</v>
      </c>
      <c r="E144" s="36" t="n">
        <v>1</v>
      </c>
      <c r="F144" s="36" t="n">
        <v>1</v>
      </c>
      <c r="G144" s="36" t="n">
        <v>2</v>
      </c>
      <c r="H144" s="4" t="s">
        <v>83</v>
      </c>
      <c r="I144" s="4" t="s">
        <v>326</v>
      </c>
    </row>
    <row r="145" customFormat="false" ht="15" hidden="false" customHeight="true" outlineLevel="0" collapsed="false">
      <c r="A145" s="12" t="s">
        <v>327</v>
      </c>
      <c r="B145" s="4" t="s">
        <v>309</v>
      </c>
      <c r="C145" s="36" t="n">
        <v>0</v>
      </c>
      <c r="D145" s="36" t="n">
        <v>0</v>
      </c>
      <c r="E145" s="36" t="n">
        <v>1</v>
      </c>
      <c r="F145" s="36" t="n">
        <v>1</v>
      </c>
      <c r="G145" s="36" t="n">
        <v>2</v>
      </c>
      <c r="H145" s="4" t="s">
        <v>83</v>
      </c>
      <c r="I145" s="4" t="s">
        <v>328</v>
      </c>
    </row>
    <row r="146" customFormat="false" ht="15" hidden="false" customHeight="true" outlineLevel="0" collapsed="false">
      <c r="A146" s="12" t="s">
        <v>329</v>
      </c>
      <c r="B146" s="4" t="s">
        <v>309</v>
      </c>
      <c r="C146" s="36" t="n">
        <v>0</v>
      </c>
      <c r="D146" s="36" t="n">
        <v>0</v>
      </c>
      <c r="E146" s="36" t="n">
        <v>0</v>
      </c>
      <c r="F146" s="36" t="n">
        <v>1</v>
      </c>
      <c r="G146" s="36" t="n">
        <v>1</v>
      </c>
      <c r="H146" s="4" t="s">
        <v>83</v>
      </c>
      <c r="I146" s="4" t="s">
        <v>330</v>
      </c>
    </row>
    <row r="147" customFormat="false" ht="15" hidden="false" customHeight="true" outlineLevel="0" collapsed="false">
      <c r="A147" s="12" t="s">
        <v>227</v>
      </c>
      <c r="B147" s="4" t="s">
        <v>316</v>
      </c>
      <c r="C147" s="36" t="n">
        <v>0</v>
      </c>
      <c r="D147" s="36" t="n">
        <v>1</v>
      </c>
      <c r="E147" s="36" t="n">
        <v>1</v>
      </c>
      <c r="F147" s="36" t="n">
        <v>2</v>
      </c>
      <c r="G147" s="36" t="n">
        <v>2</v>
      </c>
      <c r="H147" s="4" t="s">
        <v>83</v>
      </c>
      <c r="I147" s="4" t="s">
        <v>331</v>
      </c>
    </row>
    <row r="148" customFormat="false" ht="15" hidden="false" customHeight="true" outlineLevel="0" collapsed="false">
      <c r="A148" s="12" t="s">
        <v>228</v>
      </c>
      <c r="B148" s="4" t="s">
        <v>316</v>
      </c>
      <c r="C148" s="36" t="n">
        <v>0</v>
      </c>
      <c r="D148" s="36" t="n">
        <v>0</v>
      </c>
      <c r="E148" s="36" t="n">
        <v>1</v>
      </c>
      <c r="F148" s="36" t="n">
        <v>1</v>
      </c>
      <c r="G148" s="36" t="n">
        <v>1</v>
      </c>
      <c r="H148" s="4" t="s">
        <v>83</v>
      </c>
      <c r="I148" s="4" t="s">
        <v>332</v>
      </c>
    </row>
    <row r="150" customFormat="false" ht="15" hidden="false" customHeight="true" outlineLevel="0" collapsed="false">
      <c r="A150" s="10" t="s">
        <v>333</v>
      </c>
      <c r="B150" s="11"/>
      <c r="C150" s="11"/>
      <c r="D150" s="11"/>
      <c r="E150" s="11"/>
      <c r="F150" s="11"/>
      <c r="G150" s="11"/>
      <c r="H150" s="11"/>
      <c r="I150" s="11"/>
    </row>
    <row r="151" customFormat="false" ht="21.75" hidden="false" customHeight="true" outlineLevel="0" collapsed="false">
      <c r="A151" s="12" t="s">
        <v>334</v>
      </c>
      <c r="B151" s="4" t="s">
        <v>335</v>
      </c>
      <c r="C151" s="33" t="n">
        <f aca="false">IF(D151="",E151,CHOOSE($C$3,D151,E151,F151))</f>
        <v>400</v>
      </c>
      <c r="D151" s="34" t="n">
        <v>200</v>
      </c>
      <c r="E151" s="37" t="n">
        <v>400</v>
      </c>
      <c r="F151" s="37" t="n">
        <v>600</v>
      </c>
      <c r="G151" s="4" t="s">
        <v>336</v>
      </c>
      <c r="H151" s="30" t="s">
        <v>337</v>
      </c>
      <c r="I151" s="30" t="s">
        <v>338</v>
      </c>
    </row>
    <row r="152" customFormat="false" ht="32.25" hidden="false" customHeight="true" outlineLevel="0" collapsed="false">
      <c r="A152" s="12" t="s">
        <v>339</v>
      </c>
      <c r="B152" s="4" t="s">
        <v>340</v>
      </c>
      <c r="C152" s="33" t="n">
        <f aca="false">IF(D152="",E152,CHOOSE($C$3,D152,E152,F152))</f>
        <v>8.415056</v>
      </c>
      <c r="D152" s="34" t="n">
        <v>21.149983</v>
      </c>
      <c r="E152" s="37" t="n">
        <v>8.415056</v>
      </c>
      <c r="F152" s="37" t="n">
        <v>3.394444</v>
      </c>
      <c r="G152" s="4" t="s">
        <v>341</v>
      </c>
      <c r="H152" s="30" t="s">
        <v>342</v>
      </c>
      <c r="I152" s="30" t="s">
        <v>343</v>
      </c>
    </row>
    <row r="153" customFormat="false" ht="21.75" hidden="false" customHeight="true" outlineLevel="0" collapsed="false">
      <c r="A153" s="12" t="s">
        <v>344</v>
      </c>
      <c r="B153" s="4" t="s">
        <v>46</v>
      </c>
      <c r="C153" s="33" t="n">
        <f aca="false">IF(D153="",E153,CHOOSE($C$3,D153,E153,F153))</f>
        <v>0.2</v>
      </c>
      <c r="D153" s="34" t="n">
        <v>0</v>
      </c>
      <c r="E153" s="37" t="n">
        <v>0.2</v>
      </c>
      <c r="F153" s="37" t="n">
        <v>0.3</v>
      </c>
      <c r="G153" s="4" t="s">
        <v>117</v>
      </c>
      <c r="H153" s="30" t="s">
        <v>345</v>
      </c>
      <c r="I153" s="30" t="s">
        <v>346</v>
      </c>
    </row>
    <row r="154" customFormat="false" ht="21.75" hidden="false" customHeight="true" outlineLevel="0" collapsed="false">
      <c r="A154" s="12" t="s">
        <v>347</v>
      </c>
      <c r="B154" s="4" t="s">
        <v>212</v>
      </c>
      <c r="C154" s="33" t="n">
        <f aca="false">IF(D154="",E154,CHOOSE($C$3,D154,E154,F154))</f>
        <v>116.25</v>
      </c>
      <c r="D154" s="34" t="n">
        <v>0</v>
      </c>
      <c r="E154" s="37" t="n">
        <f aca="false">9_Customer_ROI!$D$37</f>
        <v>116.25</v>
      </c>
      <c r="F154" s="37" t="n">
        <f aca="false">9_Customer_ROI!$D$37</f>
        <v>116.25</v>
      </c>
      <c r="G154" s="4" t="s">
        <v>348</v>
      </c>
      <c r="H154" s="30" t="s">
        <v>349</v>
      </c>
      <c r="I154" s="30" t="s">
        <v>350</v>
      </c>
    </row>
    <row r="155" customFormat="false" ht="15" hidden="false" customHeight="true" outlineLevel="0" collapsed="false">
      <c r="A155" s="12" t="s">
        <v>351</v>
      </c>
      <c r="B155" s="4" t="s">
        <v>46</v>
      </c>
      <c r="C155" s="33" t="n">
        <f aca="false">IF(D155="",E155,CHOOSE($C$3,D155,E155,F155))</f>
        <v>0.15</v>
      </c>
      <c r="D155" s="34" t="n">
        <v>0</v>
      </c>
      <c r="E155" s="37" t="n">
        <v>0.15</v>
      </c>
      <c r="F155" s="37" t="n">
        <v>0.2</v>
      </c>
      <c r="G155" s="4" t="s">
        <v>117</v>
      </c>
      <c r="H155" s="30" t="s">
        <v>352</v>
      </c>
      <c r="I155" s="30" t="s">
        <v>353</v>
      </c>
    </row>
    <row r="156" customFormat="false" ht="21.75" hidden="false" customHeight="true" outlineLevel="0" collapsed="false">
      <c r="A156" s="12" t="s">
        <v>354</v>
      </c>
      <c r="B156" s="4" t="s">
        <v>46</v>
      </c>
      <c r="C156" s="33" t="n">
        <f aca="false">IF(D156="",E156,CHOOSE($C$3,D156,E156,F156))</f>
        <v>0.5</v>
      </c>
      <c r="D156" s="34" t="n">
        <v>0</v>
      </c>
      <c r="E156" s="37" t="n">
        <v>0.5</v>
      </c>
      <c r="F156" s="37" t="n">
        <v>0.7</v>
      </c>
      <c r="G156" s="4" t="s">
        <v>117</v>
      </c>
      <c r="H156" s="30" t="s">
        <v>355</v>
      </c>
      <c r="I156" s="30"/>
    </row>
    <row r="158" customFormat="false" ht="15" hidden="false" customHeight="true" outlineLevel="0" collapsed="false">
      <c r="A158" s="15" t="s">
        <v>300</v>
      </c>
      <c r="B158" s="15" t="s">
        <v>301</v>
      </c>
      <c r="C158" s="15" t="s">
        <v>302</v>
      </c>
      <c r="D158" s="15" t="s">
        <v>303</v>
      </c>
      <c r="E158" s="15" t="s">
        <v>304</v>
      </c>
      <c r="F158" s="15" t="s">
        <v>305</v>
      </c>
      <c r="G158" s="15" t="s">
        <v>306</v>
      </c>
      <c r="H158" s="15" t="s">
        <v>77</v>
      </c>
      <c r="I158" s="15" t="s">
        <v>307</v>
      </c>
    </row>
    <row r="159" customFormat="false" ht="15" hidden="false" customHeight="true" outlineLevel="0" collapsed="false">
      <c r="A159" s="12" t="s">
        <v>356</v>
      </c>
      <c r="B159" s="4" t="s">
        <v>309</v>
      </c>
      <c r="C159" s="32" t="n">
        <v>0</v>
      </c>
      <c r="D159" s="32" t="n">
        <v>1</v>
      </c>
      <c r="E159" s="32" t="n">
        <v>3</v>
      </c>
      <c r="F159" s="32" t="n">
        <v>5</v>
      </c>
      <c r="G159" s="32" t="n">
        <v>7</v>
      </c>
      <c r="H159" s="4" t="s">
        <v>83</v>
      </c>
      <c r="I159" s="4" t="s">
        <v>357</v>
      </c>
    </row>
  </sheetData>
  <dataValidations count="1">
    <dataValidation allowBlank="false" errorStyle="stop" operator="between" showDropDown="false" showErrorMessage="false" showInputMessage="false" sqref="C3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L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8" min="3" style="1" width="14"/>
    <col collapsed="false" customWidth="true" hidden="false" outlineLevel="0" max="9" min="9" style="1" width="62"/>
  </cols>
  <sheetData>
    <row r="1" customFormat="false" ht="17.25" hidden="false" customHeight="true" outlineLevel="0" collapsed="false">
      <c r="A1" s="2" t="s">
        <v>358</v>
      </c>
      <c r="B1" s="2"/>
      <c r="C1" s="2"/>
      <c r="D1" s="2"/>
      <c r="E1" s="2"/>
      <c r="F1" s="2"/>
      <c r="G1" s="2"/>
      <c r="H1" s="2"/>
      <c r="I1" s="2"/>
      <c r="J1" s="12"/>
      <c r="K1" s="12"/>
      <c r="L1" s="12"/>
    </row>
    <row r="2" customFormat="false" ht="15" hidden="false" customHeight="true" outlineLevel="0" collapsed="false">
      <c r="A2" s="4" t="s">
        <v>359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customFormat="false" ht="15" hidden="false" customHeight="tru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customFormat="false" ht="15" hidden="false" customHeight="true" outlineLevel="0" collapsed="false">
      <c r="A4" s="10" t="s">
        <v>360</v>
      </c>
      <c r="B4" s="10"/>
      <c r="C4" s="10"/>
      <c r="D4" s="10"/>
      <c r="E4" s="10"/>
      <c r="F4" s="10"/>
      <c r="G4" s="10"/>
      <c r="H4" s="10"/>
      <c r="I4" s="10"/>
      <c r="J4" s="12"/>
      <c r="K4" s="12"/>
      <c r="L4" s="12"/>
    </row>
    <row r="5" customFormat="false" ht="42" hidden="false" customHeight="true" outlineLevel="0" collapsed="false">
      <c r="A5" s="15" t="s">
        <v>361</v>
      </c>
      <c r="B5" s="15" t="s">
        <v>362</v>
      </c>
      <c r="C5" s="15" t="s">
        <v>363</v>
      </c>
      <c r="D5" s="15" t="s">
        <v>364</v>
      </c>
      <c r="E5" s="15" t="s">
        <v>365</v>
      </c>
      <c r="F5" s="15" t="s">
        <v>366</v>
      </c>
      <c r="G5" s="15" t="s">
        <v>367</v>
      </c>
      <c r="H5" s="15" t="s">
        <v>368</v>
      </c>
      <c r="I5" s="15" t="s">
        <v>369</v>
      </c>
      <c r="J5" s="12"/>
      <c r="K5" s="12"/>
      <c r="L5" s="12"/>
    </row>
    <row r="6" customFormat="false" ht="15" hidden="false" customHeight="true" outlineLevel="0" collapsed="false">
      <c r="A6" s="12" t="s">
        <v>370</v>
      </c>
      <c r="B6" s="4" t="s">
        <v>371</v>
      </c>
      <c r="C6" s="36" t="n">
        <v>5353</v>
      </c>
      <c r="D6" s="36" t="n">
        <v>1082076</v>
      </c>
      <c r="E6" s="16" t="n">
        <f aca="false">D6/C6</f>
        <v>202.143844573137</v>
      </c>
      <c r="F6" s="17" t="n">
        <f aca="false">MIN($C$24,$C$23*E6/$C$22)</f>
        <v>0.483045292696969</v>
      </c>
      <c r="G6" s="20" t="n">
        <f aca="false">C6*$C$26</f>
        <v>5889.70678353505</v>
      </c>
      <c r="H6" s="20" t="n">
        <f aca="false">G6*F6</f>
        <v>2844.99513715201</v>
      </c>
      <c r="I6" s="4" t="s">
        <v>372</v>
      </c>
      <c r="J6" s="12"/>
      <c r="K6" s="12"/>
      <c r="L6" s="12"/>
    </row>
    <row r="7" customFormat="false" ht="15" hidden="false" customHeight="true" outlineLevel="0" collapsed="false">
      <c r="A7" s="12" t="s">
        <v>373</v>
      </c>
      <c r="B7" s="4" t="s">
        <v>371</v>
      </c>
      <c r="C7" s="36" t="n">
        <v>10949</v>
      </c>
      <c r="D7" s="36" t="n">
        <v>935811</v>
      </c>
      <c r="E7" s="16" t="n">
        <f aca="false">D7/C7</f>
        <v>85.4699972600238</v>
      </c>
      <c r="F7" s="17" t="n">
        <f aca="false">MIN($C$24,$C$23*E7/$C$22)</f>
        <v>0.204240104023251</v>
      </c>
      <c r="G7" s="20" t="n">
        <f aca="false">C7*$C$26</f>
        <v>12046.7774281572</v>
      </c>
      <c r="H7" s="20" t="n">
        <f aca="false">G7*F7</f>
        <v>2460.43507507177</v>
      </c>
      <c r="I7" s="4" t="s">
        <v>374</v>
      </c>
      <c r="J7" s="12"/>
      <c r="K7" s="12"/>
      <c r="L7" s="12"/>
    </row>
    <row r="8" customFormat="false" ht="15" hidden="false" customHeight="true" outlineLevel="0" collapsed="false">
      <c r="A8" s="12" t="s">
        <v>375</v>
      </c>
      <c r="B8" s="4" t="s">
        <v>371</v>
      </c>
      <c r="C8" s="36" t="n">
        <v>12635</v>
      </c>
      <c r="D8" s="36" t="n">
        <v>705038</v>
      </c>
      <c r="E8" s="16" t="n">
        <f aca="false">D8/C8</f>
        <v>55.8003957261575</v>
      </c>
      <c r="F8" s="17" t="n">
        <f aca="false">MIN($C$24,$C$23*E8/$C$22)</f>
        <v>0.133341277559388</v>
      </c>
      <c r="G8" s="20" t="n">
        <f aca="false">C8*$C$26</f>
        <v>13901.8205137241</v>
      </c>
      <c r="H8" s="20" t="n">
        <f aca="false">G8*F8</f>
        <v>1853.68650770129</v>
      </c>
      <c r="I8" s="4" t="s">
        <v>374</v>
      </c>
      <c r="J8" s="12"/>
      <c r="K8" s="12"/>
      <c r="L8" s="12"/>
    </row>
    <row r="9" customFormat="false" ht="15" hidden="false" customHeight="true" outlineLevel="0" collapsed="false">
      <c r="A9" s="12" t="s">
        <v>376</v>
      </c>
      <c r="B9" s="4" t="s">
        <v>371</v>
      </c>
      <c r="C9" s="36" t="n">
        <v>10106</v>
      </c>
      <c r="D9" s="36" t="n">
        <v>1204877</v>
      </c>
      <c r="E9" s="16" t="n">
        <f aca="false">D9/C9</f>
        <v>119.223926380368</v>
      </c>
      <c r="F9" s="17" t="n">
        <f aca="false">MIN($C$24,$C$23*E9/$C$22)</f>
        <v>0.284898887406143</v>
      </c>
      <c r="G9" s="20" t="n">
        <f aca="false">C9*$C$26</f>
        <v>11119.2558853737</v>
      </c>
      <c r="H9" s="20" t="n">
        <f aca="false">G9*F9</f>
        <v>3167.86363052716</v>
      </c>
      <c r="I9" s="4" t="s">
        <v>377</v>
      </c>
      <c r="J9" s="12"/>
      <c r="K9" s="12"/>
      <c r="L9" s="12"/>
    </row>
    <row r="10" customFormat="false" ht="15" hidden="false" customHeight="true" outlineLevel="0" collapsed="false">
      <c r="A10" s="12" t="s">
        <v>378</v>
      </c>
      <c r="B10" s="4" t="s">
        <v>371</v>
      </c>
      <c r="C10" s="36" t="n">
        <v>11732</v>
      </c>
      <c r="D10" s="36" t="n">
        <v>843562</v>
      </c>
      <c r="E10" s="16" t="n">
        <f aca="false">D10/C10</f>
        <v>71.9026593931129</v>
      </c>
      <c r="F10" s="17" t="n">
        <f aca="false">MIN($C$24,$C$23*E10/$C$22)</f>
        <v>0.171819434945349</v>
      </c>
      <c r="G10" s="20" t="n">
        <f aca="false">C10*$C$26</f>
        <v>12908.283202771</v>
      </c>
      <c r="H10" s="20" t="n">
        <f aca="false">G10*F10</f>
        <v>2217.89392601465</v>
      </c>
      <c r="I10" s="4" t="s">
        <v>379</v>
      </c>
      <c r="J10" s="12"/>
      <c r="K10" s="12"/>
      <c r="L10" s="12"/>
    </row>
    <row r="11" customFormat="false" ht="15" hidden="false" customHeight="true" outlineLevel="0" collapsed="false">
      <c r="A11" s="12" t="s">
        <v>380</v>
      </c>
      <c r="B11" s="4" t="s">
        <v>371</v>
      </c>
      <c r="C11" s="36" t="n">
        <v>6076</v>
      </c>
      <c r="D11" s="36" t="n">
        <v>635006</v>
      </c>
      <c r="E11" s="16" t="n">
        <f aca="false">D11/C11</f>
        <v>104.510533245556</v>
      </c>
      <c r="F11" s="17" t="n">
        <f aca="false">MIN($C$24,$C$23*E11/$C$22)</f>
        <v>0.249739591270369</v>
      </c>
      <c r="G11" s="20" t="n">
        <f aca="false">C11*$C$26</f>
        <v>6685.19678997926</v>
      </c>
      <c r="H11" s="20" t="n">
        <f aca="false">G11*F11</f>
        <v>1669.5583138914</v>
      </c>
      <c r="I11" s="4" t="s">
        <v>381</v>
      </c>
      <c r="J11" s="12"/>
      <c r="K11" s="12"/>
      <c r="L11" s="12"/>
    </row>
    <row r="12" customFormat="false" ht="15" hidden="false" customHeight="true" outlineLevel="0" collapsed="false">
      <c r="A12" s="12" t="s">
        <v>382</v>
      </c>
      <c r="B12" s="4" t="s">
        <v>371</v>
      </c>
      <c r="C12" s="36" t="n">
        <v>1855</v>
      </c>
      <c r="D12" s="36" t="n">
        <v>421386</v>
      </c>
      <c r="E12" s="16" t="n">
        <f aca="false">D12/C12</f>
        <v>227.162264150943</v>
      </c>
      <c r="F12" s="17" t="n">
        <f aca="false">MIN($C$24,$C$23*E12/$C$22)</f>
        <v>0.5</v>
      </c>
      <c r="G12" s="20" t="n">
        <f aca="false">C12*$C$26</f>
        <v>2040.98749924482</v>
      </c>
      <c r="H12" s="20" t="n">
        <f aca="false">G12*F12</f>
        <v>1020.49374962241</v>
      </c>
      <c r="I12" s="4" t="s">
        <v>383</v>
      </c>
      <c r="J12" s="12"/>
      <c r="K12" s="12"/>
      <c r="L12" s="12"/>
    </row>
    <row r="13" customFormat="false" ht="15" hidden="false" customHeight="true" outlineLevel="0" collapsed="false">
      <c r="A13" s="12" t="s">
        <v>384</v>
      </c>
      <c r="B13" s="4" t="s">
        <v>385</v>
      </c>
      <c r="C13" s="36" t="n">
        <v>13539</v>
      </c>
      <c r="D13" s="36" t="n">
        <v>1629101</v>
      </c>
      <c r="E13" s="16" t="n">
        <f aca="false">D13/C13</f>
        <v>120.326538149051</v>
      </c>
      <c r="F13" s="17" t="n">
        <f aca="false">MIN($C$24,$C$23*E13/$C$22)</f>
        <v>0.287533701370719</v>
      </c>
      <c r="G13" s="20" t="n">
        <f aca="false">C13*$C$26</f>
        <v>14896.4580874801</v>
      </c>
      <c r="H13" s="20" t="n">
        <f aca="false">G13*F13</f>
        <v>4283.23373120694</v>
      </c>
      <c r="I13" s="4" t="s">
        <v>386</v>
      </c>
      <c r="J13" s="12"/>
      <c r="K13" s="12"/>
      <c r="L13" s="12"/>
    </row>
    <row r="14" customFormat="false" ht="15" hidden="false" customHeight="true" outlineLevel="0" collapsed="false">
      <c r="A14" s="12" t="s">
        <v>387</v>
      </c>
      <c r="B14" s="4" t="s">
        <v>385</v>
      </c>
      <c r="C14" s="36" t="n">
        <v>1908</v>
      </c>
      <c r="D14" s="36" t="n">
        <v>283470</v>
      </c>
      <c r="E14" s="16" t="n">
        <f aca="false">D14/C14</f>
        <v>148.569182389937</v>
      </c>
      <c r="F14" s="17" t="n">
        <f aca="false">MIN($C$24,$C$23*E14/$C$22)</f>
        <v>0.355022654015722</v>
      </c>
      <c r="G14" s="20" t="n">
        <f aca="false">C14*$C$26</f>
        <v>2099.30142779467</v>
      </c>
      <c r="H14" s="20" t="n">
        <f aca="false">G14*F14</f>
        <v>745.299564474659</v>
      </c>
      <c r="I14" s="4" t="s">
        <v>388</v>
      </c>
      <c r="J14" s="12"/>
      <c r="K14" s="12"/>
      <c r="L14" s="12"/>
    </row>
    <row r="15" customFormat="false" ht="15" hidden="false" customHeight="true" outlineLevel="0" collapsed="false">
      <c r="A15" s="40" t="s">
        <v>389</v>
      </c>
      <c r="B15" s="12"/>
      <c r="C15" s="41" t="n">
        <f aca="false">SUMIF($B$6:$B$14,"SAM",C6:C14)</f>
        <v>58706</v>
      </c>
      <c r="D15" s="41" t="n">
        <f aca="false">SUMIF($B$6:$B$14,"SAM",D6:D14)</f>
        <v>5827756</v>
      </c>
      <c r="E15" s="12"/>
      <c r="F15" s="12"/>
      <c r="G15" s="41" t="n">
        <f aca="false">SUMIF($B$6:$B$14,"SAM",G6:G14)</f>
        <v>64592.0281027851</v>
      </c>
      <c r="H15" s="41" t="n">
        <f aca="false">SUMIF($B$6:$B$14,"SAM",H6:H14)</f>
        <v>15234.9263399807</v>
      </c>
      <c r="I15" s="4" t="s">
        <v>390</v>
      </c>
      <c r="J15" s="12"/>
      <c r="K15" s="12"/>
      <c r="L15" s="12"/>
    </row>
    <row r="16" customFormat="false" ht="15" hidden="false" customHeight="true" outlineLevel="0" collapsed="false">
      <c r="A16" s="40" t="s">
        <v>391</v>
      </c>
      <c r="B16" s="12"/>
      <c r="C16" s="41" t="n">
        <f aca="false">SUM(C6:C14)</f>
        <v>74153</v>
      </c>
      <c r="D16" s="41" t="n">
        <f aca="false">SUM(D6:D14)</f>
        <v>7740327</v>
      </c>
      <c r="E16" s="12"/>
      <c r="F16" s="12"/>
      <c r="G16" s="41" t="n">
        <f aca="false">SUM(G6:G14)</f>
        <v>81587.7876180599</v>
      </c>
      <c r="H16" s="41" t="n">
        <f aca="false">SUM(H6:H14)</f>
        <v>20263.4596356623</v>
      </c>
      <c r="I16" s="12"/>
      <c r="J16" s="12"/>
      <c r="K16" s="12"/>
      <c r="L16" s="12"/>
    </row>
    <row r="17" customFormat="false" ht="1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customFormat="false" ht="15" hidden="false" customHeight="true" outlineLevel="0" collapsed="false">
      <c r="A18" s="10" t="s">
        <v>392</v>
      </c>
      <c r="B18" s="10"/>
      <c r="C18" s="10"/>
      <c r="D18" s="10"/>
      <c r="E18" s="10"/>
      <c r="F18" s="10"/>
      <c r="G18" s="10"/>
      <c r="H18" s="10"/>
      <c r="I18" s="10"/>
      <c r="J18" s="12"/>
      <c r="K18" s="12"/>
      <c r="L18" s="12"/>
    </row>
    <row r="19" customFormat="false" ht="30" hidden="false" customHeight="true" outlineLevel="0" collapsed="false">
      <c r="A19" s="15" t="s">
        <v>75</v>
      </c>
      <c r="B19" s="15" t="s">
        <v>42</v>
      </c>
      <c r="C19" s="15" t="s">
        <v>393</v>
      </c>
      <c r="D19" s="15" t="s">
        <v>77</v>
      </c>
      <c r="E19" s="15" t="s">
        <v>78</v>
      </c>
      <c r="F19" s="12"/>
      <c r="G19" s="12"/>
      <c r="H19" s="12"/>
      <c r="I19" s="12"/>
      <c r="J19" s="12"/>
      <c r="K19" s="12"/>
      <c r="L19" s="12"/>
    </row>
    <row r="20" customFormat="false" ht="15" hidden="false" customHeight="true" outlineLevel="0" collapsed="false">
      <c r="A20" s="12" t="s">
        <v>394</v>
      </c>
      <c r="B20" s="4" t="s">
        <v>29</v>
      </c>
      <c r="C20" s="36" t="n">
        <v>198628</v>
      </c>
      <c r="D20" s="4" t="s">
        <v>87</v>
      </c>
      <c r="E20" s="4" t="s">
        <v>395</v>
      </c>
      <c r="F20" s="12"/>
      <c r="G20" s="12"/>
      <c r="H20" s="12"/>
      <c r="I20" s="12"/>
      <c r="J20" s="12"/>
      <c r="K20" s="12"/>
      <c r="L20" s="12"/>
    </row>
    <row r="21" customFormat="false" ht="15" hidden="false" customHeight="true" outlineLevel="0" collapsed="false">
      <c r="A21" s="12" t="s">
        <v>396</v>
      </c>
      <c r="B21" s="4" t="s">
        <v>29</v>
      </c>
      <c r="C21" s="36" t="n">
        <v>16624291</v>
      </c>
      <c r="D21" s="4" t="s">
        <v>87</v>
      </c>
      <c r="E21" s="4" t="s">
        <v>395</v>
      </c>
      <c r="F21" s="12"/>
      <c r="G21" s="12"/>
      <c r="H21" s="12"/>
      <c r="I21" s="12"/>
      <c r="J21" s="12"/>
      <c r="K21" s="12"/>
      <c r="L21" s="12"/>
    </row>
    <row r="22" customFormat="false" ht="15" hidden="false" customHeight="true" outlineLevel="0" collapsed="false">
      <c r="A22" s="12" t="s">
        <v>397</v>
      </c>
      <c r="B22" s="4" t="s">
        <v>29</v>
      </c>
      <c r="C22" s="16" t="n">
        <f aca="false">C21/C20</f>
        <v>83.6956068630807</v>
      </c>
      <c r="D22" s="4" t="s">
        <v>183</v>
      </c>
      <c r="E22" s="4"/>
      <c r="F22" s="12"/>
      <c r="G22" s="12"/>
      <c r="H22" s="12"/>
      <c r="I22" s="12"/>
      <c r="J22" s="12"/>
      <c r="K22" s="12"/>
      <c r="L22" s="12"/>
    </row>
    <row r="23" customFormat="false" ht="15" hidden="false" customHeight="true" outlineLevel="0" collapsed="false">
      <c r="A23" s="12" t="s">
        <v>398</v>
      </c>
      <c r="B23" s="4" t="s">
        <v>46</v>
      </c>
      <c r="C23" s="34" t="n">
        <v>0.2</v>
      </c>
      <c r="D23" s="4" t="s">
        <v>399</v>
      </c>
      <c r="E23" s="4" t="s">
        <v>400</v>
      </c>
      <c r="F23" s="12"/>
      <c r="G23" s="12"/>
      <c r="H23" s="12"/>
      <c r="I23" s="12"/>
      <c r="J23" s="12"/>
      <c r="K23" s="12"/>
      <c r="L23" s="12"/>
    </row>
    <row r="24" customFormat="false" ht="15" hidden="false" customHeight="true" outlineLevel="0" collapsed="false">
      <c r="A24" s="12" t="s">
        <v>401</v>
      </c>
      <c r="B24" s="4" t="s">
        <v>46</v>
      </c>
      <c r="C24" s="34" t="n">
        <v>0.5</v>
      </c>
      <c r="D24" s="4" t="s">
        <v>83</v>
      </c>
      <c r="E24" s="4" t="s">
        <v>402</v>
      </c>
      <c r="F24" s="12"/>
      <c r="G24" s="12"/>
      <c r="H24" s="12"/>
      <c r="I24" s="12"/>
      <c r="J24" s="12"/>
      <c r="K24" s="12"/>
      <c r="L24" s="12"/>
    </row>
    <row r="25" customFormat="false" ht="15" hidden="false" customHeight="true" outlineLevel="0" collapsed="false">
      <c r="A25" s="12" t="s">
        <v>403</v>
      </c>
      <c r="B25" s="4" t="s">
        <v>29</v>
      </c>
      <c r="C25" s="36" t="n">
        <v>218543</v>
      </c>
      <c r="D25" s="4" t="s">
        <v>87</v>
      </c>
      <c r="E25" s="4" t="s">
        <v>404</v>
      </c>
      <c r="F25" s="12"/>
      <c r="G25" s="12"/>
      <c r="H25" s="12"/>
      <c r="I25" s="12"/>
      <c r="J25" s="12"/>
      <c r="K25" s="12"/>
      <c r="L25" s="12"/>
    </row>
    <row r="26" customFormat="false" ht="15" hidden="false" customHeight="true" outlineLevel="0" collapsed="false">
      <c r="A26" s="12" t="s">
        <v>405</v>
      </c>
      <c r="B26" s="4" t="s">
        <v>37</v>
      </c>
      <c r="C26" s="42" t="n">
        <f aca="false">C25/C20</f>
        <v>1.1002628028274</v>
      </c>
      <c r="D26" s="4" t="s">
        <v>83</v>
      </c>
      <c r="E26" s="4" t="s">
        <v>406</v>
      </c>
      <c r="F26" s="12"/>
      <c r="G26" s="12"/>
      <c r="H26" s="12"/>
      <c r="I26" s="12"/>
      <c r="J26" s="12"/>
      <c r="K26" s="12"/>
      <c r="L26" s="12"/>
    </row>
    <row r="27" customFormat="false" ht="15" hidden="false" customHeight="true" outlineLevel="0" collapsed="false">
      <c r="A27" s="12" t="s">
        <v>407</v>
      </c>
      <c r="B27" s="4" t="s">
        <v>46</v>
      </c>
      <c r="C27" s="34" t="n">
        <v>0.4</v>
      </c>
      <c r="D27" s="4" t="s">
        <v>117</v>
      </c>
      <c r="E27" s="4" t="s">
        <v>408</v>
      </c>
      <c r="F27" s="12"/>
      <c r="G27" s="12"/>
      <c r="H27" s="12"/>
      <c r="I27" s="12"/>
      <c r="J27" s="12"/>
      <c r="K27" s="12"/>
      <c r="L27" s="12"/>
    </row>
    <row r="28" customFormat="false" ht="15" hidden="false" customHeight="true" outlineLevel="0" collapsed="false">
      <c r="A28" s="12" t="s">
        <v>409</v>
      </c>
      <c r="B28" s="4" t="s">
        <v>46</v>
      </c>
      <c r="C28" s="34" t="n">
        <v>0.533</v>
      </c>
      <c r="D28" s="4" t="s">
        <v>87</v>
      </c>
      <c r="E28" s="4" t="s">
        <v>410</v>
      </c>
      <c r="F28" s="12"/>
      <c r="G28" s="12"/>
      <c r="H28" s="12"/>
      <c r="I28" s="12"/>
      <c r="J28" s="12"/>
      <c r="K28" s="12"/>
      <c r="L28" s="12"/>
    </row>
    <row r="29" customFormat="false" ht="15" hidden="false" customHeight="tru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</row>
    <row r="30" customFormat="false" ht="15" hidden="false" customHeight="true" outlineLevel="0" collapsed="false">
      <c r="A30" s="10" t="s">
        <v>411</v>
      </c>
      <c r="B30" s="10"/>
      <c r="C30" s="10"/>
      <c r="D30" s="10"/>
      <c r="E30" s="10"/>
      <c r="F30" s="10"/>
      <c r="G30" s="10"/>
      <c r="H30" s="10"/>
      <c r="I30" s="10"/>
      <c r="J30" s="12"/>
      <c r="K30" s="12"/>
      <c r="L30" s="12"/>
    </row>
    <row r="31" customFormat="false" ht="30" hidden="false" customHeight="true" outlineLevel="0" collapsed="false">
      <c r="A31" s="15" t="s">
        <v>412</v>
      </c>
      <c r="B31" s="15" t="s">
        <v>42</v>
      </c>
      <c r="C31" s="15" t="s">
        <v>413</v>
      </c>
      <c r="D31" s="15" t="s">
        <v>414</v>
      </c>
      <c r="E31" s="15" t="s">
        <v>415</v>
      </c>
      <c r="F31" s="15" t="s">
        <v>416</v>
      </c>
      <c r="G31" s="15"/>
      <c r="H31" s="15"/>
      <c r="I31" s="15" t="s">
        <v>417</v>
      </c>
      <c r="J31" s="12"/>
      <c r="K31" s="12"/>
      <c r="L31" s="12"/>
    </row>
    <row r="32" customFormat="false" ht="15" hidden="false" customHeight="true" outlineLevel="0" collapsed="false">
      <c r="A32" s="40" t="s">
        <v>418</v>
      </c>
      <c r="B32" s="12"/>
      <c r="C32" s="20" t="n">
        <f aca="false">D56</f>
        <v>63728</v>
      </c>
      <c r="D32" s="25" t="n">
        <f aca="false">3_Pricing!$F$8</f>
        <v>28.75</v>
      </c>
      <c r="E32" s="20" t="n">
        <f aca="false">C32*D32</f>
        <v>1832180</v>
      </c>
      <c r="F32" s="43" t="n">
        <f aca="false">E32/100</f>
        <v>18321.8</v>
      </c>
      <c r="G32" s="12"/>
      <c r="H32" s="12"/>
      <c r="I32" s="4" t="s">
        <v>419</v>
      </c>
      <c r="J32" s="12"/>
      <c r="K32" s="12"/>
      <c r="L32" s="12"/>
    </row>
    <row r="33" customFormat="false" ht="15" hidden="false" customHeight="true" outlineLevel="0" collapsed="false">
      <c r="A33" s="40" t="s">
        <v>420</v>
      </c>
      <c r="B33" s="12"/>
      <c r="C33" s="20" t="n">
        <f aca="false">D58</f>
        <v>15031.1333195687</v>
      </c>
      <c r="D33" s="25" t="n">
        <f aca="false">3_Pricing!$F$8</f>
        <v>28.75</v>
      </c>
      <c r="E33" s="20" t="n">
        <f aca="false">C33*D33</f>
        <v>432145.0829376</v>
      </c>
      <c r="F33" s="43" t="n">
        <f aca="false">E33/100</f>
        <v>4321.450829376</v>
      </c>
      <c r="G33" s="12"/>
      <c r="H33" s="12"/>
      <c r="I33" s="4" t="s">
        <v>421</v>
      </c>
      <c r="J33" s="12"/>
      <c r="K33" s="12"/>
      <c r="L33" s="12"/>
    </row>
    <row r="34" customFormat="false" ht="15" hidden="false" customHeight="true" outlineLevel="0" collapsed="false">
      <c r="A34" s="40" t="s">
        <v>422</v>
      </c>
      <c r="B34" s="12"/>
      <c r="C34" s="20" t="n">
        <f aca="false">D61</f>
        <v>3204.63762373204</v>
      </c>
      <c r="D34" s="25" t="n">
        <f aca="false">3_Pricing!$F$8</f>
        <v>28.75</v>
      </c>
      <c r="E34" s="20" t="n">
        <f aca="false">C34*D34</f>
        <v>92133.3316822963</v>
      </c>
      <c r="F34" s="43" t="n">
        <f aca="false">E34/100</f>
        <v>921.333316822963</v>
      </c>
      <c r="G34" s="12"/>
      <c r="H34" s="12"/>
      <c r="I34" s="4" t="s">
        <v>423</v>
      </c>
      <c r="J34" s="12"/>
      <c r="K34" s="12"/>
      <c r="L34" s="12"/>
    </row>
    <row r="35" customFormat="false" ht="15" hidden="false" customHeight="true" outlineLevel="0" collapsed="false">
      <c r="A35" s="40" t="s">
        <v>424</v>
      </c>
      <c r="B35" s="12"/>
      <c r="C35" s="20" t="n">
        <f aca="false">INDEX(Engine_Monthly!$D$49:$BK$49,1,5*12)</f>
        <v>400.000009074275</v>
      </c>
      <c r="D35" s="25" t="n">
        <f aca="false">4_Revenue_Build!G34</f>
        <v>39.3644441863599</v>
      </c>
      <c r="E35" s="20" t="n">
        <f aca="false">C35*D35</f>
        <v>15745.7780317477</v>
      </c>
      <c r="F35" s="43" t="n">
        <f aca="false">E35/100</f>
        <v>157.457780317477</v>
      </c>
      <c r="G35" s="12"/>
      <c r="H35" s="12"/>
      <c r="I35" s="4" t="s">
        <v>425</v>
      </c>
      <c r="J35" s="12"/>
      <c r="K35" s="12"/>
      <c r="L35" s="12"/>
    </row>
    <row r="36" customFormat="false" ht="15" hidden="false" customHeight="true" outlineLevel="0" collapsed="false">
      <c r="A36" s="12" t="s">
        <v>426</v>
      </c>
      <c r="B36" s="12"/>
      <c r="C36" s="17" t="n">
        <f aca="false">IFERROR(C35/C34,0)</f>
        <v>0.124819107818014</v>
      </c>
      <c r="D36" s="12"/>
      <c r="E36" s="12"/>
      <c r="F36" s="12"/>
      <c r="G36" s="12"/>
      <c r="H36" s="12"/>
      <c r="I36" s="4" t="s">
        <v>427</v>
      </c>
      <c r="J36" s="12"/>
      <c r="K36" s="12"/>
      <c r="L36" s="12"/>
    </row>
    <row r="37" customFormat="false" ht="15" hidden="false" customHeight="true" outlineLevel="0" collapsed="false">
      <c r="A37" s="40" t="s">
        <v>428</v>
      </c>
      <c r="B37" s="12"/>
      <c r="C37" s="20" t="n">
        <f aca="false">14_Valuation!C87</f>
        <v>388.302421038131</v>
      </c>
      <c r="D37" s="25" t="n">
        <f aca="false">14_Valuation!C89</f>
        <v>50.2401143331115</v>
      </c>
      <c r="E37" s="20" t="n">
        <f aca="false">C37*D37</f>
        <v>19508.3580287797</v>
      </c>
      <c r="F37" s="43" t="n">
        <f aca="false">E37/100</f>
        <v>195.083580287797</v>
      </c>
      <c r="G37" s="12"/>
      <c r="H37" s="12"/>
      <c r="I37" s="4" t="s">
        <v>429</v>
      </c>
      <c r="J37" s="12"/>
      <c r="K37" s="12"/>
      <c r="L37" s="12"/>
    </row>
    <row r="38" customFormat="false" ht="15" hidden="false" customHeight="true" outlineLevel="0" collapsed="false">
      <c r="A38" s="12" t="s">
        <v>430</v>
      </c>
      <c r="B38" s="12"/>
      <c r="C38" s="17" t="n">
        <f aca="false">IFERROR(C37/C34,0)</f>
        <v>0.121168901645086</v>
      </c>
      <c r="D38" s="12"/>
      <c r="E38" s="12"/>
      <c r="F38" s="12"/>
      <c r="G38" s="12"/>
      <c r="H38" s="12"/>
      <c r="I38" s="4" t="s">
        <v>431</v>
      </c>
      <c r="J38" s="12"/>
      <c r="K38" s="12"/>
      <c r="L38" s="12"/>
    </row>
    <row r="39" customFormat="false" ht="15" hidden="false" customHeight="true" outlineLevel="0" collapsed="false">
      <c r="A39" s="4" t="s">
        <v>432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customFormat="false" ht="15" hidden="false" customHeight="true" outlineLevel="0" collapsed="false">
      <c r="A40" s="10" t="s">
        <v>433</v>
      </c>
      <c r="B40" s="10"/>
      <c r="C40" s="10"/>
      <c r="D40" s="10"/>
      <c r="E40" s="10"/>
      <c r="F40" s="10"/>
      <c r="G40" s="10"/>
      <c r="H40" s="10"/>
      <c r="I40" s="10"/>
      <c r="J40" s="12"/>
      <c r="K40" s="12"/>
      <c r="L40" s="12"/>
    </row>
    <row r="41" customFormat="false" ht="15" hidden="false" customHeight="true" outlineLevel="0" collapsed="false">
      <c r="A41" s="12" t="s">
        <v>434</v>
      </c>
      <c r="B41" s="12"/>
      <c r="C41" s="20" t="n">
        <f aca="false">SUM(Engine_Monthly!$D$20:$BK$20)</f>
        <v>3570.190752</v>
      </c>
      <c r="D41" s="12"/>
      <c r="E41" s="12"/>
      <c r="F41" s="12"/>
      <c r="G41" s="12"/>
      <c r="H41" s="12"/>
      <c r="I41" s="4"/>
      <c r="J41" s="12"/>
      <c r="K41" s="12"/>
      <c r="L41" s="12"/>
    </row>
    <row r="42" customFormat="false" ht="15" hidden="false" customHeight="true" outlineLevel="0" collapsed="false">
      <c r="A42" s="12" t="s">
        <v>435</v>
      </c>
      <c r="B42" s="12"/>
      <c r="C42" s="17" t="n">
        <f aca="false">IFERROR(C41/C34,0)</f>
        <v>1.11407003573847</v>
      </c>
      <c r="D42" s="12"/>
      <c r="E42" s="12"/>
      <c r="F42" s="12"/>
      <c r="G42" s="12"/>
      <c r="H42" s="12"/>
      <c r="I42" s="4" t="s">
        <v>436</v>
      </c>
      <c r="J42" s="12"/>
      <c r="K42" s="12"/>
      <c r="L42" s="12"/>
    </row>
    <row r="43" customFormat="false" ht="15" hidden="false" customHeight="true" outlineLevel="0" collapsed="false">
      <c r="A43" s="12" t="s">
        <v>437</v>
      </c>
      <c r="B43" s="12"/>
      <c r="C43" s="20" t="n">
        <f aca="false">SUM(Engine_Monthly!$D$22:$BK$22)</f>
        <v>71403.81504</v>
      </c>
      <c r="D43" s="12"/>
      <c r="E43" s="12"/>
      <c r="F43" s="12"/>
      <c r="G43" s="12"/>
      <c r="H43" s="12"/>
      <c r="I43" s="4"/>
      <c r="J43" s="12"/>
      <c r="K43" s="12"/>
      <c r="L43" s="12"/>
    </row>
    <row r="44" customFormat="false" ht="15" hidden="false" customHeight="true" outlineLevel="0" collapsed="false">
      <c r="A44" s="12" t="s">
        <v>438</v>
      </c>
      <c r="B44" s="12"/>
      <c r="C44" s="17" t="n">
        <f aca="false">IFERROR(C43/C33,0)</f>
        <v>4.75039463238883</v>
      </c>
      <c r="D44" s="12"/>
      <c r="E44" s="12"/>
      <c r="F44" s="12"/>
      <c r="G44" s="12"/>
      <c r="H44" s="12"/>
      <c r="I44" s="4" t="str">
        <f aca="false">IFERROR("Over 5 years: "&amp;TEXT(C43/C34,"0.0")&amp;"x SAM plants, about "&amp;TEXT(C43/C34/5,"0.0")&amp;" engagements per SAM plant a year (events, outbound, partner referrals; repeats counted). Unique demand test is row 42.","")</f>
        <v>Over 5 years: 22.3x SAM plants, about 4.5 engagements per SAM plant a year (events, outbound, partner referrals; repeats counted). Unique demand test is row 42.</v>
      </c>
      <c r="J44" s="12"/>
      <c r="K44" s="12"/>
      <c r="L44" s="12"/>
    </row>
    <row r="45" customFormat="false" ht="15" hidden="false" customHeight="true" outlineLevel="0" collapsed="false">
      <c r="A45" s="12" t="s">
        <v>439</v>
      </c>
      <c r="B45" s="12"/>
      <c r="C45" s="16" t="n">
        <f aca="false">SUM(Engine_Monthly!$D$32:$BK$32)</f>
        <v>490.484742</v>
      </c>
      <c r="D45" s="12"/>
      <c r="E45" s="12"/>
      <c r="F45" s="12"/>
      <c r="G45" s="12"/>
      <c r="H45" s="12"/>
      <c r="I45" s="4"/>
      <c r="J45" s="12"/>
      <c r="K45" s="12"/>
      <c r="L45" s="12"/>
    </row>
    <row r="46" customFormat="false" ht="15" hidden="false" customHeight="tru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customFormat="false" ht="15" hidden="false" customHeight="true" outlineLevel="0" collapsed="false">
      <c r="A47" s="10" t="s">
        <v>440</v>
      </c>
      <c r="B47" s="10"/>
      <c r="C47" s="10"/>
      <c r="D47" s="10"/>
      <c r="E47" s="10"/>
      <c r="F47" s="10"/>
      <c r="G47" s="10"/>
      <c r="H47" s="10"/>
      <c r="I47" s="10"/>
      <c r="J47" s="12"/>
      <c r="K47" s="12"/>
      <c r="L47" s="12"/>
    </row>
    <row r="48" customFormat="false" ht="30" hidden="false" customHeight="true" outlineLevel="0" collapsed="false">
      <c r="A48" s="15" t="s">
        <v>412</v>
      </c>
      <c r="B48" s="15"/>
      <c r="C48" s="15" t="s">
        <v>441</v>
      </c>
      <c r="D48" s="15" t="s">
        <v>442</v>
      </c>
      <c r="E48" s="15" t="s">
        <v>443</v>
      </c>
      <c r="F48" s="15" t="s">
        <v>444</v>
      </c>
      <c r="G48" s="15" t="s">
        <v>445</v>
      </c>
      <c r="H48" s="15" t="s">
        <v>446</v>
      </c>
      <c r="I48" s="15" t="s">
        <v>447</v>
      </c>
      <c r="J48" s="12"/>
      <c r="K48" s="12"/>
      <c r="L48" s="12"/>
    </row>
    <row r="49" customFormat="false" ht="15" hidden="false" customHeight="true" outlineLevel="0" collapsed="false">
      <c r="A49" s="40" t="s">
        <v>448</v>
      </c>
      <c r="B49" s="12"/>
      <c r="C49" s="20" t="n">
        <v>30749</v>
      </c>
      <c r="D49" s="16" t="n">
        <v>2748.96</v>
      </c>
      <c r="E49" s="20" t="n">
        <f aca="false">C32</f>
        <v>63728</v>
      </c>
      <c r="F49" s="16" t="n">
        <f aca="false">F32</f>
        <v>18321.8</v>
      </c>
      <c r="G49" s="44" t="n">
        <v>43708.6</v>
      </c>
      <c r="H49" s="45" t="n">
        <v>5638.41</v>
      </c>
      <c r="I49" s="4" t="s">
        <v>449</v>
      </c>
      <c r="J49" s="12"/>
      <c r="K49" s="12"/>
      <c r="L49" s="12"/>
    </row>
    <row r="50" customFormat="false" ht="15" hidden="false" customHeight="true" outlineLevel="0" collapsed="false">
      <c r="A50" s="40" t="s">
        <v>371</v>
      </c>
      <c r="B50" s="12"/>
      <c r="C50" s="20" t="n">
        <v>1007.29</v>
      </c>
      <c r="D50" s="16" t="n">
        <v>90.05</v>
      </c>
      <c r="E50" s="20" t="n">
        <f aca="false">C34</f>
        <v>3204.63762373204</v>
      </c>
      <c r="F50" s="16" t="n">
        <f aca="false">F34</f>
        <v>921.333316822963</v>
      </c>
      <c r="G50" s="44" t="n">
        <v>3248.09</v>
      </c>
      <c r="H50" s="45" t="n">
        <v>419</v>
      </c>
      <c r="I50" s="4" t="s">
        <v>450</v>
      </c>
      <c r="J50" s="12"/>
      <c r="K50" s="12"/>
      <c r="L50" s="12"/>
    </row>
    <row r="51" customFormat="false" ht="15" hidden="false" customHeight="true" outlineLevel="0" collapsed="false">
      <c r="A51" s="40" t="s">
        <v>451</v>
      </c>
      <c r="B51" s="12"/>
      <c r="C51" s="20" t="n">
        <v>83.37</v>
      </c>
      <c r="D51" s="16" t="n">
        <v>9.94</v>
      </c>
      <c r="E51" s="20" t="n">
        <f aca="false">C35</f>
        <v>400.000009074275</v>
      </c>
      <c r="F51" s="16" t="n">
        <f aca="false">F35</f>
        <v>157.457780317477</v>
      </c>
      <c r="G51" s="44" t="n">
        <v>120.1</v>
      </c>
      <c r="H51" s="45" t="n">
        <v>21.67</v>
      </c>
      <c r="I51" s="4" t="s">
        <v>452</v>
      </c>
      <c r="J51" s="12"/>
      <c r="K51" s="12"/>
      <c r="L51" s="12"/>
    </row>
    <row r="52" customFormat="false" ht="15" hidden="false" customHeight="true" outlineLevel="0" collapsed="false">
      <c r="A52" s="4" t="s">
        <v>453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customFormat="false" ht="15" hidden="false" customHeight="tru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</row>
    <row r="54" customFormat="false" ht="15" hidden="false" customHeight="true" outlineLevel="0" collapsed="false">
      <c r="A54" s="10" t="s">
        <v>454</v>
      </c>
      <c r="B54" s="46"/>
      <c r="C54" s="46"/>
      <c r="D54" s="46"/>
      <c r="E54" s="46"/>
      <c r="F54" s="46"/>
      <c r="G54" s="46"/>
      <c r="H54" s="46"/>
      <c r="I54" s="46"/>
      <c r="J54" s="12"/>
      <c r="K54" s="12"/>
      <c r="L54" s="12"/>
    </row>
    <row r="55" customFormat="false" ht="15" hidden="false" customHeight="true" outlineLevel="0" collapsed="false">
      <c r="A55" s="15" t="s">
        <v>455</v>
      </c>
      <c r="B55" s="15" t="s">
        <v>42</v>
      </c>
      <c r="C55" s="15" t="s">
        <v>456</v>
      </c>
      <c r="D55" s="15" t="s">
        <v>413</v>
      </c>
      <c r="E55" s="15" t="s">
        <v>77</v>
      </c>
      <c r="F55" s="15"/>
      <c r="G55" s="15"/>
      <c r="H55" s="15"/>
      <c r="I55" s="15" t="s">
        <v>457</v>
      </c>
      <c r="J55" s="12"/>
      <c r="K55" s="12"/>
      <c r="L55" s="12"/>
    </row>
    <row r="56" customFormat="false" ht="15" hidden="false" customHeight="true" outlineLevel="0" collapsed="false">
      <c r="A56" s="5" t="s">
        <v>458</v>
      </c>
      <c r="B56" s="4" t="s">
        <v>29</v>
      </c>
      <c r="C56" s="12"/>
      <c r="D56" s="47" t="n">
        <v>63728</v>
      </c>
      <c r="E56" s="4" t="s">
        <v>459</v>
      </c>
      <c r="F56" s="12"/>
      <c r="G56" s="12"/>
      <c r="H56" s="12"/>
      <c r="I56" s="4" t="s">
        <v>460</v>
      </c>
      <c r="J56" s="12"/>
      <c r="K56" s="12"/>
      <c r="L56" s="12"/>
    </row>
    <row r="57" customFormat="false" ht="15" hidden="false" customHeight="true" outlineLevel="0" collapsed="false">
      <c r="A57" s="12" t="s">
        <v>461</v>
      </c>
      <c r="B57" s="4" t="s">
        <v>46</v>
      </c>
      <c r="C57" s="34" t="n">
        <v>1</v>
      </c>
      <c r="D57" s="20" t="n">
        <f aca="false">D56*C57</f>
        <v>63728</v>
      </c>
      <c r="E57" s="4" t="s">
        <v>462</v>
      </c>
      <c r="F57" s="12"/>
      <c r="G57" s="12"/>
      <c r="H57" s="12"/>
      <c r="I57" s="4" t="s">
        <v>463</v>
      </c>
      <c r="J57" s="12"/>
      <c r="K57" s="12"/>
      <c r="L57" s="12"/>
    </row>
    <row r="58" customFormat="false" ht="15" hidden="false" customHeight="true" outlineLevel="0" collapsed="false">
      <c r="A58" s="12" t="s">
        <v>464</v>
      </c>
      <c r="B58" s="4" t="s">
        <v>46</v>
      </c>
      <c r="C58" s="37" t="n">
        <f aca="false">H15/G15</f>
        <v>0.235863879606589</v>
      </c>
      <c r="D58" s="20" t="n">
        <f aca="false">D57*C58</f>
        <v>15031.1333195687</v>
      </c>
      <c r="E58" s="4" t="s">
        <v>465</v>
      </c>
      <c r="F58" s="12"/>
      <c r="G58" s="12"/>
      <c r="H58" s="12"/>
      <c r="I58" s="4" t="s">
        <v>466</v>
      </c>
      <c r="J58" s="12"/>
      <c r="K58" s="12"/>
      <c r="L58" s="12"/>
    </row>
    <row r="59" customFormat="false" ht="15" hidden="false" customHeight="true" outlineLevel="0" collapsed="false">
      <c r="A59" s="12" t="s">
        <v>467</v>
      </c>
      <c r="B59" s="4" t="s">
        <v>46</v>
      </c>
      <c r="C59" s="37" t="n">
        <f aca="false">C28</f>
        <v>0.533</v>
      </c>
      <c r="D59" s="20" t="n">
        <f aca="false">D58*C59</f>
        <v>8011.59405933011</v>
      </c>
      <c r="E59" s="4" t="s">
        <v>468</v>
      </c>
      <c r="F59" s="12"/>
      <c r="G59" s="12"/>
      <c r="H59" s="12"/>
      <c r="I59" s="4" t="s">
        <v>469</v>
      </c>
      <c r="J59" s="12"/>
      <c r="K59" s="12"/>
      <c r="L59" s="12"/>
    </row>
    <row r="60" customFormat="false" ht="15" hidden="false" customHeight="true" outlineLevel="0" collapsed="false">
      <c r="A60" s="12" t="s">
        <v>470</v>
      </c>
      <c r="B60" s="4" t="s">
        <v>46</v>
      </c>
      <c r="C60" s="37" t="n">
        <f aca="false">C27</f>
        <v>0.4</v>
      </c>
      <c r="D60" s="20" t="n">
        <f aca="false">D59*C60</f>
        <v>3204.63762373204</v>
      </c>
      <c r="E60" s="4" t="s">
        <v>471</v>
      </c>
      <c r="F60" s="12"/>
      <c r="G60" s="12"/>
      <c r="H60" s="12"/>
      <c r="I60" s="4" t="s">
        <v>472</v>
      </c>
      <c r="J60" s="12"/>
      <c r="K60" s="12"/>
      <c r="L60" s="12"/>
    </row>
    <row r="61" customFormat="false" ht="15" hidden="false" customHeight="true" outlineLevel="0" collapsed="false">
      <c r="A61" s="5" t="s">
        <v>473</v>
      </c>
      <c r="B61" s="4" t="s">
        <v>29</v>
      </c>
      <c r="D61" s="48" t="n">
        <f aca="false">D60</f>
        <v>3204.63762373204</v>
      </c>
      <c r="E61" s="4" t="s">
        <v>183</v>
      </c>
      <c r="I61" s="4" t="s">
        <v>474</v>
      </c>
    </row>
    <row r="62" customFormat="false" ht="15" hidden="false" customHeight="true" outlineLevel="0" collapsed="false">
      <c r="A62" s="12" t="s">
        <v>475</v>
      </c>
      <c r="C62" s="17" t="n">
        <f aca="false">IFERROR(D61/D56,0)</f>
        <v>0.0502861791321247</v>
      </c>
    </row>
    <row r="64" customFormat="false" ht="15" hidden="false" customHeight="true" outlineLevel="0" collapsed="false">
      <c r="A64" s="15" t="s">
        <v>476</v>
      </c>
      <c r="B64" s="15" t="s">
        <v>42</v>
      </c>
      <c r="C64" s="15" t="s">
        <v>68</v>
      </c>
      <c r="D64" s="15" t="s">
        <v>69</v>
      </c>
      <c r="E64" s="15" t="s">
        <v>70</v>
      </c>
      <c r="F64" s="15"/>
      <c r="G64" s="15"/>
      <c r="H64" s="15"/>
      <c r="I64" s="15" t="s">
        <v>477</v>
      </c>
    </row>
    <row r="65" customFormat="false" ht="15" hidden="false" customHeight="true" outlineLevel="0" collapsed="false">
      <c r="A65" s="12" t="s">
        <v>478</v>
      </c>
      <c r="B65" s="4" t="s">
        <v>29</v>
      </c>
      <c r="C65" s="23" t="n">
        <f aca="false">Inputs!D151</f>
        <v>200</v>
      </c>
      <c r="D65" s="23" t="n">
        <f aca="false">Inputs!E151</f>
        <v>400</v>
      </c>
      <c r="E65" s="23" t="n">
        <f aca="false">Inputs!F151</f>
        <v>600</v>
      </c>
    </row>
    <row r="66" customFormat="false" ht="15" hidden="false" customHeight="true" outlineLevel="0" collapsed="false">
      <c r="A66" s="12" t="s">
        <v>435</v>
      </c>
      <c r="B66" s="4" t="s">
        <v>46</v>
      </c>
      <c r="C66" s="17" t="n">
        <f aca="false">IFERROR(C65/$D$61,0)</f>
        <v>0.0624095524932035</v>
      </c>
      <c r="D66" s="17" t="n">
        <f aca="false">IFERROR(D65/$D$61,0)</f>
        <v>0.124819104986407</v>
      </c>
      <c r="E66" s="17" t="n">
        <f aca="false">IFERROR(E65/$D$61,0)</f>
        <v>0.187228657479611</v>
      </c>
      <c r="I66" s="4" t="s">
        <v>479</v>
      </c>
    </row>
    <row r="67" customFormat="false" ht="15" hidden="false" customHeight="true" outlineLevel="0" collapsed="false">
      <c r="A67" s="12" t="s">
        <v>480</v>
      </c>
      <c r="B67" s="4" t="s">
        <v>46</v>
      </c>
      <c r="C67" s="17" t="n">
        <f aca="false">IFERROR(C65/$D$56,0)</f>
        <v>0.00313833793622897</v>
      </c>
      <c r="D67" s="17" t="n">
        <f aca="false">IFERROR(D65/$D$56,0)</f>
        <v>0.00627667587245795</v>
      </c>
      <c r="E67" s="17" t="n">
        <f aca="false">IFERROR(E65/$D$56,0)</f>
        <v>0.00941501380868692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4"/>
    <col collapsed="false" customWidth="true" hidden="false" outlineLevel="0" max="5" min="3" style="1" width="30"/>
    <col collapsed="false" customWidth="true" hidden="false" outlineLevel="0" max="6" min="6" style="1" width="22"/>
    <col collapsed="false" customWidth="true" hidden="false" outlineLevel="0" max="7" min="7" style="1" width="50"/>
  </cols>
  <sheetData>
    <row r="1" customFormat="false" ht="17.25" hidden="false" customHeight="true" outlineLevel="0" collapsed="false">
      <c r="A1" s="2" t="s">
        <v>481</v>
      </c>
      <c r="B1" s="3"/>
      <c r="C1" s="3"/>
      <c r="D1" s="3"/>
      <c r="E1" s="3"/>
      <c r="F1" s="3"/>
      <c r="G1" s="3"/>
    </row>
    <row r="3" customFormat="false" ht="15" hidden="false" customHeight="true" outlineLevel="0" collapsed="false">
      <c r="A3" s="10" t="s">
        <v>482</v>
      </c>
      <c r="B3" s="11"/>
      <c r="C3" s="11"/>
      <c r="D3" s="11"/>
      <c r="E3" s="11"/>
      <c r="F3" s="11"/>
      <c r="G3" s="11"/>
    </row>
    <row r="4" customFormat="false" ht="23.25" hidden="false" customHeight="true" outlineLevel="0" collapsed="false">
      <c r="A4" s="15" t="s">
        <v>483</v>
      </c>
      <c r="B4" s="15"/>
      <c r="C4" s="15" t="s">
        <v>484</v>
      </c>
      <c r="D4" s="15" t="s">
        <v>485</v>
      </c>
      <c r="E4" s="15" t="s">
        <v>486</v>
      </c>
      <c r="F4" s="15" t="s">
        <v>487</v>
      </c>
      <c r="G4" s="15" t="s">
        <v>369</v>
      </c>
    </row>
    <row r="5" customFormat="false" ht="48" hidden="false" customHeight="true" outlineLevel="0" collapsed="false">
      <c r="A5" s="5" t="s">
        <v>488</v>
      </c>
      <c r="C5" s="49" t="s">
        <v>489</v>
      </c>
      <c r="D5" s="49" t="s">
        <v>490</v>
      </c>
      <c r="E5" s="49" t="s">
        <v>491</v>
      </c>
    </row>
    <row r="6" customFormat="false" ht="48" hidden="false" customHeight="true" outlineLevel="0" collapsed="false">
      <c r="A6" s="5" t="s">
        <v>492</v>
      </c>
      <c r="C6" s="49" t="s">
        <v>493</v>
      </c>
      <c r="D6" s="49" t="s">
        <v>494</v>
      </c>
      <c r="E6" s="49" t="s">
        <v>495</v>
      </c>
    </row>
    <row r="7" customFormat="false" ht="48" hidden="false" customHeight="true" outlineLevel="0" collapsed="false">
      <c r="A7" s="5" t="s">
        <v>496</v>
      </c>
      <c r="C7" s="49" t="s">
        <v>497</v>
      </c>
      <c r="D7" s="49" t="s">
        <v>498</v>
      </c>
      <c r="E7" s="49" t="s">
        <v>499</v>
      </c>
    </row>
    <row r="8" customFormat="false" ht="15" hidden="false" customHeight="true" outlineLevel="0" collapsed="false">
      <c r="A8" s="12" t="s">
        <v>500</v>
      </c>
      <c r="C8" s="25" t="n">
        <f aca="false">INDEX(C$51:C$53,Inputs!$C$3,1)</f>
        <v>15</v>
      </c>
      <c r="D8" s="25" t="n">
        <f aca="false">INDEX(D$51:D$53,Inputs!$C$3,1)</f>
        <v>30</v>
      </c>
      <c r="E8" s="25" t="n">
        <f aca="false">INDEX(E$51:E$53,Inputs!$C$3,1)</f>
        <v>50</v>
      </c>
      <c r="F8" s="31" t="n">
        <f aca="false">SUMPRODUCT($C$11:$E$11,C8:E8)</f>
        <v>28.75</v>
      </c>
      <c r="G8" s="4" t="s">
        <v>501</v>
      </c>
    </row>
    <row r="9" customFormat="false" ht="15" hidden="false" customHeight="true" outlineLevel="0" collapsed="false">
      <c r="A9" s="12" t="s">
        <v>502</v>
      </c>
      <c r="C9" s="18" t="n">
        <f aca="false">C8/12</f>
        <v>1.25</v>
      </c>
      <c r="D9" s="18" t="n">
        <f aca="false">D8/12</f>
        <v>2.5</v>
      </c>
      <c r="E9" s="18" t="n">
        <f aca="false">E8/12</f>
        <v>4.16666666666667</v>
      </c>
      <c r="G9" s="4"/>
    </row>
    <row r="10" customFormat="false" ht="15" hidden="false" customHeight="true" outlineLevel="0" collapsed="false">
      <c r="A10" s="12" t="s">
        <v>503</v>
      </c>
      <c r="C10" s="32" t="n">
        <v>3</v>
      </c>
      <c r="D10" s="32" t="n">
        <v>6</v>
      </c>
      <c r="E10" s="32" t="n">
        <v>12</v>
      </c>
      <c r="F10" s="31" t="n">
        <f aca="false">SUMPRODUCT($C$11:$E$11,C10:E10)</f>
        <v>6.15</v>
      </c>
      <c r="G10" s="4" t="s">
        <v>504</v>
      </c>
    </row>
    <row r="11" customFormat="false" ht="15" hidden="false" customHeight="true" outlineLevel="0" collapsed="false">
      <c r="A11" s="12" t="s">
        <v>505</v>
      </c>
      <c r="C11" s="37" t="n">
        <f aca="false">INDEX(C$54:C$56,Inputs!$C$3,1)</f>
        <v>0.35</v>
      </c>
      <c r="D11" s="37" t="n">
        <f aca="false">INDEX(D$54:D$56,Inputs!$C$3,1)</f>
        <v>0.45</v>
      </c>
      <c r="E11" s="37" t="n">
        <f aca="false">INDEX(E$54:E$56,Inputs!$C$3,1)</f>
        <v>0.2</v>
      </c>
      <c r="F11" s="33" t="n">
        <f aca="false">SUM(C11:E11)</f>
        <v>1</v>
      </c>
      <c r="G11" s="4" t="s">
        <v>506</v>
      </c>
    </row>
    <row r="12" customFormat="false" ht="15" hidden="false" customHeight="true" outlineLevel="0" collapsed="false">
      <c r="A12" s="12" t="s">
        <v>507</v>
      </c>
      <c r="C12" s="32" t="n">
        <v>0.6</v>
      </c>
      <c r="D12" s="32" t="n">
        <v>1</v>
      </c>
      <c r="E12" s="32" t="n">
        <v>1.8</v>
      </c>
      <c r="G12" s="4" t="s">
        <v>508</v>
      </c>
    </row>
    <row r="13" customFormat="false" ht="15" hidden="false" customHeight="true" outlineLevel="0" collapsed="false">
      <c r="A13" s="12" t="s">
        <v>509</v>
      </c>
      <c r="C13" s="32" t="n">
        <v>0.7</v>
      </c>
      <c r="D13" s="32" t="n">
        <v>1</v>
      </c>
      <c r="E13" s="32" t="n">
        <v>1.6</v>
      </c>
      <c r="G13" s="4"/>
    </row>
    <row r="14" customFormat="false" ht="15" hidden="false" customHeight="true" outlineLevel="0" collapsed="false">
      <c r="A14" s="12" t="s">
        <v>510</v>
      </c>
      <c r="C14" s="18" t="n">
        <f aca="false">(Inputs!$C$55+Inputs!$C$56+Inputs!$C$57+Inputs!$C$58+Inputs!$C$59)*12*C12+(Inputs!$C$75/Inputs!$C$64+Inputs!$C$76/Inputs!$C$65)*(1+Inputs!$C$11)*C13</f>
        <v>1.66304</v>
      </c>
      <c r="D14" s="18" t="n">
        <f aca="false">(Inputs!$C$55+Inputs!$C$56+Inputs!$C$57+Inputs!$C$58+Inputs!$C$59)*12*D12+(Inputs!$C$75/Inputs!$C$64+Inputs!$C$76/Inputs!$C$65)*(1+Inputs!$C$11)*D13</f>
        <v>2.6672</v>
      </c>
      <c r="E14" s="18" t="n">
        <f aca="false">(Inputs!$C$55+Inputs!$C$56+Inputs!$C$57+Inputs!$C$58+Inputs!$C$59)*12*E12+(Inputs!$C$75/Inputs!$C$64+Inputs!$C$76/Inputs!$C$65)*(1+Inputs!$C$11)*E13</f>
        <v>4.67552</v>
      </c>
      <c r="F14" s="31" t="n">
        <f aca="false">SUMPRODUCT($C$11:$E$11,C14:E14)</f>
        <v>2.717408</v>
      </c>
      <c r="G14" s="4" t="s">
        <v>511</v>
      </c>
    </row>
    <row r="15" customFormat="false" ht="15" hidden="false" customHeight="true" outlineLevel="0" collapsed="false">
      <c r="A15" s="12" t="s">
        <v>512</v>
      </c>
      <c r="C15" s="17" t="n">
        <f aca="false">IFERROR(1-C14/C8,0)</f>
        <v>0.889130666666667</v>
      </c>
      <c r="D15" s="17" t="n">
        <f aca="false">IFERROR(1-D14/D8,0)</f>
        <v>0.911093333333333</v>
      </c>
      <c r="E15" s="17" t="n">
        <f aca="false">IFERROR(1-E14/E8,0)</f>
        <v>0.9064896</v>
      </c>
      <c r="F15" s="33" t="n">
        <f aca="false">IFERROR(1-F14/F8,0)</f>
        <v>0.905481460869565</v>
      </c>
      <c r="G15" s="4" t="s">
        <v>513</v>
      </c>
    </row>
    <row r="16" customFormat="false" ht="36" hidden="false" customHeight="true" outlineLevel="0" collapsed="false">
      <c r="A16" s="5" t="s">
        <v>514</v>
      </c>
      <c r="C16" s="49" t="s">
        <v>515</v>
      </c>
      <c r="D16" s="49" t="s">
        <v>516</v>
      </c>
      <c r="E16" s="49" t="s">
        <v>517</v>
      </c>
    </row>
    <row r="17" customFormat="false" ht="36" hidden="false" customHeight="true" outlineLevel="0" collapsed="false">
      <c r="A17" s="5" t="s">
        <v>518</v>
      </c>
      <c r="C17" s="49" t="s">
        <v>519</v>
      </c>
      <c r="D17" s="49" t="s">
        <v>520</v>
      </c>
      <c r="E17" s="49" t="s">
        <v>521</v>
      </c>
    </row>
    <row r="18" customFormat="false" ht="15" hidden="false" customHeight="true" outlineLevel="0" collapsed="false">
      <c r="A18" s="5" t="s">
        <v>522</v>
      </c>
      <c r="C18" s="12" t="str">
        <f aca="false">IF(ABS(F11-1)&lt;0.0001,"OK","MIX ≠ 100%")</f>
        <v>OK</v>
      </c>
    </row>
    <row r="20" customFormat="false" ht="15" hidden="false" customHeight="true" outlineLevel="0" collapsed="false">
      <c r="A20" s="10" t="s">
        <v>523</v>
      </c>
      <c r="B20" s="11"/>
      <c r="C20" s="11"/>
      <c r="D20" s="11"/>
      <c r="E20" s="11"/>
      <c r="F20" s="11"/>
      <c r="G20" s="11"/>
    </row>
    <row r="21" customFormat="false" ht="15" hidden="false" customHeight="true" outlineLevel="0" collapsed="false">
      <c r="A21" s="15" t="s">
        <v>524</v>
      </c>
      <c r="B21" s="15"/>
      <c r="C21" s="15" t="s">
        <v>525</v>
      </c>
      <c r="D21" s="15" t="s">
        <v>526</v>
      </c>
      <c r="E21" s="15"/>
      <c r="F21" s="15"/>
      <c r="G21" s="15" t="s">
        <v>527</v>
      </c>
    </row>
    <row r="22" customFormat="false" ht="15" hidden="false" customHeight="true" outlineLevel="0" collapsed="false">
      <c r="A22" s="12" t="s">
        <v>528</v>
      </c>
      <c r="C22" s="12" t="s">
        <v>529</v>
      </c>
      <c r="D22" s="4" t="s">
        <v>530</v>
      </c>
      <c r="G22" s="4" t="s">
        <v>531</v>
      </c>
    </row>
    <row r="23" customFormat="false" ht="15" hidden="false" customHeight="true" outlineLevel="0" collapsed="false">
      <c r="A23" s="12" t="s">
        <v>532</v>
      </c>
      <c r="C23" s="12" t="s">
        <v>529</v>
      </c>
      <c r="D23" s="4" t="s">
        <v>533</v>
      </c>
      <c r="G23" s="4" t="s">
        <v>534</v>
      </c>
    </row>
    <row r="24" customFormat="false" ht="15" hidden="false" customHeight="true" outlineLevel="0" collapsed="false">
      <c r="A24" s="12" t="s">
        <v>535</v>
      </c>
      <c r="C24" s="12" t="s">
        <v>529</v>
      </c>
      <c r="D24" s="4" t="s">
        <v>536</v>
      </c>
      <c r="G24" s="4" t="s">
        <v>537</v>
      </c>
    </row>
    <row r="25" customFormat="false" ht="15" hidden="false" customHeight="true" outlineLevel="0" collapsed="false">
      <c r="A25" s="12" t="s">
        <v>538</v>
      </c>
      <c r="C25" s="12" t="s">
        <v>539</v>
      </c>
      <c r="D25" s="4" t="s">
        <v>540</v>
      </c>
      <c r="G25" s="4" t="s">
        <v>541</v>
      </c>
    </row>
    <row r="26" customFormat="false" ht="15" hidden="false" customHeight="true" outlineLevel="0" collapsed="false">
      <c r="A26" s="12" t="s">
        <v>542</v>
      </c>
      <c r="C26" s="12" t="s">
        <v>539</v>
      </c>
      <c r="D26" s="4" t="s">
        <v>540</v>
      </c>
      <c r="G26" s="4" t="s">
        <v>543</v>
      </c>
    </row>
    <row r="27" customFormat="false" ht="15" hidden="false" customHeight="true" outlineLevel="0" collapsed="false">
      <c r="A27" s="12" t="s">
        <v>544</v>
      </c>
      <c r="C27" s="12" t="s">
        <v>539</v>
      </c>
      <c r="D27" s="4" t="s">
        <v>545</v>
      </c>
      <c r="G27" s="4" t="s">
        <v>546</v>
      </c>
    </row>
    <row r="28" customFormat="false" ht="15" hidden="false" customHeight="true" outlineLevel="0" collapsed="false">
      <c r="A28" s="12" t="s">
        <v>547</v>
      </c>
      <c r="C28" s="12" t="s">
        <v>548</v>
      </c>
      <c r="D28" s="4" t="s">
        <v>549</v>
      </c>
      <c r="G28" s="4" t="s">
        <v>550</v>
      </c>
    </row>
    <row r="29" customFormat="false" ht="15" hidden="false" customHeight="true" outlineLevel="0" collapsed="false">
      <c r="A29" s="12" t="s">
        <v>551</v>
      </c>
      <c r="C29" s="12" t="s">
        <v>529</v>
      </c>
      <c r="D29" s="4" t="s">
        <v>552</v>
      </c>
      <c r="G29" s="4" t="s">
        <v>553</v>
      </c>
    </row>
    <row r="31" customFormat="false" ht="15" hidden="false" customHeight="true" outlineLevel="0" collapsed="false">
      <c r="A31" s="10" t="s">
        <v>554</v>
      </c>
      <c r="B31" s="11"/>
      <c r="C31" s="11"/>
      <c r="D31" s="11"/>
      <c r="E31" s="11"/>
      <c r="F31" s="11"/>
      <c r="G31" s="11"/>
    </row>
    <row r="32" customFormat="false" ht="15" hidden="false" customHeight="true" outlineLevel="0" collapsed="false">
      <c r="A32" s="15" t="s">
        <v>555</v>
      </c>
      <c r="B32" s="15"/>
      <c r="C32" s="15" t="s">
        <v>556</v>
      </c>
      <c r="D32" s="15" t="s">
        <v>557</v>
      </c>
      <c r="E32" s="15" t="s">
        <v>558</v>
      </c>
      <c r="F32" s="15"/>
      <c r="G32" s="15" t="s">
        <v>559</v>
      </c>
    </row>
    <row r="33" customFormat="false" ht="30" hidden="false" customHeight="true" outlineLevel="0" collapsed="false">
      <c r="A33" s="12" t="s">
        <v>560</v>
      </c>
      <c r="C33" s="30" t="s">
        <v>561</v>
      </c>
      <c r="D33" s="30" t="s">
        <v>562</v>
      </c>
      <c r="E33" s="12" t="s">
        <v>563</v>
      </c>
      <c r="G33" s="4" t="s">
        <v>564</v>
      </c>
    </row>
    <row r="34" customFormat="false" ht="30" hidden="false" customHeight="true" outlineLevel="0" collapsed="false">
      <c r="A34" s="12" t="s">
        <v>565</v>
      </c>
      <c r="C34" s="30" t="s">
        <v>566</v>
      </c>
      <c r="D34" s="30" t="s">
        <v>567</v>
      </c>
      <c r="E34" s="12" t="s">
        <v>568</v>
      </c>
      <c r="G34" s="4" t="s">
        <v>569</v>
      </c>
    </row>
    <row r="35" customFormat="false" ht="30" hidden="false" customHeight="true" outlineLevel="0" collapsed="false">
      <c r="A35" s="12" t="s">
        <v>570</v>
      </c>
      <c r="C35" s="30" t="s">
        <v>571</v>
      </c>
      <c r="D35" s="30" t="s">
        <v>572</v>
      </c>
      <c r="E35" s="12" t="s">
        <v>563</v>
      </c>
      <c r="G35" s="4" t="s">
        <v>573</v>
      </c>
    </row>
    <row r="36" customFormat="false" ht="30" hidden="false" customHeight="true" outlineLevel="0" collapsed="false">
      <c r="A36" s="12" t="s">
        <v>574</v>
      </c>
      <c r="C36" s="30" t="s">
        <v>575</v>
      </c>
      <c r="D36" s="30" t="s">
        <v>576</v>
      </c>
      <c r="E36" s="12" t="s">
        <v>577</v>
      </c>
      <c r="G36" s="5" t="s">
        <v>578</v>
      </c>
    </row>
    <row r="38" customFormat="false" ht="15" hidden="false" customHeight="true" outlineLevel="0" collapsed="false">
      <c r="A38" s="10" t="s">
        <v>579</v>
      </c>
      <c r="B38" s="11"/>
      <c r="C38" s="11"/>
      <c r="D38" s="11"/>
      <c r="E38" s="11"/>
      <c r="F38" s="11"/>
      <c r="G38" s="11"/>
    </row>
    <row r="39" customFormat="false" ht="15" hidden="false" customHeight="true" outlineLevel="0" collapsed="false">
      <c r="A39" s="15" t="s">
        <v>580</v>
      </c>
      <c r="B39" s="15"/>
      <c r="C39" s="15" t="s">
        <v>581</v>
      </c>
      <c r="D39" s="15" t="s">
        <v>42</v>
      </c>
      <c r="E39" s="15" t="s">
        <v>582</v>
      </c>
      <c r="F39" s="15" t="s">
        <v>583</v>
      </c>
      <c r="G39" s="15" t="s">
        <v>584</v>
      </c>
    </row>
    <row r="40" customFormat="false" ht="15" hidden="false" customHeight="true" outlineLevel="0" collapsed="false">
      <c r="A40" s="12" t="s">
        <v>585</v>
      </c>
      <c r="C40" s="50" t="s">
        <v>586</v>
      </c>
      <c r="D40" s="4" t="s">
        <v>587</v>
      </c>
      <c r="E40" s="18" t="n">
        <f aca="false">30*12*Inputs!$C$9/100000*20</f>
        <v>6.84</v>
      </c>
      <c r="F40" s="4" t="s">
        <v>588</v>
      </c>
      <c r="G40" s="51" t="s">
        <v>589</v>
      </c>
    </row>
    <row r="41" customFormat="false" ht="21.75" hidden="false" customHeight="true" outlineLevel="0" collapsed="false">
      <c r="A41" s="12" t="s">
        <v>590</v>
      </c>
      <c r="C41" s="50" t="s">
        <v>591</v>
      </c>
      <c r="D41" s="4" t="s">
        <v>587</v>
      </c>
      <c r="E41" s="18" t="n">
        <f aca="false">200*12*Inputs!$C$9/100000*20</f>
        <v>45.6</v>
      </c>
      <c r="F41" s="4" t="s">
        <v>592</v>
      </c>
      <c r="G41" s="51" t="s">
        <v>593</v>
      </c>
    </row>
    <row r="42" customFormat="false" ht="15" hidden="false" customHeight="true" outlineLevel="0" collapsed="false">
      <c r="A42" s="12" t="s">
        <v>594</v>
      </c>
      <c r="C42" s="50" t="s">
        <v>595</v>
      </c>
      <c r="D42" s="4" t="s">
        <v>596</v>
      </c>
      <c r="E42" s="18" t="n">
        <f aca="false">1500*12*Inputs!$C$9/100000</f>
        <v>17.1</v>
      </c>
      <c r="F42" s="4" t="s">
        <v>592</v>
      </c>
      <c r="G42" s="51" t="s">
        <v>597</v>
      </c>
    </row>
    <row r="43" customFormat="false" ht="15" hidden="false" customHeight="true" outlineLevel="0" collapsed="false">
      <c r="A43" s="12" t="s">
        <v>598</v>
      </c>
      <c r="C43" s="50" t="s">
        <v>599</v>
      </c>
      <c r="D43" s="4" t="s">
        <v>600</v>
      </c>
      <c r="E43" s="18" t="n">
        <f aca="false">1000*12*Inputs!$C$9/100000</f>
        <v>11.4</v>
      </c>
      <c r="F43" s="4" t="s">
        <v>601</v>
      </c>
      <c r="G43" s="51" t="s">
        <v>602</v>
      </c>
    </row>
    <row r="44" customFormat="false" ht="15" hidden="false" customHeight="true" outlineLevel="0" collapsed="false">
      <c r="A44" s="12" t="s">
        <v>603</v>
      </c>
      <c r="C44" s="50" t="s">
        <v>604</v>
      </c>
      <c r="D44" s="4" t="s">
        <v>605</v>
      </c>
      <c r="E44" s="18" t="n">
        <f aca="false">20000*Inputs!$C$9/100000</f>
        <v>19</v>
      </c>
      <c r="F44" s="4" t="s">
        <v>606</v>
      </c>
      <c r="G44" s="51" t="s">
        <v>607</v>
      </c>
    </row>
    <row r="45" customFormat="false" ht="15" hidden="false" customHeight="true" outlineLevel="0" collapsed="false">
      <c r="A45" s="12" t="s">
        <v>608</v>
      </c>
      <c r="C45" s="50" t="s">
        <v>609</v>
      </c>
      <c r="D45" s="4" t="s">
        <v>610</v>
      </c>
      <c r="F45" s="4" t="s">
        <v>611</v>
      </c>
      <c r="G45" s="51" t="s">
        <v>612</v>
      </c>
    </row>
    <row r="47" customFormat="false" ht="15" hidden="false" customHeight="true" outlineLevel="0" collapsed="false">
      <c r="A47" s="10" t="s">
        <v>613</v>
      </c>
      <c r="B47" s="11"/>
      <c r="C47" s="11"/>
      <c r="D47" s="11"/>
      <c r="E47" s="11"/>
      <c r="F47" s="11"/>
      <c r="G47" s="11"/>
    </row>
    <row r="48" customFormat="false" ht="15" hidden="false" customHeight="true" outlineLevel="0" collapsed="false">
      <c r="A48" s="15" t="s">
        <v>614</v>
      </c>
      <c r="B48" s="15"/>
      <c r="C48" s="15" t="s">
        <v>484</v>
      </c>
      <c r="D48" s="15" t="s">
        <v>485</v>
      </c>
      <c r="E48" s="15" t="s">
        <v>486</v>
      </c>
      <c r="F48" s="15" t="s">
        <v>615</v>
      </c>
      <c r="G48" s="15" t="s">
        <v>616</v>
      </c>
    </row>
    <row r="49" customFormat="false" ht="15" hidden="false" customHeight="true" outlineLevel="0" collapsed="false">
      <c r="A49" s="12" t="s">
        <v>617</v>
      </c>
      <c r="C49" s="39" t="n">
        <v>12</v>
      </c>
      <c r="D49" s="39" t="n">
        <v>24</v>
      </c>
      <c r="E49" s="39" t="n">
        <v>40</v>
      </c>
      <c r="G49" s="4" t="s">
        <v>618</v>
      </c>
    </row>
    <row r="50" customFormat="false" ht="15" hidden="false" customHeight="true" outlineLevel="0" collapsed="false">
      <c r="A50" s="12" t="s">
        <v>619</v>
      </c>
      <c r="C50" s="39" t="n">
        <v>18</v>
      </c>
      <c r="D50" s="39" t="n">
        <v>36</v>
      </c>
      <c r="E50" s="39" t="n">
        <v>60</v>
      </c>
      <c r="G50" s="4" t="s">
        <v>620</v>
      </c>
    </row>
    <row r="51" customFormat="false" ht="15" hidden="false" customHeight="true" outlineLevel="0" collapsed="false">
      <c r="A51" s="12" t="s">
        <v>621</v>
      </c>
      <c r="C51" s="39" t="n">
        <v>12</v>
      </c>
      <c r="D51" s="39" t="n">
        <v>24</v>
      </c>
      <c r="E51" s="39" t="n">
        <v>40</v>
      </c>
      <c r="F51" s="52" t="n">
        <f aca="false">SUMPRODUCT(C51:E51,C54:E54)</f>
        <v>19.6</v>
      </c>
      <c r="G51" s="4" t="s">
        <v>622</v>
      </c>
    </row>
    <row r="52" customFormat="false" ht="15" hidden="false" customHeight="true" outlineLevel="0" collapsed="false">
      <c r="A52" s="12" t="s">
        <v>623</v>
      </c>
      <c r="C52" s="39" t="n">
        <v>15</v>
      </c>
      <c r="D52" s="39" t="n">
        <v>30</v>
      </c>
      <c r="E52" s="39" t="n">
        <v>50</v>
      </c>
      <c r="F52" s="52" t="n">
        <f aca="false">SUMPRODUCT(C52:E52,C55:E55)</f>
        <v>28.75</v>
      </c>
      <c r="G52" s="4" t="s">
        <v>624</v>
      </c>
    </row>
    <row r="53" customFormat="false" ht="15" hidden="false" customHeight="true" outlineLevel="0" collapsed="false">
      <c r="A53" s="12" t="s">
        <v>625</v>
      </c>
      <c r="C53" s="39" t="n">
        <v>18</v>
      </c>
      <c r="D53" s="39" t="n">
        <v>36</v>
      </c>
      <c r="E53" s="39" t="n">
        <v>60</v>
      </c>
      <c r="F53" s="52" t="n">
        <f aca="false">SUMPRODUCT(C53:E53,C56:E56)</f>
        <v>38.7</v>
      </c>
      <c r="G53" s="4" t="s">
        <v>626</v>
      </c>
    </row>
    <row r="54" customFormat="false" ht="15" hidden="false" customHeight="true" outlineLevel="0" collapsed="false">
      <c r="A54" s="12" t="s">
        <v>627</v>
      </c>
      <c r="C54" s="34" t="n">
        <v>0.5</v>
      </c>
      <c r="D54" s="34" t="n">
        <v>0.4</v>
      </c>
      <c r="E54" s="34" t="n">
        <v>0.1</v>
      </c>
      <c r="F54" s="17" t="n">
        <f aca="false">SUM(C54:E54)</f>
        <v>1</v>
      </c>
      <c r="G54" s="4" t="s">
        <v>628</v>
      </c>
    </row>
    <row r="55" customFormat="false" ht="15" hidden="false" customHeight="true" outlineLevel="0" collapsed="false">
      <c r="A55" s="12" t="s">
        <v>629</v>
      </c>
      <c r="C55" s="34" t="n">
        <v>0.35</v>
      </c>
      <c r="D55" s="34" t="n">
        <v>0.45</v>
      </c>
      <c r="E55" s="34" t="n">
        <v>0.2</v>
      </c>
      <c r="F55" s="17" t="n">
        <f aca="false">SUM(C55:E55)</f>
        <v>1</v>
      </c>
      <c r="G55" s="4"/>
    </row>
    <row r="56" customFormat="false" ht="15" hidden="false" customHeight="true" outlineLevel="0" collapsed="false">
      <c r="A56" s="12" t="s">
        <v>630</v>
      </c>
      <c r="C56" s="34" t="n">
        <v>0.25</v>
      </c>
      <c r="D56" s="34" t="n">
        <v>0.45</v>
      </c>
      <c r="E56" s="34" t="n">
        <v>0.3</v>
      </c>
      <c r="F56" s="17" t="n">
        <f aca="false">SUM(C56:E56)</f>
        <v>1</v>
      </c>
      <c r="G56" s="4"/>
    </row>
    <row r="57" customFormat="false" ht="15" hidden="false" customHeight="true" outlineLevel="0" collapsed="false">
      <c r="A57" s="5" t="s">
        <v>631</v>
      </c>
      <c r="C57" s="9" t="str">
        <f aca="false">IF(AND(SUMPRODUCT((C51:E53&lt;C$49:E$49)*1)=0,SUMPRODUCT((C51:E53&gt;C$50:E$50)*1)=0,ABS(F54-1)&lt;0.0001,ABS(F55-1)&lt;0.0001,ABS(F56-1)&lt;0.0001),"OK","CHECK")</f>
        <v>OK</v>
      </c>
    </row>
    <row r="58" customFormat="false" ht="15" hidden="false" customHeight="true" outlineLevel="0" collapsed="false">
      <c r="A58" s="4" t="s">
        <v>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7" min="3" style="1" width="12"/>
    <col collapsed="false" customWidth="true" hidden="false" outlineLevel="0" max="8" min="8" style="1" width="55"/>
  </cols>
  <sheetData>
    <row r="1" customFormat="false" ht="17.25" hidden="false" customHeight="true" outlineLevel="0" collapsed="false">
      <c r="A1" s="2" t="s">
        <v>633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634</v>
      </c>
    </row>
    <row r="3" customFormat="false" ht="15" hidden="false" customHeight="true" outlineLevel="0" collapsed="false">
      <c r="A3" s="15" t="s">
        <v>44</v>
      </c>
      <c r="B3" s="15" t="s">
        <v>42</v>
      </c>
      <c r="C3" s="15" t="str">
        <f aca="false">INDEX(Engine_Monthly!$D$10:$BK$10,1,12)</f>
        <v>FY27</v>
      </c>
      <c r="D3" s="15" t="str">
        <f aca="false">INDEX(Engine_Monthly!$D$10:$BK$10,1,24)</f>
        <v>FY28</v>
      </c>
      <c r="E3" s="15" t="str">
        <f aca="false">INDEX(Engine_Monthly!$D$10:$BK$10,1,36)</f>
        <v>FY29</v>
      </c>
      <c r="F3" s="15" t="str">
        <f aca="false">INDEX(Engine_Monthly!$D$10:$BK$10,1,48)</f>
        <v>FY30</v>
      </c>
      <c r="G3" s="15" t="str">
        <f aca="false">INDEX(Engine_Monthly!$D$10:$BK$10,1,60)</f>
        <v>FY31</v>
      </c>
    </row>
    <row r="4" customFormat="false" ht="15" hidden="false" customHeight="true" outlineLevel="0" collapsed="false">
      <c r="A4" s="4" t="s">
        <v>635</v>
      </c>
      <c r="C4" s="53" t="n">
        <v>1</v>
      </c>
      <c r="D4" s="53" t="n">
        <v>2</v>
      </c>
      <c r="E4" s="53" t="n">
        <v>3</v>
      </c>
      <c r="F4" s="53" t="n">
        <v>4</v>
      </c>
      <c r="G4" s="53" t="n">
        <v>5</v>
      </c>
    </row>
    <row r="6" customFormat="false" ht="15" hidden="false" customHeight="true" outlineLevel="0" collapsed="false">
      <c r="A6" s="10" t="s">
        <v>636</v>
      </c>
      <c r="B6" s="11"/>
      <c r="C6" s="11"/>
      <c r="D6" s="11"/>
      <c r="E6" s="11"/>
      <c r="F6" s="11"/>
      <c r="G6" s="11"/>
      <c r="H6" s="11"/>
    </row>
    <row r="7" customFormat="false" ht="15" hidden="false" customHeight="true" outlineLevel="0" collapsed="false">
      <c r="A7" s="12" t="s">
        <v>637</v>
      </c>
      <c r="B7" s="4" t="s">
        <v>29</v>
      </c>
      <c r="C7" s="20" t="n">
        <f aca="false">SUMIF(Engine_Monthly!$D$7:$BK$7,C$4,Engine_Monthly!$D$22:$BK$22)</f>
        <v>750</v>
      </c>
      <c r="D7" s="20" t="n">
        <f aca="false">SUMIF(Engine_Monthly!$D$7:$BK$7,D$4,Engine_Monthly!$D$22:$BK$22)</f>
        <v>4809.61344</v>
      </c>
      <c r="E7" s="20" t="n">
        <f aca="false">SUMIF(Engine_Monthly!$D$7:$BK$7,E$4,Engine_Monthly!$D$22:$BK$22)</f>
        <v>12538.84032</v>
      </c>
      <c r="F7" s="20" t="n">
        <f aca="false">SUMIF(Engine_Monthly!$D$7:$BK$7,F$4,Engine_Monthly!$D$22:$BK$22)</f>
        <v>22038.0672</v>
      </c>
      <c r="G7" s="20" t="n">
        <f aca="false">SUMIF(Engine_Monthly!$D$7:$BK$7,G$4,Engine_Monthly!$D$22:$BK$22)</f>
        <v>31267.29408</v>
      </c>
    </row>
    <row r="8" customFormat="false" ht="15" hidden="false" customHeight="true" outlineLevel="0" collapsed="false">
      <c r="A8" s="12" t="s">
        <v>638</v>
      </c>
      <c r="B8" s="4" t="s">
        <v>29</v>
      </c>
      <c r="C8" s="20" t="n">
        <f aca="false">SUMIF(Engine_Monthly!$D$7:$BK$7,C$4,Engine_Monthly!$D$21:$BK$21)</f>
        <v>187.5</v>
      </c>
      <c r="D8" s="20" t="n">
        <f aca="false">SUMIF(Engine_Monthly!$D$7:$BK$7,D$4,Engine_Monthly!$D$21:$BK$21)</f>
        <v>1202.40336</v>
      </c>
      <c r="E8" s="20" t="n">
        <f aca="false">SUMIF(Engine_Monthly!$D$7:$BK$7,E$4,Engine_Monthly!$D$21:$BK$21)</f>
        <v>3134.71008</v>
      </c>
      <c r="F8" s="20" t="n">
        <f aca="false">SUMIF(Engine_Monthly!$D$7:$BK$7,F$4,Engine_Monthly!$D$21:$BK$21)</f>
        <v>5509.5168</v>
      </c>
      <c r="G8" s="20" t="n">
        <f aca="false">SUMIF(Engine_Monthly!$D$7:$BK$7,G$4,Engine_Monthly!$D$21:$BK$21)</f>
        <v>7816.82352</v>
      </c>
    </row>
    <row r="9" customFormat="false" ht="15" hidden="false" customHeight="true" outlineLevel="0" collapsed="false">
      <c r="A9" s="12" t="s">
        <v>639</v>
      </c>
      <c r="B9" s="4" t="s">
        <v>29</v>
      </c>
      <c r="C9" s="16" t="n">
        <f aca="false">SUMIF(Engine_Monthly!$D$7:$BK$7,C$4,Engine_Monthly!$D$20:$BK$20)</f>
        <v>37.5</v>
      </c>
      <c r="D9" s="16" t="n">
        <f aca="false">SUMIF(Engine_Monthly!$D$7:$BK$7,D$4,Engine_Monthly!$D$20:$BK$20)</f>
        <v>240.480672</v>
      </c>
      <c r="E9" s="16" t="n">
        <f aca="false">SUMIF(Engine_Monthly!$D$7:$BK$7,E$4,Engine_Monthly!$D$20:$BK$20)</f>
        <v>626.942016</v>
      </c>
      <c r="F9" s="16" t="n">
        <f aca="false">SUMIF(Engine_Monthly!$D$7:$BK$7,F$4,Engine_Monthly!$D$20:$BK$20)</f>
        <v>1101.90336</v>
      </c>
      <c r="G9" s="16" t="n">
        <f aca="false">SUMIF(Engine_Monthly!$D$7:$BK$7,G$4,Engine_Monthly!$D$20:$BK$20)</f>
        <v>1563.364704</v>
      </c>
    </row>
    <row r="10" customFormat="false" ht="15" hidden="false" customHeight="true" outlineLevel="0" collapsed="false">
      <c r="A10" s="12" t="s">
        <v>640</v>
      </c>
      <c r="B10" s="4" t="s">
        <v>29</v>
      </c>
      <c r="C10" s="16" t="n">
        <f aca="false">SUMIF(Engine_Monthly!$D$7:$BK$7,C$4,Engine_Monthly!$D$19:$BK$19)</f>
        <v>0</v>
      </c>
      <c r="D10" s="16" t="n">
        <f aca="false">SUMIF(Engine_Monthly!$D$7:$BK$7,D$4,Engine_Monthly!$D$19:$BK$19)</f>
        <v>100.980672</v>
      </c>
      <c r="E10" s="16" t="n">
        <f aca="false">SUMIF(Engine_Monthly!$D$7:$BK$7,E$4,Engine_Monthly!$D$19:$BK$19)</f>
        <v>302.942016</v>
      </c>
      <c r="F10" s="16" t="n">
        <f aca="false">SUMIF(Engine_Monthly!$D$7:$BK$7,F$4,Engine_Monthly!$D$19:$BK$19)</f>
        <v>504.90336</v>
      </c>
      <c r="G10" s="16" t="n">
        <f aca="false">SUMIF(Engine_Monthly!$D$7:$BK$7,G$4,Engine_Monthly!$D$19:$BK$19)</f>
        <v>706.864704</v>
      </c>
    </row>
    <row r="11" customFormat="false" ht="15" hidden="false" customHeight="true" outlineLevel="0" collapsed="false">
      <c r="A11" s="12" t="s">
        <v>641</v>
      </c>
      <c r="B11" s="4" t="s">
        <v>29</v>
      </c>
      <c r="C11" s="16" t="n">
        <f aca="false">SUMIF(Engine_Monthly!$D$7:$BK$7,C$4,Engine_Monthly!$D$26:$BK$26)</f>
        <v>7.2</v>
      </c>
      <c r="D11" s="16" t="n">
        <f aca="false">SUMIF(Engine_Monthly!$D$7:$BK$7,D$4,Engine_Monthly!$D$26:$BK$26)</f>
        <v>60.2574264</v>
      </c>
      <c r="E11" s="16" t="n">
        <f aca="false">SUMIF(Engine_Monthly!$D$7:$BK$7,E$4,Engine_Monthly!$D$26:$BK$26)</f>
        <v>170.033088</v>
      </c>
      <c r="F11" s="16" t="n">
        <f aca="false">SUMIF(Engine_Monthly!$D$7:$BK$7,F$4,Engine_Monthly!$D$26:$BK$26)</f>
        <v>316.5445584</v>
      </c>
      <c r="G11" s="16" t="n">
        <f aca="false">SUMIF(Engine_Monthly!$D$7:$BK$7,G$4,Engine_Monthly!$D$26:$BK$26)</f>
        <v>467.7810288</v>
      </c>
    </row>
    <row r="12" customFormat="false" ht="15" hidden="false" customHeight="true" outlineLevel="0" collapsed="false">
      <c r="A12" s="12" t="s">
        <v>51</v>
      </c>
      <c r="B12" s="4" t="s">
        <v>29</v>
      </c>
      <c r="C12" s="16" t="n">
        <f aca="false">INDEX(Engine_Monthly!$D$28:$BK$28,1,C$4*12)</f>
        <v>3.6</v>
      </c>
      <c r="D12" s="16" t="n">
        <f aca="false">INDEX(Engine_Monthly!$D$28:$BK$28,1,D$4*12)</f>
        <v>20.9858088</v>
      </c>
      <c r="E12" s="16" t="n">
        <f aca="false">INDEX(Engine_Monthly!$D$28:$BK$28,1,E$4*12)</f>
        <v>54.1824264</v>
      </c>
      <c r="F12" s="16" t="n">
        <f aca="false">INDEX(Engine_Monthly!$D$28:$BK$28,1,F$4*12)</f>
        <v>93.454044</v>
      </c>
      <c r="G12" s="16" t="n">
        <f aca="false">INDEX(Engine_Monthly!$D$28:$BK$28,1,G$4*12)</f>
        <v>130.0256616</v>
      </c>
    </row>
    <row r="13" customFormat="false" ht="15" hidden="false" customHeight="true" outlineLevel="0" collapsed="false">
      <c r="A13" s="5" t="s">
        <v>642</v>
      </c>
      <c r="B13" s="4" t="s">
        <v>29</v>
      </c>
      <c r="C13" s="52" t="n">
        <f aca="false">SUMIF(Engine_Monthly!$D$7:$BK$7,C$4,Engine_Monthly!$D$32:$BK$32)</f>
        <v>1.98</v>
      </c>
      <c r="D13" s="52" t="n">
        <f aca="false">SUMIF(Engine_Monthly!$D$7:$BK$7,D$4,Engine_Monthly!$D$32:$BK$32)</f>
        <v>23.57938968</v>
      </c>
      <c r="E13" s="52" t="n">
        <f aca="false">SUMIF(Engine_Monthly!$D$7:$BK$7,E$4,Engine_Monthly!$D$32:$BK$32)</f>
        <v>75.26005872</v>
      </c>
      <c r="F13" s="52" t="n">
        <f aca="false">SUMIF(Engine_Monthly!$D$7:$BK$7,F$4,Engine_Monthly!$D$32:$BK$32)</f>
        <v>152.50011744</v>
      </c>
      <c r="G13" s="52" t="n">
        <f aca="false">SUMIF(Engine_Monthly!$D$7:$BK$7,G$4,Engine_Monthly!$D$32:$BK$32)</f>
        <v>237.16517616</v>
      </c>
    </row>
    <row r="14" customFormat="false" ht="15" hidden="false" customHeight="true" outlineLevel="0" collapsed="false">
      <c r="A14" s="12" t="s">
        <v>640</v>
      </c>
      <c r="B14" s="4" t="s">
        <v>29</v>
      </c>
      <c r="C14" s="16" t="n">
        <f aca="false">SUMIF(Engine_Monthly!$D$7:$BK$7,C$4,Engine_Monthly!$D$31:$BK$31)</f>
        <v>0</v>
      </c>
      <c r="D14" s="16" t="n">
        <f aca="false">SUMIF(Engine_Monthly!$D$7:$BK$7,D$4,Engine_Monthly!$D$31:$BK$31)</f>
        <v>9.71938968</v>
      </c>
      <c r="E14" s="16" t="n">
        <f aca="false">SUMIF(Engine_Monthly!$D$7:$BK$7,E$4,Engine_Monthly!$D$31:$BK$31)</f>
        <v>38.87755872</v>
      </c>
      <c r="F14" s="16" t="n">
        <f aca="false">SUMIF(Engine_Monthly!$D$7:$BK$7,F$4,Engine_Monthly!$D$31:$BK$31)</f>
        <v>77.75511744</v>
      </c>
      <c r="G14" s="16" t="n">
        <f aca="false">SUMIF(Engine_Monthly!$D$7:$BK$7,G$4,Engine_Monthly!$D$31:$BK$31)</f>
        <v>116.63267616</v>
      </c>
    </row>
    <row r="15" customFormat="false" ht="15" hidden="false" customHeight="true" outlineLevel="0" collapsed="false">
      <c r="A15" s="12" t="s">
        <v>643</v>
      </c>
      <c r="B15" s="4" t="s">
        <v>62</v>
      </c>
      <c r="C15" s="20" t="n">
        <f aca="false">Inputs!$C$27+Inputs!$C$126+Inputs!$C$28+Inputs!$C$33</f>
        <v>8</v>
      </c>
      <c r="D15" s="20" t="n">
        <f aca="false">Inputs!$C$27+Inputs!$C$126+Inputs!$C$28+Inputs!$C$33</f>
        <v>8</v>
      </c>
      <c r="E15" s="20" t="n">
        <f aca="false">Inputs!$C$27+Inputs!$C$126+Inputs!$C$28+Inputs!$C$33</f>
        <v>8</v>
      </c>
      <c r="F15" s="20" t="n">
        <f aca="false">Inputs!$C$27+Inputs!$C$126+Inputs!$C$28+Inputs!$C$33</f>
        <v>8</v>
      </c>
      <c r="G15" s="20" t="n">
        <f aca="false">Inputs!$C$27+Inputs!$C$126+Inputs!$C$28+Inputs!$C$33</f>
        <v>8</v>
      </c>
      <c r="H15" s="4" t="s">
        <v>644</v>
      </c>
    </row>
    <row r="17" customFormat="false" ht="15" hidden="false" customHeight="true" outlineLevel="0" collapsed="false">
      <c r="A17" s="10" t="s">
        <v>645</v>
      </c>
      <c r="B17" s="11"/>
      <c r="C17" s="11"/>
      <c r="D17" s="11"/>
      <c r="E17" s="11"/>
      <c r="F17" s="11"/>
      <c r="G17" s="11"/>
      <c r="H17" s="11"/>
    </row>
    <row r="18" customFormat="false" ht="15" hidden="false" customHeight="true" outlineLevel="0" collapsed="false">
      <c r="A18" s="5" t="s">
        <v>646</v>
      </c>
      <c r="B18" s="4" t="s">
        <v>29</v>
      </c>
      <c r="C18" s="52" t="n">
        <f aca="false">SUMIF(Engine_Monthly!$D$7:$BK$7,C$4,Engine_Monthly!$D$42:$BK$42)</f>
        <v>1.0725</v>
      </c>
      <c r="D18" s="52" t="n">
        <f aca="false">SUMIF(Engine_Monthly!$D$7:$BK$7,D$4,Engine_Monthly!$D$42:$BK$42)</f>
        <v>17.03959312</v>
      </c>
      <c r="E18" s="52" t="n">
        <f aca="false">SUMIF(Engine_Monthly!$D$7:$BK$7,E$4,Engine_Monthly!$D$42:$BK$42)</f>
        <v>63.3354656</v>
      </c>
      <c r="F18" s="52" t="n">
        <f aca="false">SUMIF(Engine_Monthly!$D$7:$BK$7,F$4,Engine_Monthly!$D$42:$BK$42)</f>
        <v>138.26552432</v>
      </c>
      <c r="G18" s="52" t="n">
        <f aca="false">SUMIF(Engine_Monthly!$D$7:$BK$7,G$4,Engine_Monthly!$D$42:$BK$42)</f>
        <v>223.67308304</v>
      </c>
    </row>
    <row r="19" customFormat="false" ht="15" hidden="false" customHeight="true" outlineLevel="0" collapsed="false">
      <c r="A19" s="12" t="s">
        <v>647</v>
      </c>
      <c r="B19" s="4" t="s">
        <v>29</v>
      </c>
      <c r="C19" s="16" t="n">
        <f aca="false">INDEX(Engine_Monthly!$D$43:$BK$43,1,C$4*12)</f>
        <v>0</v>
      </c>
      <c r="D19" s="16" t="n">
        <f aca="false">INDEX(Engine_Monthly!$D$43:$BK$43,1,D$4*12)</f>
        <v>0</v>
      </c>
      <c r="E19" s="16" t="n">
        <f aca="false">INDEX(Engine_Monthly!$D$43:$BK$43,1,E$4*12)</f>
        <v>0</v>
      </c>
      <c r="F19" s="16" t="n">
        <f aca="false">INDEX(Engine_Monthly!$D$43:$BK$43,1,F$4*12)</f>
        <v>0</v>
      </c>
      <c r="G19" s="16" t="n">
        <f aca="false">INDEX(Engine_Monthly!$D$43:$BK$43,1,G$4*12)</f>
        <v>0</v>
      </c>
      <c r="H19" s="4" t="s">
        <v>648</v>
      </c>
    </row>
    <row r="20" customFormat="false" ht="15" hidden="false" customHeight="true" outlineLevel="0" collapsed="false">
      <c r="A20" s="12" t="s">
        <v>649</v>
      </c>
      <c r="B20" s="4" t="s">
        <v>29</v>
      </c>
      <c r="C20" s="16" t="n">
        <f aca="false">SUMIF(Engine_Monthly!$D$7:$BK$7,C$4,Engine_Monthly!$D$48:$BK$48)</f>
        <v>0.0115646516253351</v>
      </c>
      <c r="D20" s="16" t="n">
        <f aca="false">SUMIF(Engine_Monthly!$D$7:$BK$7,D$4,Engine_Monthly!$D$48:$BK$48)</f>
        <v>0.501937506863721</v>
      </c>
      <c r="E20" s="16" t="n">
        <f aca="false">SUMIF(Engine_Monthly!$D$7:$BK$7,E$4,Engine_Monthly!$D$48:$BK$48)</f>
        <v>3.68446155959396</v>
      </c>
      <c r="F20" s="16" t="n">
        <f aca="false">SUMIF(Engine_Monthly!$D$7:$BK$7,F$4,Engine_Monthly!$D$48:$BK$48)</f>
        <v>12.1150875110178</v>
      </c>
      <c r="G20" s="16" t="n">
        <f aca="false">SUMIF(Engine_Monthly!$D$7:$BK$7,G$4,Engine_Monthly!$D$48:$BK$48)</f>
        <v>27.0731057766244</v>
      </c>
    </row>
    <row r="21" customFormat="false" ht="15" hidden="false" customHeight="true" outlineLevel="0" collapsed="false">
      <c r="A21" s="5" t="s">
        <v>650</v>
      </c>
      <c r="B21" s="4" t="s">
        <v>29</v>
      </c>
      <c r="C21" s="52" t="n">
        <f aca="false">INDEX(Engine_Monthly!$D$49:$BK$49,1,C$4*12)</f>
        <v>1.06093534837466</v>
      </c>
      <c r="D21" s="52" t="n">
        <f aca="false">INDEX(Engine_Monthly!$D$49:$BK$49,1,D$4*12)</f>
        <v>17.5985909615109</v>
      </c>
      <c r="E21" s="52" t="n">
        <f aca="false">INDEX(Engine_Monthly!$D$49:$BK$49,1,E$4*12)</f>
        <v>77.249595001917</v>
      </c>
      <c r="F21" s="52" t="n">
        <f aca="false">INDEX(Engine_Monthly!$D$49:$BK$49,1,F$4*12)</f>
        <v>203.400031810899</v>
      </c>
      <c r="G21" s="52" t="n">
        <f aca="false">INDEX(Engine_Monthly!$D$49:$BK$49,1,G$4*12)</f>
        <v>400.000009074275</v>
      </c>
    </row>
    <row r="22" customFormat="false" ht="15" hidden="false" customHeight="true" outlineLevel="0" collapsed="false">
      <c r="A22" s="12" t="s">
        <v>651</v>
      </c>
      <c r="B22" s="4" t="s">
        <v>29</v>
      </c>
      <c r="C22" s="16" t="n">
        <f aca="false">AVERAGEIF(Engine_Monthly!$D$7:$BK$7,C$4,Engine_Monthly!$D$49:$BK$49)</f>
        <v>0.211516698338872</v>
      </c>
      <c r="D22" s="16" t="n">
        <f aca="false">AVERAGEIF(Engine_Monthly!$D$7:$BK$7,D$4,Engine_Monthly!$D$49:$BK$49)</f>
        <v>6.72124982712131</v>
      </c>
      <c r="E22" s="16" t="n">
        <f aca="false">AVERAGEIF(Engine_Monthly!$D$7:$BK$7,E$4,Engine_Monthly!$D$49:$BK$49)</f>
        <v>44.1919156042296</v>
      </c>
      <c r="F22" s="16" t="n">
        <f aca="false">AVERAGEIF(Engine_Monthly!$D$7:$BK$7,F$4,Engine_Monthly!$D$49:$BK$49)</f>
        <v>139.477331563741</v>
      </c>
      <c r="G22" s="16" t="n">
        <f aca="false">AVERAGEIF(Engine_Monthly!$D$7:$BK$7,G$4,Engine_Monthly!$D$49:$BK$49)</f>
        <v>304.575846575888</v>
      </c>
    </row>
    <row r="23" customFormat="false" ht="15" hidden="false" customHeight="true" outlineLevel="0" collapsed="false">
      <c r="A23" s="12" t="s">
        <v>652</v>
      </c>
      <c r="B23" s="4" t="s">
        <v>29</v>
      </c>
      <c r="C23" s="20" t="n">
        <f aca="false">C21*Inputs!$C$42</f>
        <v>21.2187069674933</v>
      </c>
      <c r="D23" s="20" t="n">
        <f aca="false">D21*Inputs!$C$42</f>
        <v>351.971819230219</v>
      </c>
      <c r="E23" s="20" t="n">
        <f aca="false">E21*Inputs!$C$42</f>
        <v>1544.99190003834</v>
      </c>
      <c r="F23" s="20" t="n">
        <f aca="false">F21*Inputs!$C$42</f>
        <v>4068.00063621798</v>
      </c>
      <c r="G23" s="20" t="n">
        <f aca="false">G21*Inputs!$C$42</f>
        <v>8000.0001814855</v>
      </c>
      <c r="H23" s="4" t="s">
        <v>653</v>
      </c>
    </row>
    <row r="25" customFormat="false" ht="15" hidden="false" customHeight="true" outlineLevel="0" collapsed="false">
      <c r="A25" s="10" t="s">
        <v>654</v>
      </c>
      <c r="B25" s="11"/>
      <c r="C25" s="11"/>
      <c r="D25" s="11"/>
      <c r="E25" s="11"/>
      <c r="F25" s="11"/>
      <c r="G25" s="11"/>
      <c r="H25" s="11"/>
    </row>
    <row r="26" customFormat="false" ht="15" hidden="false" customHeight="true" outlineLevel="0" collapsed="false">
      <c r="A26" s="12" t="s">
        <v>655</v>
      </c>
      <c r="B26" s="4" t="s">
        <v>44</v>
      </c>
      <c r="C26" s="16" t="n">
        <f aca="false">0</f>
        <v>0</v>
      </c>
      <c r="D26" s="16" t="n">
        <f aca="false">C30</f>
        <v>30.9967989601111</v>
      </c>
      <c r="E26" s="16" t="n">
        <f aca="false">D30</f>
        <v>552.944981798989</v>
      </c>
      <c r="F26" s="16" t="n">
        <f aca="false">E30</f>
        <v>2619.64347232039</v>
      </c>
      <c r="G26" s="16" t="n">
        <f aca="false">F30</f>
        <v>7429.62436790498</v>
      </c>
    </row>
    <row r="27" customFormat="false" ht="15" hidden="false" customHeight="true" outlineLevel="0" collapsed="false">
      <c r="A27" s="12" t="s">
        <v>656</v>
      </c>
      <c r="B27" s="4" t="s">
        <v>44</v>
      </c>
      <c r="C27" s="16" t="n">
        <f aca="false">SUMIF(Engine_Monthly!$D$7:$BK$7,C$4,Engine_Monthly!$D$55:$BK$55)</f>
        <v>30.834375</v>
      </c>
      <c r="D27" s="16" t="n">
        <f aca="false">SUMIF(Engine_Monthly!$D$7:$BK$7,D$4,Engine_Monthly!$D$55:$BK$55)</f>
        <v>514.38271731</v>
      </c>
      <c r="E27" s="16" t="n">
        <f aca="false">SUMIF(Engine_Monthly!$D$7:$BK$7,E$4,Engine_Monthly!$D$55:$BK$55)</f>
        <v>2007.53633619</v>
      </c>
      <c r="F27" s="16" t="n">
        <f aca="false">SUMIF(Engine_Monthly!$D$7:$BK$7,F$4,Engine_Monthly!$D$55:$BK$55)</f>
        <v>4601.71429323953</v>
      </c>
      <c r="G27" s="16" t="n">
        <f aca="false">SUMIF(Engine_Monthly!$D$7:$BK$7,G$4,Engine_Monthly!$D$55:$BK$55)</f>
        <v>7816.43587376681</v>
      </c>
    </row>
    <row r="28" customFormat="false" ht="15" hidden="false" customHeight="true" outlineLevel="0" collapsed="false">
      <c r="A28" s="12" t="s">
        <v>657</v>
      </c>
      <c r="B28" s="4" t="s">
        <v>44</v>
      </c>
      <c r="C28" s="16" t="n">
        <f aca="false">SUMIF(Engine_Monthly!$D$7:$BK$7,C$4,Engine_Monthly!$D$54:$BK$54)</f>
        <v>0.49749492416436</v>
      </c>
      <c r="D28" s="16" t="n">
        <f aca="false">SUMIF(Engine_Monthly!$D$7:$BK$7,D$4,Engine_Monthly!$D$54:$BK$54)</f>
        <v>23.1725707031295</v>
      </c>
      <c r="E28" s="16" t="n">
        <f aca="false">SUMIF(Engine_Monthly!$D$7:$BK$7,E$4,Engine_Monthly!$D$54:$BK$54)</f>
        <v>181.210158047869</v>
      </c>
      <c r="F28" s="16" t="n">
        <f aca="false">SUMIF(Engine_Monthly!$D$7:$BK$7,F$4,Engine_Monthly!$D$54:$BK$54)</f>
        <v>637.908209285979</v>
      </c>
      <c r="G28" s="16" t="n">
        <f aca="false">SUMIF(Engine_Monthly!$D$7:$BK$7,G$4,Engine_Monthly!$D$54:$BK$54)</f>
        <v>1530.60585339337</v>
      </c>
    </row>
    <row r="29" customFormat="false" ht="15" hidden="false" customHeight="true" outlineLevel="0" collapsed="false">
      <c r="A29" s="12" t="s">
        <v>658</v>
      </c>
      <c r="B29" s="4" t="s">
        <v>44</v>
      </c>
      <c r="C29" s="16" t="n">
        <f aca="false">-SUMIF(Engine_Monthly!$D$7:$BK$7,C$4,Engine_Monthly!$D$53:$BK$53)</f>
        <v>-0.335070964053233</v>
      </c>
      <c r="D29" s="16" t="n">
        <f aca="false">-SUMIF(Engine_Monthly!$D$7:$BK$7,D$4,Engine_Monthly!$D$53:$BK$53)</f>
        <v>-15.6071051742512</v>
      </c>
      <c r="E29" s="16" t="n">
        <f aca="false">-SUMIF(Engine_Monthly!$D$7:$BK$7,E$4,Engine_Monthly!$D$53:$BK$53)</f>
        <v>-122.048003716473</v>
      </c>
      <c r="F29" s="16" t="n">
        <f aca="false">-SUMIF(Engine_Monthly!$D$7:$BK$7,F$4,Engine_Monthly!$D$53:$BK$53)</f>
        <v>-429.641606940916</v>
      </c>
      <c r="G29" s="16" t="n">
        <f aca="false">-SUMIF(Engine_Monthly!$D$7:$BK$7,G$4,Engine_Monthly!$D$53:$BK$53)</f>
        <v>-1030.88806331741</v>
      </c>
    </row>
    <row r="30" customFormat="false" ht="15" hidden="false" customHeight="true" outlineLevel="0" collapsed="false">
      <c r="A30" s="5" t="s">
        <v>47</v>
      </c>
      <c r="B30" s="4" t="s">
        <v>44</v>
      </c>
      <c r="C30" s="54" t="n">
        <f aca="false">SUM(C26:C29)</f>
        <v>30.9967989601111</v>
      </c>
      <c r="D30" s="54" t="n">
        <f aca="false">SUM(D26:D29)</f>
        <v>552.944981798989</v>
      </c>
      <c r="E30" s="54" t="n">
        <f aca="false">SUM(E26:E29)</f>
        <v>2619.64347232039</v>
      </c>
      <c r="F30" s="54" t="n">
        <f aca="false">SUM(F26:F29)</f>
        <v>7429.62436790498</v>
      </c>
      <c r="G30" s="54" t="n">
        <f aca="false">SUM(G26:G29)</f>
        <v>15745.7780317477</v>
      </c>
    </row>
    <row r="31" customFormat="false" ht="15" hidden="false" customHeight="true" outlineLevel="0" collapsed="false">
      <c r="A31" s="12" t="s">
        <v>659</v>
      </c>
      <c r="B31" s="4" t="s">
        <v>44</v>
      </c>
      <c r="C31" s="18" t="n">
        <f aca="false">ROUND(C30-INDEX(Engine_Monthly!$D$56:$BK$56,1,C$4*12),3)</f>
        <v>0</v>
      </c>
      <c r="D31" s="18" t="n">
        <f aca="false">ROUND(D30-INDEX(Engine_Monthly!$D$56:$BK$56,1,D$4*12),3)</f>
        <v>0</v>
      </c>
      <c r="E31" s="18" t="n">
        <f aca="false">ROUND(E30-INDEX(Engine_Monthly!$D$56:$BK$56,1,E$4*12),3)</f>
        <v>0</v>
      </c>
      <c r="F31" s="18" t="n">
        <f aca="false">ROUND(F30-INDEX(Engine_Monthly!$D$56:$BK$56,1,F$4*12),3)</f>
        <v>0</v>
      </c>
      <c r="G31" s="18" t="n">
        <f aca="false">ROUND(G30-INDEX(Engine_Monthly!$D$56:$BK$56,1,G$4*12),3)</f>
        <v>0</v>
      </c>
    </row>
    <row r="32" customFormat="false" ht="15" hidden="false" customHeight="true" outlineLevel="0" collapsed="false">
      <c r="A32" s="12" t="s">
        <v>48</v>
      </c>
      <c r="B32" s="4" t="s">
        <v>44</v>
      </c>
      <c r="C32" s="16" t="n">
        <f aca="false">INDEX(Engine_Monthly!$D$57:$BK$57,1,C$4*12)</f>
        <v>2.58306658000926</v>
      </c>
      <c r="D32" s="16" t="n">
        <f aca="false">INDEX(Engine_Monthly!$D$57:$BK$57,1,D$4*12)</f>
        <v>46.0787484832491</v>
      </c>
      <c r="E32" s="16" t="n">
        <f aca="false">INDEX(Engine_Monthly!$D$57:$BK$57,1,E$4*12)</f>
        <v>218.303622693365</v>
      </c>
      <c r="F32" s="16" t="n">
        <f aca="false">INDEX(Engine_Monthly!$D$57:$BK$57,1,F$4*12)</f>
        <v>619.135363992081</v>
      </c>
      <c r="G32" s="16" t="n">
        <f aca="false">INDEX(Engine_Monthly!$D$57:$BK$57,1,G$4*12)</f>
        <v>1312.14816931231</v>
      </c>
    </row>
    <row r="33" customFormat="false" ht="15" hidden="false" customHeight="true" outlineLevel="0" collapsed="false">
      <c r="A33" s="12" t="s">
        <v>660</v>
      </c>
      <c r="B33" s="4" t="s">
        <v>44</v>
      </c>
      <c r="C33" s="18" t="n">
        <f aca="false">INDEX(Engine_Monthly!$D$50:$BK$50,1,C$4*12)</f>
        <v>28.75</v>
      </c>
      <c r="D33" s="18" t="n">
        <f aca="false">INDEX(Engine_Monthly!$D$50:$BK$50,1,D$4*12)</f>
        <v>30.1875</v>
      </c>
      <c r="E33" s="18" t="n">
        <f aca="false">INDEX(Engine_Monthly!$D$50:$BK$50,1,E$4*12)</f>
        <v>31.696875</v>
      </c>
      <c r="F33" s="18" t="n">
        <f aca="false">INDEX(Engine_Monthly!$D$50:$BK$50,1,F$4*12)</f>
        <v>33.28171875</v>
      </c>
      <c r="G33" s="18" t="n">
        <f aca="false">INDEX(Engine_Monthly!$D$50:$BK$50,1,G$4*12)</f>
        <v>34.9458046875</v>
      </c>
    </row>
    <row r="34" customFormat="false" ht="15" hidden="false" customHeight="true" outlineLevel="0" collapsed="false">
      <c r="A34" s="12" t="s">
        <v>661</v>
      </c>
      <c r="B34" s="4" t="s">
        <v>44</v>
      </c>
      <c r="C34" s="18" t="n">
        <f aca="false">IFERROR(C30/C21,0)</f>
        <v>29.2164824252465</v>
      </c>
      <c r="D34" s="18" t="n">
        <f aca="false">IFERROR(D30/D21,0)</f>
        <v>31.4198439527522</v>
      </c>
      <c r="E34" s="18" t="n">
        <f aca="false">IFERROR(E30/E21,0)</f>
        <v>33.9114201473209</v>
      </c>
      <c r="F34" s="18" t="n">
        <f aca="false">IFERROR(F30/F21,0)</f>
        <v>36.5271544048346</v>
      </c>
      <c r="G34" s="18" t="n">
        <f aca="false">IFERROR(G30/G21,0)</f>
        <v>39.3644441863599</v>
      </c>
    </row>
    <row r="35" customFormat="false" ht="15" hidden="false" customHeight="true" outlineLevel="0" collapsed="false">
      <c r="A35" s="12" t="s">
        <v>662</v>
      </c>
      <c r="B35" s="4" t="s">
        <v>46</v>
      </c>
      <c r="C35" s="17" t="n">
        <f aca="false">1-MIN(0.95,Inputs!$C$50*Inputs!$C$127)</f>
        <v>0.91</v>
      </c>
      <c r="D35" s="17" t="n">
        <f aca="false">1-MIN(0.95,Inputs!$C$50*Inputs!$C$127)</f>
        <v>0.91</v>
      </c>
      <c r="E35" s="17" t="n">
        <f aca="false">1-MIN(0.95,Inputs!$C$50*Inputs!$C$127)</f>
        <v>0.91</v>
      </c>
      <c r="F35" s="17" t="n">
        <f aca="false">1-MIN(0.95,Inputs!$C$50*Inputs!$C$127)</f>
        <v>0.91</v>
      </c>
      <c r="G35" s="17" t="n">
        <f aca="false">1-MIN(0.95,Inputs!$C$50*Inputs!$C$127)</f>
        <v>0.91</v>
      </c>
    </row>
    <row r="37" customFormat="false" ht="15" hidden="false" customHeight="true" outlineLevel="0" collapsed="false">
      <c r="A37" s="10" t="s">
        <v>663</v>
      </c>
      <c r="B37" s="11"/>
      <c r="C37" s="11"/>
      <c r="D37" s="11"/>
      <c r="E37" s="11"/>
      <c r="F37" s="11"/>
      <c r="G37" s="11"/>
      <c r="H37" s="11"/>
    </row>
    <row r="38" customFormat="false" ht="15" hidden="false" customHeight="true" outlineLevel="0" collapsed="false">
      <c r="A38" s="12" t="s">
        <v>664</v>
      </c>
      <c r="B38" s="4" t="s">
        <v>44</v>
      </c>
      <c r="C38" s="16" t="n">
        <f aca="false">SUMIF(Engine_Monthly!$D$7:$BK$7,C$4,Engine_Monthly!$D$60:$BK$60)</f>
        <v>4.85835509008598</v>
      </c>
      <c r="D38" s="16" t="n">
        <f aca="false">SUMIF(Engine_Monthly!$D$7:$BK$7,D$4,Engine_Monthly!$D$60:$BK$60)</f>
        <v>187.885074385066</v>
      </c>
      <c r="E38" s="16" t="n">
        <f aca="false">SUMIF(Engine_Monthly!$D$7:$BK$7,E$4,Engine_Monthly!$D$60:$BK$60)</f>
        <v>1385.31029969027</v>
      </c>
      <c r="F38" s="16" t="n">
        <f aca="false">SUMIF(Engine_Monthly!$D$7:$BK$7,F$4,Engine_Monthly!$D$60:$BK$60)</f>
        <v>4773.93973353883</v>
      </c>
      <c r="G38" s="16" t="n">
        <f aca="false">SUMIF(Engine_Monthly!$D$7:$BK$7,G$4,Engine_Monthly!$D$60:$BK$60)</f>
        <v>11320.2833399539</v>
      </c>
    </row>
    <row r="39" customFormat="false" ht="15" hidden="false" customHeight="true" outlineLevel="0" collapsed="false">
      <c r="A39" s="12" t="s">
        <v>665</v>
      </c>
      <c r="B39" s="4" t="s">
        <v>44</v>
      </c>
      <c r="C39" s="16" t="n">
        <f aca="false">SUMIF(Engine_Monthly!$D$7:$BK$7,C$4,Engine_Monthly!$D$61:$BK$61)</f>
        <v>6.595875</v>
      </c>
      <c r="D39" s="16" t="n">
        <f aca="false">SUMIF(Engine_Monthly!$D$7:$BK$7,D$4,Engine_Monthly!$D$61:$BK$61)</f>
        <v>110.0331725724</v>
      </c>
      <c r="E39" s="16" t="n">
        <f aca="false">SUMIF(Engine_Monthly!$D$7:$BK$7,E$4,Engine_Monthly!$D$61:$BK$61)</f>
        <v>429.4382075676</v>
      </c>
      <c r="F39" s="16" t="n">
        <f aca="false">SUMIF(Engine_Monthly!$D$7:$BK$7,F$4,Engine_Monthly!$D$61:$BK$61)</f>
        <v>984.366709684281</v>
      </c>
      <c r="G39" s="16" t="n">
        <f aca="false">SUMIF(Engine_Monthly!$D$7:$BK$7,G$4,Engine_Monthly!$D$61:$BK$61)</f>
        <v>1672.03758691012</v>
      </c>
    </row>
    <row r="40" customFormat="false" ht="15" hidden="false" customHeight="true" outlineLevel="0" collapsed="false">
      <c r="A40" s="12" t="s">
        <v>535</v>
      </c>
      <c r="B40" s="4" t="s">
        <v>44</v>
      </c>
      <c r="C40" s="16" t="n">
        <f aca="false">SUMIF(Engine_Monthly!$D$7:$BK$7,C$4,Engine_Monthly!$D$62:$BK$62)</f>
        <v>14.75</v>
      </c>
      <c r="D40" s="16" t="n">
        <f aca="false">SUMIF(Engine_Monthly!$D$7:$BK$7,D$4,Engine_Monthly!$D$62:$BK$62)</f>
        <v>136.405392</v>
      </c>
      <c r="E40" s="16" t="n">
        <f aca="false">SUMIF(Engine_Monthly!$D$7:$BK$7,E$4,Engine_Monthly!$D$62:$BK$62)</f>
        <v>397.418872</v>
      </c>
      <c r="F40" s="16" t="n">
        <f aca="false">SUMIF(Engine_Monthly!$D$7:$BK$7,F$4,Engine_Monthly!$D$62:$BK$62)</f>
        <v>758.635048</v>
      </c>
      <c r="G40" s="16" t="n">
        <f aca="false">SUMIF(Engine_Monthly!$D$7:$BK$7,G$4,Engine_Monthly!$D$62:$BK$62)</f>
        <v>1138.976224</v>
      </c>
    </row>
    <row r="41" customFormat="false" ht="15" hidden="false" customHeight="true" outlineLevel="0" collapsed="false">
      <c r="A41" s="12" t="s">
        <v>551</v>
      </c>
      <c r="B41" s="4" t="s">
        <v>44</v>
      </c>
      <c r="C41" s="16" t="n">
        <f aca="false">SUMIF(Engine_Monthly!$D$7:$BK$7,C$4,Engine_Monthly!$D$63:$BK$63)</f>
        <v>2.0645625</v>
      </c>
      <c r="D41" s="16" t="n">
        <f aca="false">SUMIF(Engine_Monthly!$D$7:$BK$7,D$4,Engine_Monthly!$D$63:$BK$63)</f>
        <v>32.801216756</v>
      </c>
      <c r="E41" s="16" t="n">
        <f aca="false">SUMIF(Engine_Monthly!$D$7:$BK$7,E$4,Engine_Monthly!$D$63:$BK$63)</f>
        <v>121.92077128</v>
      </c>
      <c r="F41" s="16" t="n">
        <f aca="false">SUMIF(Engine_Monthly!$D$7:$BK$7,F$4,Engine_Monthly!$D$63:$BK$63)</f>
        <v>266.161134316</v>
      </c>
      <c r="G41" s="16" t="n">
        <f aca="false">SUMIF(Engine_Monthly!$D$7:$BK$7,G$4,Engine_Monthly!$D$63:$BK$63)</f>
        <v>430.570684852</v>
      </c>
    </row>
    <row r="42" customFormat="false" ht="15" hidden="false" customHeight="true" outlineLevel="0" collapsed="false">
      <c r="A42" s="12" t="s">
        <v>666</v>
      </c>
      <c r="B42" s="4" t="s">
        <v>44</v>
      </c>
      <c r="C42" s="16" t="n">
        <f aca="false">SUMIF(Engine_Monthly!$D$7:$BK$7,C$4,Engine_Monthly!$D$64:$BK$64)</f>
        <v>0.368832242728407</v>
      </c>
      <c r="D42" s="16" t="n">
        <f aca="false">SUMIF(Engine_Monthly!$D$7:$BK$7,D$4,Engine_Monthly!$D$64:$BK$64)</f>
        <v>11.7201793860428</v>
      </c>
      <c r="E42" s="16" t="n">
        <f aca="false">SUMIF(Engine_Monthly!$D$7:$BK$7,E$4,Engine_Monthly!$D$64:$BK$64)</f>
        <v>77.0596528348753</v>
      </c>
      <c r="F42" s="16" t="n">
        <f aca="false">SUMIF(Engine_Monthly!$D$7:$BK$7,F$4,Engine_Monthly!$D$64:$BK$64)</f>
        <v>243.213596914274</v>
      </c>
      <c r="G42" s="16" t="n">
        <f aca="false">SUMIF(Engine_Monthly!$D$7:$BK$7,G$4,Engine_Monthly!$D$64:$BK$64)</f>
        <v>531.104132466704</v>
      </c>
    </row>
    <row r="43" customFormat="false" ht="15" hidden="false" customHeight="true" outlineLevel="0" collapsed="false">
      <c r="A43" s="5" t="s">
        <v>667</v>
      </c>
      <c r="B43" s="4" t="s">
        <v>44</v>
      </c>
      <c r="C43" s="54" t="n">
        <f aca="false">SUM(C38:C42)</f>
        <v>28.6376248328144</v>
      </c>
      <c r="D43" s="54" t="n">
        <f aca="false">SUM(D38:D42)</f>
        <v>478.845035099508</v>
      </c>
      <c r="E43" s="54" t="n">
        <f aca="false">SUM(E38:E42)</f>
        <v>2411.14780337274</v>
      </c>
      <c r="F43" s="54" t="n">
        <f aca="false">SUM(F38:F42)</f>
        <v>7026.31622245338</v>
      </c>
      <c r="G43" s="54" t="n">
        <f aca="false">SUM(G38:G42)</f>
        <v>15092.9719681828</v>
      </c>
    </row>
    <row r="44" customFormat="false" ht="15" hidden="false" customHeight="true" outlineLevel="0" collapsed="false">
      <c r="A44" s="12" t="s">
        <v>668</v>
      </c>
      <c r="B44" s="4" t="s">
        <v>44</v>
      </c>
      <c r="C44" s="18" t="n">
        <f aca="false">ROUND(C43-7_Financials!C11,3)</f>
        <v>0</v>
      </c>
      <c r="D44" s="18" t="n">
        <f aca="false">ROUND(D43-7_Financials!D11,3)</f>
        <v>0</v>
      </c>
      <c r="E44" s="18" t="n">
        <f aca="false">ROUND(E43-7_Financials!E11,3)</f>
        <v>0</v>
      </c>
      <c r="F44" s="18" t="n">
        <f aca="false">ROUND(F43-7_Financials!F11,3)</f>
        <v>0</v>
      </c>
      <c r="G44" s="18" t="n">
        <f aca="false">ROUND(G43-7_Financials!G11,3)</f>
        <v>0</v>
      </c>
    </row>
    <row r="45" customFormat="false" ht="15" hidden="false" customHeight="true" outlineLevel="0" collapsed="false">
      <c r="A45" s="12" t="s">
        <v>669</v>
      </c>
      <c r="B45" s="4" t="s">
        <v>46</v>
      </c>
      <c r="C45" s="17" t="n">
        <f aca="false">IFERROR(C38/C43,0)</f>
        <v>0.16964937275521</v>
      </c>
      <c r="D45" s="17" t="n">
        <f aca="false">IFERROR(D38/D43,0)</f>
        <v>0.392371353179054</v>
      </c>
      <c r="E45" s="17" t="n">
        <f aca="false">IFERROR(E38/E43,0)</f>
        <v>0.574543915454904</v>
      </c>
      <c r="F45" s="17" t="n">
        <f aca="false">IFERROR(F38/F43,0)</f>
        <v>0.679437073766075</v>
      </c>
      <c r="G45" s="17" t="n">
        <f aca="false">IFERROR(G38/G43,0)</f>
        <v>0.750036729930861</v>
      </c>
    </row>
    <row r="47" customFormat="false" ht="15" hidden="false" customHeight="true" outlineLevel="0" collapsed="false">
      <c r="A47" s="10" t="s">
        <v>670</v>
      </c>
      <c r="B47" s="11"/>
      <c r="C47" s="11"/>
      <c r="D47" s="11"/>
      <c r="E47" s="11"/>
      <c r="F47" s="11"/>
      <c r="G47" s="11"/>
      <c r="H47" s="11"/>
    </row>
    <row r="48" customFormat="false" ht="15" hidden="false" customHeight="true" outlineLevel="0" collapsed="false">
      <c r="A48" s="12" t="s">
        <v>671</v>
      </c>
      <c r="B48" s="4" t="s">
        <v>44</v>
      </c>
      <c r="C48" s="16" t="n">
        <f aca="false">C38*3_Pricing!$C$11*3_Pricing!$C$8/3_Pricing!$F$8</f>
        <v>0.8871778860157</v>
      </c>
      <c r="D48" s="16" t="n">
        <f aca="false">D38*3_Pricing!$C$11*3_Pricing!$C$8/3_Pricing!$F$8</f>
        <v>34.3094483659685</v>
      </c>
      <c r="E48" s="16" t="n">
        <f aca="false">E38*3_Pricing!$C$11*3_Pricing!$C$8/3_Pricing!$F$8</f>
        <v>252.969706899962</v>
      </c>
      <c r="F48" s="16" t="n">
        <f aca="false">F38*3_Pricing!$C$11*3_Pricing!$C$8/3_Pricing!$F$8</f>
        <v>871.762907863612</v>
      </c>
      <c r="G48" s="16" t="n">
        <f aca="false">G38*3_Pricing!$C$11*3_Pricing!$C$8/3_Pricing!$F$8</f>
        <v>2067.18217512203</v>
      </c>
    </row>
    <row r="49" customFormat="false" ht="15" hidden="false" customHeight="true" outlineLevel="0" collapsed="false">
      <c r="A49" s="12" t="s">
        <v>485</v>
      </c>
      <c r="B49" s="4" t="s">
        <v>44</v>
      </c>
      <c r="C49" s="16" t="n">
        <f aca="false">C38*3_Pricing!$D$11*3_Pricing!$D$8/3_Pricing!$F$8</f>
        <v>2.28131456404037</v>
      </c>
      <c r="D49" s="16" t="n">
        <f aca="false">D38*3_Pricing!$D$11*3_Pricing!$D$8/3_Pricing!$F$8</f>
        <v>88.2242957982047</v>
      </c>
      <c r="E49" s="16" t="n">
        <f aca="false">E38*3_Pricing!$D$11*3_Pricing!$D$8/3_Pricing!$F$8</f>
        <v>650.493532028473</v>
      </c>
      <c r="F49" s="16" t="n">
        <f aca="false">F38*3_Pricing!$D$11*3_Pricing!$D$8/3_Pricing!$F$8</f>
        <v>2241.67604879215</v>
      </c>
      <c r="G49" s="16" t="n">
        <f aca="false">G38*3_Pricing!$D$11*3_Pricing!$D$8/3_Pricing!$F$8</f>
        <v>5315.61130745664</v>
      </c>
    </row>
    <row r="50" customFormat="false" ht="15" hidden="false" customHeight="true" outlineLevel="0" collapsed="false">
      <c r="A50" s="12" t="s">
        <v>486</v>
      </c>
      <c r="B50" s="4" t="s">
        <v>44</v>
      </c>
      <c r="C50" s="16" t="n">
        <f aca="false">C38*3_Pricing!$E$11*3_Pricing!$E$8/3_Pricing!$F$8</f>
        <v>1.68986264002991</v>
      </c>
      <c r="D50" s="16" t="n">
        <f aca="false">D38*3_Pricing!$E$11*3_Pricing!$E$8/3_Pricing!$F$8</f>
        <v>65.3513302208924</v>
      </c>
      <c r="E50" s="16" t="n">
        <f aca="false">E38*3_Pricing!$E$11*3_Pricing!$E$8/3_Pricing!$F$8</f>
        <v>481.847060761832</v>
      </c>
      <c r="F50" s="16" t="n">
        <f aca="false">F38*3_Pricing!$E$11*3_Pricing!$E$8/3_Pricing!$F$8</f>
        <v>1660.50077688307</v>
      </c>
      <c r="G50" s="16" t="n">
        <f aca="false">G38*3_Pricing!$E$11*3_Pricing!$E$8/3_Pricing!$F$8</f>
        <v>3937.48985737529</v>
      </c>
    </row>
    <row r="52" customFormat="false" ht="15" hidden="false" customHeight="true" outlineLevel="0" collapsed="false">
      <c r="A52" s="10" t="s">
        <v>672</v>
      </c>
      <c r="B52" s="11"/>
      <c r="C52" s="11"/>
      <c r="D52" s="11"/>
      <c r="E52" s="11"/>
      <c r="F52" s="11"/>
      <c r="G52" s="11"/>
      <c r="H52" s="11"/>
    </row>
    <row r="53" customFormat="false" ht="15" hidden="false" customHeight="true" outlineLevel="0" collapsed="false">
      <c r="A53" s="12" t="s">
        <v>673</v>
      </c>
      <c r="B53" s="4" t="s">
        <v>44</v>
      </c>
      <c r="C53" s="16" t="n">
        <f aca="false">SUMIF(Engine_Monthly!$D$7:$BK$7,1,Engine_Monthly!$D$55:$BK$55)*((1-MIN(0.95,Inputs!$C$50*Inputs!$C$127))*(1+Inputs!$C$49+Inputs!$C$48))^(0-0)*IF(0=0,0.5,1)</f>
        <v>15.4171875</v>
      </c>
      <c r="D53" s="16" t="n">
        <f aca="false">SUMIF(Engine_Monthly!$D$7:$BK$7,1,Engine_Monthly!$D$55:$BK$55)*((1-MIN(0.95,Inputs!$C$50*Inputs!$C$127))*(1+Inputs!$C$49+Inputs!$C$48))^(1-0)*IF(1=0,0.5,1)</f>
        <v>32.2681734375</v>
      </c>
      <c r="E53" s="16" t="n">
        <f aca="false">SUMIF(Engine_Monthly!$D$7:$BK$7,1,Engine_Monthly!$D$55:$BK$55)*((1-MIN(0.95,Inputs!$C$50*Inputs!$C$127))*(1+Inputs!$C$49+Inputs!$C$48))^(2-0)*IF(2=0,0.5,1)</f>
        <v>33.7686435023438</v>
      </c>
      <c r="F53" s="16" t="n">
        <f aca="false">SUMIF(Engine_Monthly!$D$7:$BK$7,1,Engine_Monthly!$D$55:$BK$55)*((1-MIN(0.95,Inputs!$C$50*Inputs!$C$127))*(1+Inputs!$C$49+Inputs!$C$48))^(3-0)*IF(3=0,0.5,1)</f>
        <v>35.3388854252028</v>
      </c>
      <c r="G53" s="16" t="n">
        <f aca="false">SUMIF(Engine_Monthly!$D$7:$BK$7,1,Engine_Monthly!$D$55:$BK$55)*((1-MIN(0.95,Inputs!$C$50*Inputs!$C$127))*(1+Inputs!$C$49+Inputs!$C$48))^(4-0)*IF(4=0,0.5,1)</f>
        <v>36.9821435974747</v>
      </c>
      <c r="H53" s="4" t="s">
        <v>674</v>
      </c>
    </row>
    <row r="54" customFormat="false" ht="15" hidden="false" customHeight="true" outlineLevel="0" collapsed="false">
      <c r="A54" s="12" t="s">
        <v>675</v>
      </c>
      <c r="B54" s="4" t="s">
        <v>44</v>
      </c>
      <c r="C54" s="16" t="n">
        <f aca="false">0</f>
        <v>0</v>
      </c>
      <c r="D54" s="16" t="n">
        <f aca="false">SUMIF(Engine_Monthly!$D$7:$BK$7,2,Engine_Monthly!$D$55:$BK$55)*((1-MIN(0.95,Inputs!$C$50*Inputs!$C$127))*(1+Inputs!$C$49+Inputs!$C$48))^(1-1)*IF(1=1,0.5,1)</f>
        <v>257.191358655</v>
      </c>
      <c r="E54" s="16" t="n">
        <f aca="false">SUMIF(Engine_Monthly!$D$7:$BK$7,2,Engine_Monthly!$D$55:$BK$55)*((1-MIN(0.95,Inputs!$C$50*Inputs!$C$127))*(1+Inputs!$C$49+Inputs!$C$48))^(2-1)*IF(2=1,0.5,1)</f>
        <v>538.301513664915</v>
      </c>
      <c r="F54" s="16" t="n">
        <f aca="false">SUMIF(Engine_Monthly!$D$7:$BK$7,2,Engine_Monthly!$D$55:$BK$55)*((1-MIN(0.95,Inputs!$C$50*Inputs!$C$127))*(1+Inputs!$C$49+Inputs!$C$48))^(3-1)*IF(3=1,0.5,1)</f>
        <v>563.332534050334</v>
      </c>
      <c r="G54" s="16" t="n">
        <f aca="false">SUMIF(Engine_Monthly!$D$7:$BK$7,2,Engine_Monthly!$D$55:$BK$55)*((1-MIN(0.95,Inputs!$C$50*Inputs!$C$127))*(1+Inputs!$C$49+Inputs!$C$48))^(4-1)*IF(4=1,0.5,1)</f>
        <v>589.527496883674</v>
      </c>
    </row>
    <row r="55" customFormat="false" ht="15" hidden="false" customHeight="true" outlineLevel="0" collapsed="false">
      <c r="A55" s="12" t="s">
        <v>676</v>
      </c>
      <c r="B55" s="4" t="s">
        <v>44</v>
      </c>
      <c r="C55" s="16" t="n">
        <f aca="false">0</f>
        <v>0</v>
      </c>
      <c r="D55" s="16" t="n">
        <f aca="false">0</f>
        <v>0</v>
      </c>
      <c r="E55" s="16" t="n">
        <f aca="false">SUMIF(Engine_Monthly!$D$7:$BK$7,3,Engine_Monthly!$D$55:$BK$55)*((1-MIN(0.95,Inputs!$C$50*Inputs!$C$127))*(1+Inputs!$C$49+Inputs!$C$48))^(2-2)*IF(2=2,0.5,1)</f>
        <v>1003.768168095</v>
      </c>
      <c r="F55" s="16" t="n">
        <f aca="false">SUMIF(Engine_Monthly!$D$7:$BK$7,3,Engine_Monthly!$D$55:$BK$55)*((1-MIN(0.95,Inputs!$C$50*Inputs!$C$127))*(1+Inputs!$C$49+Inputs!$C$48))^(3-2)*IF(3=2,0.5,1)</f>
        <v>2100.88677582284</v>
      </c>
      <c r="G55" s="16" t="n">
        <f aca="false">SUMIF(Engine_Monthly!$D$7:$BK$7,3,Engine_Monthly!$D$55:$BK$55)*((1-MIN(0.95,Inputs!$C$50*Inputs!$C$127))*(1+Inputs!$C$49+Inputs!$C$48))^(4-2)*IF(4=2,0.5,1)</f>
        <v>2198.5780108986</v>
      </c>
    </row>
    <row r="56" customFormat="false" ht="15" hidden="false" customHeight="true" outlineLevel="0" collapsed="false">
      <c r="A56" s="12" t="s">
        <v>677</v>
      </c>
      <c r="B56" s="4" t="s">
        <v>44</v>
      </c>
      <c r="C56" s="16" t="n">
        <f aca="false">0</f>
        <v>0</v>
      </c>
      <c r="D56" s="16" t="n">
        <f aca="false">0</f>
        <v>0</v>
      </c>
      <c r="E56" s="16" t="n">
        <f aca="false">0</f>
        <v>0</v>
      </c>
      <c r="F56" s="16" t="n">
        <f aca="false">SUMIF(Engine_Monthly!$D$7:$BK$7,4,Engine_Monthly!$D$55:$BK$55)*((1-MIN(0.95,Inputs!$C$50*Inputs!$C$127))*(1+Inputs!$C$49+Inputs!$C$48))^(3-3)*IF(3=3,0.5,1)</f>
        <v>2300.85714661976</v>
      </c>
      <c r="G56" s="16" t="n">
        <f aca="false">SUMIF(Engine_Monthly!$D$7:$BK$7,4,Engine_Monthly!$D$55:$BK$55)*((1-MIN(0.95,Inputs!$C$50*Inputs!$C$127))*(1+Inputs!$C$49+Inputs!$C$48))^(4-3)*IF(4=3,0.5,1)</f>
        <v>4815.69400787516</v>
      </c>
    </row>
    <row r="57" customFormat="false" ht="15" hidden="false" customHeight="true" outlineLevel="0" collapsed="false">
      <c r="A57" s="12" t="s">
        <v>678</v>
      </c>
      <c r="B57" s="4" t="s">
        <v>44</v>
      </c>
      <c r="C57" s="16" t="n">
        <f aca="false">0</f>
        <v>0</v>
      </c>
      <c r="D57" s="16" t="n">
        <f aca="false">0</f>
        <v>0</v>
      </c>
      <c r="E57" s="16" t="n">
        <f aca="false">0</f>
        <v>0</v>
      </c>
      <c r="F57" s="16" t="n">
        <f aca="false">0</f>
        <v>0</v>
      </c>
      <c r="G57" s="16" t="n">
        <f aca="false">SUMIF(Engine_Monthly!$D$7:$BK$7,5,Engine_Monthly!$D$55:$BK$55)*((1-MIN(0.95,Inputs!$C$50*Inputs!$C$127))*(1+Inputs!$C$49+Inputs!$C$48))^(4-4)*IF(4=4,0.5,1)</f>
        <v>3908.21793688341</v>
      </c>
    </row>
    <row r="58" customFormat="false" ht="15" hidden="false" customHeight="true" outlineLevel="0" collapsed="false">
      <c r="A58" s="5" t="s">
        <v>679</v>
      </c>
      <c r="B58" s="4" t="s">
        <v>44</v>
      </c>
      <c r="C58" s="52" t="n">
        <f aca="false">SUM(C53:C57)</f>
        <v>15.4171875</v>
      </c>
      <c r="D58" s="52" t="n">
        <f aca="false">SUM(D53:D57)</f>
        <v>289.4595320925</v>
      </c>
      <c r="E58" s="52" t="n">
        <f aca="false">SUM(E53:E57)</f>
        <v>1575.83832526226</v>
      </c>
      <c r="F58" s="52" t="n">
        <f aca="false">SUM(F53:F57)</f>
        <v>5000.41534191814</v>
      </c>
      <c r="G58" s="52" t="n">
        <f aca="false">SUM(G53:G57)</f>
        <v>11548.9995961383</v>
      </c>
      <c r="H58" s="4" t="s">
        <v>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7" min="3" style="1" width="12"/>
    <col collapsed="false" customWidth="true" hidden="false" outlineLevel="0" max="8" min="8" style="1" width="55"/>
  </cols>
  <sheetData>
    <row r="1" customFormat="false" ht="17.25" hidden="false" customHeight="true" outlineLevel="0" collapsed="false">
      <c r="A1" s="2" t="s">
        <v>681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682</v>
      </c>
    </row>
    <row r="3" customFormat="false" ht="15" hidden="false" customHeight="true" outlineLevel="0" collapsed="false">
      <c r="A3" s="15" t="s">
        <v>44</v>
      </c>
      <c r="B3" s="15" t="s">
        <v>42</v>
      </c>
      <c r="C3" s="15" t="str">
        <f aca="false">INDEX(Engine_Monthly!$D$10:$BK$10,1,12)</f>
        <v>FY27</v>
      </c>
      <c r="D3" s="15" t="str">
        <f aca="false">INDEX(Engine_Monthly!$D$10:$BK$10,1,24)</f>
        <v>FY28</v>
      </c>
      <c r="E3" s="15" t="str">
        <f aca="false">INDEX(Engine_Monthly!$D$10:$BK$10,1,36)</f>
        <v>FY29</v>
      </c>
      <c r="F3" s="15" t="str">
        <f aca="false">INDEX(Engine_Monthly!$D$10:$BK$10,1,48)</f>
        <v>FY30</v>
      </c>
      <c r="G3" s="15" t="str">
        <f aca="false">INDEX(Engine_Monthly!$D$10:$BK$10,1,60)</f>
        <v>FY31</v>
      </c>
    </row>
    <row r="4" customFormat="false" ht="15" hidden="false" customHeight="true" outlineLevel="0" collapsed="false">
      <c r="A4" s="4" t="s">
        <v>635</v>
      </c>
      <c r="C4" s="53" t="n">
        <v>1</v>
      </c>
      <c r="D4" s="53" t="n">
        <v>2</v>
      </c>
      <c r="E4" s="53" t="n">
        <v>3</v>
      </c>
      <c r="F4" s="53" t="n">
        <v>4</v>
      </c>
      <c r="G4" s="53" t="n">
        <v>5</v>
      </c>
    </row>
    <row r="6" customFormat="false" ht="15" hidden="false" customHeight="true" outlineLevel="0" collapsed="false">
      <c r="A6" s="10" t="s">
        <v>683</v>
      </c>
      <c r="B6" s="11"/>
      <c r="C6" s="11"/>
      <c r="D6" s="11"/>
      <c r="E6" s="11"/>
      <c r="F6" s="11"/>
      <c r="G6" s="11"/>
      <c r="H6" s="11"/>
    </row>
    <row r="7" customFormat="false" ht="15" hidden="false" customHeight="true" outlineLevel="0" collapsed="false">
      <c r="A7" s="12" t="s">
        <v>186</v>
      </c>
      <c r="B7" s="4" t="s">
        <v>44</v>
      </c>
      <c r="C7" s="16" t="n">
        <f aca="false">SUMIF(Engine_Monthly!$D$7:$BK$7,C$4,Engine_Monthly!$D$70:$BK$70)</f>
        <v>1.41667402660465</v>
      </c>
      <c r="D7" s="16" t="n">
        <f aca="false">SUMIF(Engine_Monthly!$D$7:$BK$7,D$4,Engine_Monthly!$D$70:$BK$70)</f>
        <v>16.2487076436428</v>
      </c>
      <c r="E7" s="16" t="n">
        <f aca="false">SUMIF(Engine_Monthly!$D$7:$BK$7,E$4,Engine_Monthly!$D$70:$BK$70)</f>
        <v>63.6302159058864</v>
      </c>
      <c r="F7" s="16" t="n">
        <f aca="false">SUMIF(Engine_Monthly!$D$7:$BK$7,F$4,Engine_Monthly!$D$70:$BK$70)</f>
        <v>155.087393644985</v>
      </c>
      <c r="G7" s="16" t="n">
        <f aca="false">SUMIF(Engine_Monthly!$D$7:$BK$7,G$4,Engine_Monthly!$D$70:$BK$70)</f>
        <v>286.313374989635</v>
      </c>
    </row>
    <row r="8" customFormat="false" ht="15" hidden="false" customHeight="true" outlineLevel="0" collapsed="false">
      <c r="A8" s="12" t="s">
        <v>684</v>
      </c>
      <c r="B8" s="4" t="s">
        <v>44</v>
      </c>
      <c r="C8" s="16" t="n">
        <f aca="false">SUMIF(Engine_Monthly!$D$7:$BK$7,C$4,Engine_Monthly!$D$71:$BK$71)</f>
        <v>0.607146011401994</v>
      </c>
      <c r="D8" s="16" t="n">
        <f aca="false">SUMIF(Engine_Monthly!$D$7:$BK$7,D$4,Engine_Monthly!$D$71:$BK$71)</f>
        <v>6.96373184727549</v>
      </c>
      <c r="E8" s="16" t="n">
        <f aca="false">SUMIF(Engine_Monthly!$D$7:$BK$7,E$4,Engine_Monthly!$D$71:$BK$71)</f>
        <v>27.2700925310942</v>
      </c>
      <c r="F8" s="16" t="n">
        <f aca="false">SUMIF(Engine_Monthly!$D$7:$BK$7,F$4,Engine_Monthly!$D$71:$BK$71)</f>
        <v>66.4660258478505</v>
      </c>
      <c r="G8" s="16" t="n">
        <f aca="false">SUMIF(Engine_Monthly!$D$7:$BK$7,G$4,Engine_Monthly!$D$71:$BK$71)</f>
        <v>122.705732138415</v>
      </c>
    </row>
    <row r="9" customFormat="false" ht="15" hidden="false" customHeight="true" outlineLevel="0" collapsed="false">
      <c r="A9" s="12" t="s">
        <v>192</v>
      </c>
      <c r="B9" s="4" t="s">
        <v>44</v>
      </c>
      <c r="C9" s="16" t="n">
        <f aca="false">SUMIF(Engine_Monthly!$D$7:$BK$7,C$4,Engine_Monthly!$D$72:$BK$72)</f>
        <v>0.404764007601329</v>
      </c>
      <c r="D9" s="16" t="n">
        <f aca="false">SUMIF(Engine_Monthly!$D$7:$BK$7,D$4,Engine_Monthly!$D$72:$BK$72)</f>
        <v>4.64248789818366</v>
      </c>
      <c r="E9" s="16" t="n">
        <f aca="false">SUMIF(Engine_Monthly!$D$7:$BK$7,E$4,Engine_Monthly!$D$72:$BK$72)</f>
        <v>18.1800616873961</v>
      </c>
      <c r="F9" s="16" t="n">
        <f aca="false">SUMIF(Engine_Monthly!$D$7:$BK$7,F$4,Engine_Monthly!$D$72:$BK$72)</f>
        <v>44.310683898567</v>
      </c>
      <c r="G9" s="16" t="n">
        <f aca="false">SUMIF(Engine_Monthly!$D$7:$BK$7,G$4,Engine_Monthly!$D$72:$BK$72)</f>
        <v>81.80382142561</v>
      </c>
    </row>
    <row r="10" customFormat="false" ht="15" hidden="false" customHeight="true" outlineLevel="0" collapsed="false">
      <c r="A10" s="12" t="s">
        <v>685</v>
      </c>
      <c r="B10" s="4" t="s">
        <v>44</v>
      </c>
      <c r="C10" s="16" t="n">
        <f aca="false">SUMIF(Engine_Monthly!$D$7:$BK$7,C$4,Engine_Monthly!$D$73:$BK$73)</f>
        <v>0.505955009501662</v>
      </c>
      <c r="D10" s="16" t="n">
        <f aca="false">SUMIF(Engine_Monthly!$D$7:$BK$7,D$4,Engine_Monthly!$D$73:$BK$73)</f>
        <v>5.80310987272957</v>
      </c>
      <c r="E10" s="16" t="n">
        <f aca="false">SUMIF(Engine_Monthly!$D$7:$BK$7,E$4,Engine_Monthly!$D$73:$BK$73)</f>
        <v>22.7250771092452</v>
      </c>
      <c r="F10" s="16" t="n">
        <f aca="false">SUMIF(Engine_Monthly!$D$7:$BK$7,F$4,Engine_Monthly!$D$73:$BK$73)</f>
        <v>55.3883548732088</v>
      </c>
      <c r="G10" s="16" t="n">
        <f aca="false">SUMIF(Engine_Monthly!$D$7:$BK$7,G$4,Engine_Monthly!$D$73:$BK$73)</f>
        <v>102.254776782012</v>
      </c>
    </row>
    <row r="11" customFormat="false" ht="15" hidden="false" customHeight="true" outlineLevel="0" collapsed="false">
      <c r="A11" s="12" t="s">
        <v>686</v>
      </c>
      <c r="B11" s="4" t="s">
        <v>44</v>
      </c>
      <c r="C11" s="16" t="n">
        <f aca="false">SUMIF(Engine_Monthly!$D$7:$BK$7,C$4,Engine_Monthly!$D$74:$BK$74)</f>
        <v>0.505955009501662</v>
      </c>
      <c r="D11" s="16" t="n">
        <f aca="false">SUMIF(Engine_Monthly!$D$7:$BK$7,D$4,Engine_Monthly!$D$74:$BK$74)</f>
        <v>5.80310987272957</v>
      </c>
      <c r="E11" s="16" t="n">
        <f aca="false">SUMIF(Engine_Monthly!$D$7:$BK$7,E$4,Engine_Monthly!$D$74:$BK$74)</f>
        <v>22.7250771092452</v>
      </c>
      <c r="F11" s="16" t="n">
        <f aca="false">SUMIF(Engine_Monthly!$D$7:$BK$7,F$4,Engine_Monthly!$D$74:$BK$74)</f>
        <v>55.3883548732088</v>
      </c>
      <c r="G11" s="16" t="n">
        <f aca="false">SUMIF(Engine_Monthly!$D$7:$BK$7,G$4,Engine_Monthly!$D$74:$BK$74)</f>
        <v>102.254776782012</v>
      </c>
    </row>
    <row r="12" customFormat="false" ht="15" hidden="false" customHeight="true" outlineLevel="0" collapsed="false">
      <c r="A12" s="12" t="s">
        <v>687</v>
      </c>
      <c r="B12" s="4" t="s">
        <v>44</v>
      </c>
      <c r="C12" s="16" t="n">
        <f aca="false">SUMIF(Engine_Monthly!$D$7:$BK$7,C$4,Engine_Monthly!$D$75:$BK$75)</f>
        <v>15</v>
      </c>
      <c r="D12" s="16" t="n">
        <f aca="false">SUMIF(Engine_Monthly!$D$7:$BK$7,D$4,Engine_Monthly!$D$75:$BK$75)</f>
        <v>18.9</v>
      </c>
      <c r="E12" s="16" t="n">
        <f aca="false">SUMIF(Engine_Monthly!$D$7:$BK$7,E$4,Engine_Monthly!$D$75:$BK$75)</f>
        <v>19.845</v>
      </c>
      <c r="F12" s="16" t="n">
        <f aca="false">SUMIF(Engine_Monthly!$D$7:$BK$7,F$4,Engine_Monthly!$D$75:$BK$75)</f>
        <v>20.83725</v>
      </c>
      <c r="G12" s="16" t="n">
        <f aca="false">SUMIF(Engine_Monthly!$D$7:$BK$7,G$4,Engine_Monthly!$D$75:$BK$75)</f>
        <v>21.8791125</v>
      </c>
    </row>
    <row r="13" customFormat="false" ht="15" hidden="false" customHeight="true" outlineLevel="0" collapsed="false">
      <c r="A13" s="12" t="s">
        <v>688</v>
      </c>
      <c r="B13" s="4" t="s">
        <v>44</v>
      </c>
      <c r="C13" s="16" t="n">
        <f aca="false">SUMIF(Engine_Monthly!$D$7:$BK$7,C$4,Engine_Monthly!$D$78:$BK$78)</f>
        <v>3.36</v>
      </c>
      <c r="D13" s="16" t="n">
        <f aca="false">SUMIF(Engine_Monthly!$D$7:$BK$7,D$4,Engine_Monthly!$D$78:$BK$78)</f>
        <v>10.8864</v>
      </c>
      <c r="E13" s="16" t="n">
        <f aca="false">SUMIF(Engine_Monthly!$D$7:$BK$7,E$4,Engine_Monthly!$D$78:$BK$78)</f>
        <v>26.453952</v>
      </c>
      <c r="F13" s="16" t="n">
        <f aca="false">SUMIF(Engine_Monthly!$D$7:$BK$7,F$4,Engine_Monthly!$D$78:$BK$78)</f>
        <v>77.24553984</v>
      </c>
      <c r="G13" s="16" t="n">
        <f aca="false">SUMIF(Engine_Monthly!$D$7:$BK$7,G$4,Engine_Monthly!$D$78:$BK$78)</f>
        <v>173.7072304128</v>
      </c>
    </row>
    <row r="14" customFormat="false" ht="15" hidden="false" customHeight="true" outlineLevel="0" collapsed="false">
      <c r="A14" s="12" t="s">
        <v>689</v>
      </c>
      <c r="B14" s="4" t="s">
        <v>44</v>
      </c>
      <c r="C14" s="16" t="n">
        <f aca="false">SUMIF(Engine_Monthly!$D$7:$BK$7,C$4,Engine_Monthly!$D$79:$BK$79)</f>
        <v>2.24</v>
      </c>
      <c r="D14" s="16" t="n">
        <f aca="false">SUMIF(Engine_Monthly!$D$7:$BK$7,D$4,Engine_Monthly!$D$79:$BK$79)</f>
        <v>7.2576</v>
      </c>
      <c r="E14" s="16" t="n">
        <f aca="false">SUMIF(Engine_Monthly!$D$7:$BK$7,E$4,Engine_Monthly!$D$79:$BK$79)</f>
        <v>15.676416</v>
      </c>
      <c r="F14" s="16" t="n">
        <f aca="false">SUMIF(Engine_Monthly!$D$7:$BK$7,F$4,Engine_Monthly!$D$79:$BK$79)</f>
        <v>43.03176192</v>
      </c>
      <c r="G14" s="16" t="n">
        <f aca="false">SUMIF(Engine_Monthly!$D$7:$BK$7,G$4,Engine_Monthly!$D$79:$BK$79)</f>
        <v>97.5198486528</v>
      </c>
    </row>
    <row r="15" customFormat="false" ht="15" hidden="false" customHeight="true" outlineLevel="0" collapsed="false">
      <c r="A15" s="5" t="s">
        <v>690</v>
      </c>
      <c r="B15" s="4" t="s">
        <v>44</v>
      </c>
      <c r="C15" s="54" t="n">
        <f aca="false">SUMIF(Engine_Monthly!$D$7:$BK$7,C$4,Engine_Monthly!$D$80:$BK$80)</f>
        <v>24.0404940646113</v>
      </c>
      <c r="D15" s="54" t="n">
        <f aca="false">SUMIF(Engine_Monthly!$D$7:$BK$7,D$4,Engine_Monthly!$D$80:$BK$80)</f>
        <v>76.5051471345611</v>
      </c>
      <c r="E15" s="54" t="n">
        <f aca="false">SUMIF(Engine_Monthly!$D$7:$BK$7,E$4,Engine_Monthly!$D$80:$BK$80)</f>
        <v>216.505892342867</v>
      </c>
      <c r="F15" s="54" t="n">
        <f aca="false">SUMIF(Engine_Monthly!$D$7:$BK$7,F$4,Engine_Monthly!$D$80:$BK$80)</f>
        <v>517.75536489782</v>
      </c>
      <c r="G15" s="54" t="n">
        <f aca="false">SUMIF(Engine_Monthly!$D$7:$BK$7,G$4,Engine_Monthly!$D$80:$BK$80)</f>
        <v>988.438673683285</v>
      </c>
    </row>
    <row r="16" customFormat="false" ht="15" hidden="false" customHeight="true" outlineLevel="0" collapsed="false">
      <c r="A16" s="12" t="s">
        <v>691</v>
      </c>
      <c r="B16" s="4" t="s">
        <v>44</v>
      </c>
      <c r="C16" s="16" t="n">
        <f aca="false">SUMIF(Engine_Monthly!$D$7:$BK$7,C$4,Engine_Monthly!$D$60:$BK$60)</f>
        <v>4.85835509008598</v>
      </c>
      <c r="D16" s="16" t="n">
        <f aca="false">SUMIF(Engine_Monthly!$D$7:$BK$7,D$4,Engine_Monthly!$D$60:$BK$60)</f>
        <v>187.885074385066</v>
      </c>
      <c r="E16" s="16" t="n">
        <f aca="false">SUMIF(Engine_Monthly!$D$7:$BK$7,E$4,Engine_Monthly!$D$60:$BK$60)</f>
        <v>1385.31029969027</v>
      </c>
      <c r="F16" s="16" t="n">
        <f aca="false">SUMIF(Engine_Monthly!$D$7:$BK$7,F$4,Engine_Monthly!$D$60:$BK$60)</f>
        <v>4773.93973353883</v>
      </c>
      <c r="G16" s="16" t="n">
        <f aca="false">SUMIF(Engine_Monthly!$D$7:$BK$7,G$4,Engine_Monthly!$D$60:$BK$60)</f>
        <v>11320.2833399539</v>
      </c>
    </row>
    <row r="17" customFormat="false" ht="15" hidden="false" customHeight="true" outlineLevel="0" collapsed="false">
      <c r="A17" s="5" t="s">
        <v>53</v>
      </c>
      <c r="B17" s="4" t="s">
        <v>46</v>
      </c>
      <c r="C17" s="55" t="n">
        <f aca="false">IFERROR(1-C15/C16,0)</f>
        <v>-3.94827850555194</v>
      </c>
      <c r="D17" s="55" t="n">
        <f aca="false">IFERROR(1-D15/D16,0)</f>
        <v>0.592808809401401</v>
      </c>
      <c r="E17" s="55" t="n">
        <f aca="false">IFERROR(1-E15/E16,0)</f>
        <v>0.843713071077813</v>
      </c>
      <c r="F17" s="55" t="n">
        <f aca="false">IFERROR(1-F15/F16,0)</f>
        <v>0.891545475268491</v>
      </c>
      <c r="G17" s="55" t="n">
        <f aca="false">IFERROR(1-G15/G16,0)</f>
        <v>0.912684281479539</v>
      </c>
    </row>
    <row r="18" customFormat="false" ht="15" hidden="false" customHeight="true" outlineLevel="0" collapsed="false">
      <c r="A18" s="12" t="s">
        <v>692</v>
      </c>
      <c r="B18" s="4" t="s">
        <v>44</v>
      </c>
      <c r="C18" s="18" t="str">
        <f aca="false">IF(AVERAGEIF(Engine_Monthly!$D$7:$BK$7,C$4,Engine_Monthly!$D$49:$BK$49)&lt;3,"n.m.",C15/AVERAGEIF(Engine_Monthly!$D$7:$BK$7,C$4,Engine_Monthly!$D$49:$BK$49))</f>
        <v>n.m.</v>
      </c>
      <c r="D18" s="18" t="n">
        <f aca="false">IF(AVERAGEIF(Engine_Monthly!$D$7:$BK$7,D$4,Engine_Monthly!$D$49:$BK$49)&lt;3,"n.m.",D15/AVERAGEIF(Engine_Monthly!$D$7:$BK$7,D$4,Engine_Monthly!$D$49:$BK$49))</f>
        <v>11.3825775119756</v>
      </c>
      <c r="E18" s="18" t="n">
        <f aca="false">IF(AVERAGEIF(Engine_Monthly!$D$7:$BK$7,E$4,Engine_Monthly!$D$49:$BK$49)&lt;3,"n.m.",E15/AVERAGEIF(Engine_Monthly!$D$7:$BK$7,E$4,Engine_Monthly!$D$49:$BK$49))</f>
        <v>4.89921944732682</v>
      </c>
      <c r="F18" s="18" t="n">
        <f aca="false">IF(AVERAGEIF(Engine_Monthly!$D$7:$BK$7,F$4,Engine_Monthly!$D$49:$BK$49)&lt;3,"n.m.",F15/AVERAGEIF(Engine_Monthly!$D$7:$BK$7,F$4,Engine_Monthly!$D$49:$BK$49))</f>
        <v>3.71211120182067</v>
      </c>
      <c r="G18" s="18" t="n">
        <f aca="false">IF(AVERAGEIF(Engine_Monthly!$D$7:$BK$7,G$4,Engine_Monthly!$D$49:$BK$49)&lt;3,"n.m.",G15/AVERAGEIF(Engine_Monthly!$D$7:$BK$7,G$4,Engine_Monthly!$D$49:$BK$49))</f>
        <v>3.24529566213323</v>
      </c>
    </row>
    <row r="20" customFormat="false" ht="15" hidden="false" customHeight="true" outlineLevel="0" collapsed="false">
      <c r="A20" s="10" t="s">
        <v>693</v>
      </c>
      <c r="B20" s="11"/>
      <c r="C20" s="11"/>
      <c r="D20" s="11"/>
      <c r="E20" s="11"/>
      <c r="F20" s="11"/>
      <c r="G20" s="11"/>
      <c r="H20" s="11"/>
    </row>
    <row r="21" customFormat="false" ht="15" hidden="false" customHeight="true" outlineLevel="0" collapsed="false">
      <c r="A21" s="12" t="s">
        <v>694</v>
      </c>
      <c r="B21" s="4" t="s">
        <v>44</v>
      </c>
      <c r="C21" s="16" t="n">
        <f aca="false">SUMIF(Engine_Monthly!$D$7:$BK$7,C$4,Engine_Monthly!$D$81:$BK$81)</f>
        <v>9.33333333333333</v>
      </c>
      <c r="D21" s="16" t="n">
        <f aca="false">SUMIF(Engine_Monthly!$D$7:$BK$7,D$4,Engine_Monthly!$D$81:$BK$81)</f>
        <v>47.376</v>
      </c>
      <c r="E21" s="16" t="n">
        <f aca="false">SUMIF(Engine_Monthly!$D$7:$BK$7,E$4,Engine_Monthly!$D$81:$BK$81)</f>
        <v>141.5232</v>
      </c>
      <c r="F21" s="16" t="n">
        <f aca="false">SUMIF(Engine_Monthly!$D$7:$BK$7,F$4,Engine_Monthly!$D$81:$BK$81)</f>
        <v>296.2842624</v>
      </c>
      <c r="G21" s="16" t="n">
        <f aca="false">SUMIF(Engine_Monthly!$D$7:$BK$7,G$4,Engine_Monthly!$D$81:$BK$81)</f>
        <v>487.599243264</v>
      </c>
    </row>
    <row r="22" customFormat="false" ht="15" hidden="false" customHeight="true" outlineLevel="0" collapsed="false">
      <c r="A22" s="12" t="s">
        <v>695</v>
      </c>
      <c r="B22" s="4" t="s">
        <v>44</v>
      </c>
      <c r="C22" s="16" t="n">
        <f aca="false">SUMIF(Engine_Monthly!$D$7:$BK$7,C$4,Engine_Monthly!$D$82:$BK$82)</f>
        <v>9.88125</v>
      </c>
      <c r="D22" s="16" t="n">
        <f aca="false">SUMIF(Engine_Monthly!$D$7:$BK$7,D$4,Engine_Monthly!$D$82:$BK$82)</f>
        <v>107.99922966</v>
      </c>
      <c r="E22" s="16" t="n">
        <f aca="false">SUMIF(Engine_Monthly!$D$7:$BK$7,E$4,Engine_Monthly!$D$82:$BK$82)</f>
        <v>362.02985658</v>
      </c>
      <c r="F22" s="16" t="n">
        <f aca="false">SUMIF(Engine_Monthly!$D$7:$BK$7,F$4,Engine_Monthly!$D$82:$BK$82)</f>
        <v>766.58896339515</v>
      </c>
      <c r="G22" s="16" t="n">
        <f aca="false">SUMIF(Engine_Monthly!$D$7:$BK$7,G$4,Engine_Monthly!$D$82:$BK$82)</f>
        <v>1248.28084011755</v>
      </c>
    </row>
    <row r="23" customFormat="false" ht="15" hidden="false" customHeight="true" outlineLevel="0" collapsed="false">
      <c r="A23" s="5" t="s">
        <v>696</v>
      </c>
      <c r="B23" s="4" t="s">
        <v>44</v>
      </c>
      <c r="C23" s="54" t="n">
        <f aca="false">SUMIF(Engine_Monthly!$D$7:$BK$7,C$4,Engine_Monthly!$D$83:$BK$83)</f>
        <v>19.2145833333333</v>
      </c>
      <c r="D23" s="54" t="n">
        <f aca="false">SUMIF(Engine_Monthly!$D$7:$BK$7,D$4,Engine_Monthly!$D$83:$BK$83)</f>
        <v>155.37522966</v>
      </c>
      <c r="E23" s="54" t="n">
        <f aca="false">SUMIF(Engine_Monthly!$D$7:$BK$7,E$4,Engine_Monthly!$D$83:$BK$83)</f>
        <v>503.55305658</v>
      </c>
      <c r="F23" s="54" t="n">
        <f aca="false">SUMIF(Engine_Monthly!$D$7:$BK$7,F$4,Engine_Monthly!$D$83:$BK$83)</f>
        <v>1062.87322579515</v>
      </c>
      <c r="G23" s="54" t="n">
        <f aca="false">SUMIF(Engine_Monthly!$D$7:$BK$7,G$4,Engine_Monthly!$D$83:$BK$83)</f>
        <v>1735.88008338155</v>
      </c>
    </row>
    <row r="24" customFormat="false" ht="15" hidden="false" customHeight="true" outlineLevel="0" collapsed="false">
      <c r="A24" s="12" t="s">
        <v>697</v>
      </c>
      <c r="B24" s="4" t="s">
        <v>44</v>
      </c>
      <c r="C24" s="16" t="n">
        <f aca="false">SUMIF(Engine_Monthly!$D$7:$BK$7,C$4,Engine_Monthly!$D$61:$BK$61)+SUMIF(Engine_Monthly!$D$7:$BK$7,C$4,Engine_Monthly!$D$62:$BK$62)</f>
        <v>21.345875</v>
      </c>
      <c r="D24" s="16" t="n">
        <f aca="false">SUMIF(Engine_Monthly!$D$7:$BK$7,D$4,Engine_Monthly!$D$61:$BK$61)+SUMIF(Engine_Monthly!$D$7:$BK$7,D$4,Engine_Monthly!$D$62:$BK$62)</f>
        <v>246.4385645724</v>
      </c>
      <c r="E24" s="16" t="n">
        <f aca="false">SUMIF(Engine_Monthly!$D$7:$BK$7,E$4,Engine_Monthly!$D$61:$BK$61)+SUMIF(Engine_Monthly!$D$7:$BK$7,E$4,Engine_Monthly!$D$62:$BK$62)</f>
        <v>826.8570795676</v>
      </c>
      <c r="F24" s="16" t="n">
        <f aca="false">SUMIF(Engine_Monthly!$D$7:$BK$7,F$4,Engine_Monthly!$D$61:$BK$61)+SUMIF(Engine_Monthly!$D$7:$BK$7,F$4,Engine_Monthly!$D$62:$BK$62)</f>
        <v>1743.00175768428</v>
      </c>
      <c r="G24" s="16" t="n">
        <f aca="false">SUMIF(Engine_Monthly!$D$7:$BK$7,G$4,Engine_Monthly!$D$61:$BK$61)+SUMIF(Engine_Monthly!$D$7:$BK$7,G$4,Engine_Monthly!$D$62:$BK$62)</f>
        <v>2811.01381091012</v>
      </c>
    </row>
    <row r="25" customFormat="false" ht="15" hidden="false" customHeight="true" outlineLevel="0" collapsed="false">
      <c r="A25" s="5" t="s">
        <v>698</v>
      </c>
      <c r="B25" s="4" t="s">
        <v>46</v>
      </c>
      <c r="C25" s="55" t="n">
        <f aca="false">IFERROR(1-C23/C24,0)</f>
        <v>0.0998455985836452</v>
      </c>
      <c r="D25" s="55" t="n">
        <f aca="false">IFERROR(1-D23/D24,0)</f>
        <v>0.369517388929795</v>
      </c>
      <c r="E25" s="55" t="n">
        <f aca="false">IFERROR(1-E23/E24,0)</f>
        <v>0.391003513154498</v>
      </c>
      <c r="F25" s="55" t="n">
        <f aca="false">IFERROR(1-F23/F24,0)</f>
        <v>0.390205304665175</v>
      </c>
      <c r="G25" s="55" t="n">
        <f aca="false">IFERROR(1-G23/G24,0)</f>
        <v>0.382471876643136</v>
      </c>
      <c r="H25" s="4"/>
    </row>
    <row r="26" customFormat="false" ht="15" hidden="false" customHeight="true" outlineLevel="0" collapsed="false">
      <c r="A26" s="12" t="s">
        <v>699</v>
      </c>
      <c r="B26" s="4" t="s">
        <v>44</v>
      </c>
      <c r="C26" s="18" t="n">
        <f aca="false">IFERROR(C23/SUMIF(Engine_Monthly!$D$7:$BK$7,C$4,Engine_Monthly!$D$42:$BK$42),0)</f>
        <v>17.9156954156954</v>
      </c>
      <c r="D26" s="18" t="n">
        <f aca="false">IFERROR(D23/SUMIF(Engine_Monthly!$D$7:$BK$7,D$4,Engine_Monthly!$D$42:$BK$42),0)</f>
        <v>9.11848238193143</v>
      </c>
      <c r="E26" s="18" t="n">
        <f aca="false">IFERROR(E23/SUMIF(Engine_Monthly!$D$7:$BK$7,E$4,Engine_Monthly!$D$42:$BK$42),0)</f>
        <v>7.95057006070229</v>
      </c>
      <c r="F26" s="18" t="n">
        <f aca="false">IFERROR(F23/SUMIF(Engine_Monthly!$D$7:$BK$7,F$4,Engine_Monthly!$D$42:$BK$42),0)</f>
        <v>7.68718905904012</v>
      </c>
      <c r="G26" s="18" t="n">
        <f aca="false">IFERROR(G23/SUMIF(Engine_Monthly!$D$7:$BK$7,G$4,Engine_Monthly!$D$42:$BK$42),0)</f>
        <v>7.76079115014086</v>
      </c>
      <c r="H26" s="4" t="s">
        <v>700</v>
      </c>
    </row>
    <row r="27" customFormat="false" ht="15" hidden="false" customHeight="true" outlineLevel="0" collapsed="false">
      <c r="A27" s="12" t="s">
        <v>701</v>
      </c>
      <c r="B27" s="4" t="s">
        <v>44</v>
      </c>
      <c r="C27" s="18" t="n">
        <f aca="false">IFERROR(SUMIF(Engine_Monthly!$D$7:$BK$7,C$4,Engine_Monthly!$D$61:$BK$61)/SUMIF(Engine_Monthly!$D$7:$BK$7,C$4,Engine_Monthly!$D$42:$BK$42),0)</f>
        <v>6.15</v>
      </c>
      <c r="D27" s="18" t="n">
        <f aca="false">IFERROR(SUMIF(Engine_Monthly!$D$7:$BK$7,D$4,Engine_Monthly!$D$61:$BK$61)/SUMIF(Engine_Monthly!$D$7:$BK$7,D$4,Engine_Monthly!$D$42:$BK$42),0)</f>
        <v>6.4575</v>
      </c>
      <c r="E27" s="18" t="n">
        <f aca="false">IFERROR(SUMIF(Engine_Monthly!$D$7:$BK$7,E$4,Engine_Monthly!$D$61:$BK$61)/SUMIF(Engine_Monthly!$D$7:$BK$7,E$4,Engine_Monthly!$D$42:$BK$42),0)</f>
        <v>6.780375</v>
      </c>
      <c r="F27" s="18" t="n">
        <f aca="false">IFERROR(SUMIF(Engine_Monthly!$D$7:$BK$7,F$4,Engine_Monthly!$D$61:$BK$61)/SUMIF(Engine_Monthly!$D$7:$BK$7,F$4,Engine_Monthly!$D$42:$BK$42),0)</f>
        <v>7.11939375</v>
      </c>
      <c r="G27" s="18" t="n">
        <f aca="false">IFERROR(SUMIF(Engine_Monthly!$D$7:$BK$7,G$4,Engine_Monthly!$D$61:$BK$61)/SUMIF(Engine_Monthly!$D$7:$BK$7,G$4,Engine_Monthly!$D$42:$BK$42),0)</f>
        <v>7.4753634375</v>
      </c>
    </row>
    <row r="29" customFormat="false" ht="15" hidden="false" customHeight="true" outlineLevel="0" collapsed="false">
      <c r="A29" s="10" t="s">
        <v>702</v>
      </c>
      <c r="B29" s="11"/>
      <c r="C29" s="11"/>
      <c r="D29" s="11"/>
      <c r="E29" s="11"/>
      <c r="F29" s="11"/>
      <c r="G29" s="11"/>
      <c r="H29" s="11"/>
    </row>
    <row r="30" customFormat="false" ht="15" hidden="false" customHeight="true" outlineLevel="0" collapsed="false">
      <c r="A30" s="12" t="s">
        <v>703</v>
      </c>
      <c r="B30" s="4" t="s">
        <v>44</v>
      </c>
      <c r="C30" s="16" t="n">
        <f aca="false">SUMIF(Engine_Monthly!$D$7:$BK$7,C$4,Engine_Monthly!$D$63:$BK$63)</f>
        <v>2.0645625</v>
      </c>
      <c r="D30" s="16" t="n">
        <f aca="false">SUMIF(Engine_Monthly!$D$7:$BK$7,D$4,Engine_Monthly!$D$63:$BK$63)</f>
        <v>32.801216756</v>
      </c>
      <c r="E30" s="16" t="n">
        <f aca="false">SUMIF(Engine_Monthly!$D$7:$BK$7,E$4,Engine_Monthly!$D$63:$BK$63)</f>
        <v>121.92077128</v>
      </c>
      <c r="F30" s="16" t="n">
        <f aca="false">SUMIF(Engine_Monthly!$D$7:$BK$7,F$4,Engine_Monthly!$D$63:$BK$63)</f>
        <v>266.161134316</v>
      </c>
      <c r="G30" s="16" t="n">
        <f aca="false">SUMIF(Engine_Monthly!$D$7:$BK$7,G$4,Engine_Monthly!$D$63:$BK$63)</f>
        <v>430.570684852</v>
      </c>
    </row>
    <row r="31" customFormat="false" ht="15" hidden="false" customHeight="true" outlineLevel="0" collapsed="false">
      <c r="A31" s="12" t="s">
        <v>704</v>
      </c>
      <c r="B31" s="4" t="s">
        <v>44</v>
      </c>
      <c r="C31" s="16" t="n">
        <f aca="false">SUMIF(Engine_Monthly!$D$7:$BK$7,C$4,Engine_Monthly!$D$84:$BK$84)</f>
        <v>1.876875</v>
      </c>
      <c r="D31" s="16" t="n">
        <f aca="false">SUMIF(Engine_Monthly!$D$7:$BK$7,D$4,Engine_Monthly!$D$84:$BK$84)</f>
        <v>29.81928796</v>
      </c>
      <c r="E31" s="16" t="n">
        <f aca="false">SUMIF(Engine_Monthly!$D$7:$BK$7,E$4,Engine_Monthly!$D$84:$BK$84)</f>
        <v>110.8370648</v>
      </c>
      <c r="F31" s="16" t="n">
        <f aca="false">SUMIF(Engine_Monthly!$D$7:$BK$7,F$4,Engine_Monthly!$D$84:$BK$84)</f>
        <v>241.96466756</v>
      </c>
      <c r="G31" s="16" t="n">
        <f aca="false">SUMIF(Engine_Monthly!$D$7:$BK$7,G$4,Engine_Monthly!$D$84:$BK$84)</f>
        <v>391.42789532</v>
      </c>
    </row>
    <row r="32" customFormat="false" ht="15" hidden="false" customHeight="true" outlineLevel="0" collapsed="false">
      <c r="A32" s="12" t="s">
        <v>705</v>
      </c>
      <c r="B32" s="4" t="s">
        <v>46</v>
      </c>
      <c r="C32" s="17" t="n">
        <f aca="false">IFERROR(1-C31/C30,0)</f>
        <v>0.0909090909090909</v>
      </c>
      <c r="D32" s="17" t="n">
        <f aca="false">IFERROR(1-D31/D30,0)</f>
        <v>0.0909090909090909</v>
      </c>
      <c r="E32" s="17" t="n">
        <f aca="false">IFERROR(1-E31/E30,0)</f>
        <v>0.0909090909090909</v>
      </c>
      <c r="F32" s="17" t="n">
        <f aca="false">IFERROR(1-F31/F30,0)</f>
        <v>0.0909090909090909</v>
      </c>
      <c r="G32" s="17" t="n">
        <f aca="false">IFERROR(1-G31/G30,0)</f>
        <v>0.0909090909090911</v>
      </c>
    </row>
    <row r="34" customFormat="false" ht="15" hidden="false" customHeight="true" outlineLevel="0" collapsed="false">
      <c r="A34" s="10" t="s">
        <v>706</v>
      </c>
      <c r="B34" s="11"/>
      <c r="C34" s="11"/>
      <c r="D34" s="11"/>
      <c r="E34" s="11"/>
      <c r="F34" s="11"/>
      <c r="G34" s="11"/>
      <c r="H34" s="11"/>
    </row>
    <row r="35" customFormat="false" ht="15" hidden="false" customHeight="true" outlineLevel="0" collapsed="false">
      <c r="A35" s="12" t="s">
        <v>667</v>
      </c>
      <c r="B35" s="4" t="s">
        <v>44</v>
      </c>
      <c r="C35" s="16" t="n">
        <f aca="false">7_Financials!C11</f>
        <v>28.6376248328144</v>
      </c>
      <c r="D35" s="16" t="n">
        <f aca="false">7_Financials!D11</f>
        <v>478.845035099508</v>
      </c>
      <c r="E35" s="16" t="n">
        <f aca="false">7_Financials!E11</f>
        <v>2411.14780337274</v>
      </c>
      <c r="F35" s="16" t="n">
        <f aca="false">7_Financials!F11</f>
        <v>7026.31622245338</v>
      </c>
      <c r="G35" s="16" t="n">
        <f aca="false">7_Financials!G11</f>
        <v>15092.9719681828</v>
      </c>
    </row>
    <row r="36" customFormat="false" ht="15" hidden="false" customHeight="true" outlineLevel="0" collapsed="false">
      <c r="A36" s="5" t="s">
        <v>707</v>
      </c>
      <c r="B36" s="4" t="s">
        <v>44</v>
      </c>
      <c r="C36" s="52" t="n">
        <f aca="false">C15+C23+C31</f>
        <v>45.1319523979446</v>
      </c>
      <c r="D36" s="52" t="n">
        <f aca="false">D15+D23+D31</f>
        <v>261.699664754561</v>
      </c>
      <c r="E36" s="52" t="n">
        <f aca="false">E15+E23+E31</f>
        <v>830.896013722867</v>
      </c>
      <c r="F36" s="52" t="n">
        <f aca="false">F15+F23+F31</f>
        <v>1822.59325825297</v>
      </c>
      <c r="G36" s="52" t="n">
        <f aca="false">G15+G23+G31</f>
        <v>3115.74665238484</v>
      </c>
    </row>
    <row r="37" customFormat="false" ht="15" hidden="false" customHeight="true" outlineLevel="0" collapsed="false">
      <c r="A37" s="5" t="s">
        <v>708</v>
      </c>
      <c r="B37" s="4" t="s">
        <v>46</v>
      </c>
      <c r="C37" s="55" t="n">
        <f aca="false">IFERROR(1-C36/C35,0)</f>
        <v>-0.575967024549824</v>
      </c>
      <c r="D37" s="55" t="n">
        <f aca="false">IFERROR(1-D36/D35,0)</f>
        <v>0.453477334895667</v>
      </c>
      <c r="E37" s="55" t="n">
        <f aca="false">IFERROR(1-E36/E35,0)</f>
        <v>0.655393994279156</v>
      </c>
      <c r="F37" s="55" t="n">
        <f aca="false">IFERROR(1-F36/F35,0)</f>
        <v>0.740604720802536</v>
      </c>
      <c r="G37" s="55" t="n">
        <f aca="false">IFERROR(1-G36/G35,0)</f>
        <v>0.793563079627187</v>
      </c>
    </row>
    <row r="38" customFormat="false" ht="15" hidden="false" customHeight="true" outlineLevel="0" collapsed="false">
      <c r="A38" s="12" t="s">
        <v>709</v>
      </c>
      <c r="B38" s="4" t="s">
        <v>44</v>
      </c>
      <c r="C38" s="18" t="n">
        <f aca="false">ROUND(C36+7_Financials!C13,3)</f>
        <v>0</v>
      </c>
      <c r="D38" s="18" t="n">
        <f aca="false">ROUND(D36+7_Financials!D13,3)</f>
        <v>0</v>
      </c>
      <c r="E38" s="18" t="n">
        <f aca="false">ROUND(E36+7_Financials!E13,3)</f>
        <v>0</v>
      </c>
      <c r="F38" s="18" t="n">
        <f aca="false">ROUND(F36+7_Financials!F13,3)</f>
        <v>0</v>
      </c>
      <c r="G38" s="18" t="n">
        <f aca="false">ROUND(G36+7_Financials!G13,3)</f>
        <v>0</v>
      </c>
    </row>
    <row r="39" customFormat="false" ht="15" hidden="false" customHeight="true" outlineLevel="0" collapsed="false">
      <c r="A39" s="12" t="s">
        <v>710</v>
      </c>
      <c r="B39" s="4" t="s">
        <v>46</v>
      </c>
      <c r="C39" s="17" t="n">
        <f aca="false">0.75</f>
        <v>0.75</v>
      </c>
      <c r="D39" s="17" t="n">
        <f aca="false">0.75</f>
        <v>0.75</v>
      </c>
      <c r="E39" s="17" t="n">
        <f aca="false">0.75</f>
        <v>0.75</v>
      </c>
      <c r="F39" s="17" t="n">
        <f aca="false">0.75</f>
        <v>0.75</v>
      </c>
      <c r="G39" s="17" t="n">
        <f aca="false">0.75</f>
        <v>0.75</v>
      </c>
      <c r="H39" s="4" t="s">
        <v>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H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7" min="3" style="1" width="12"/>
    <col collapsed="false" customWidth="true" hidden="false" outlineLevel="0" max="8" min="8" style="1" width="50"/>
  </cols>
  <sheetData>
    <row r="1" customFormat="false" ht="17.25" hidden="false" customHeight="true" outlineLevel="0" collapsed="false">
      <c r="A1" s="2" t="s">
        <v>712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713</v>
      </c>
    </row>
    <row r="3" customFormat="false" ht="15" hidden="false" customHeight="true" outlineLevel="0" collapsed="false">
      <c r="A3" s="15" t="s">
        <v>44</v>
      </c>
      <c r="B3" s="15" t="s">
        <v>42</v>
      </c>
      <c r="C3" s="15" t="str">
        <f aca="false">INDEX(Engine_Monthly!$D$10:$BK$10,1,12)</f>
        <v>FY27</v>
      </c>
      <c r="D3" s="15" t="str">
        <f aca="false">INDEX(Engine_Monthly!$D$10:$BK$10,1,24)</f>
        <v>FY28</v>
      </c>
      <c r="E3" s="15" t="str">
        <f aca="false">INDEX(Engine_Monthly!$D$10:$BK$10,1,36)</f>
        <v>FY29</v>
      </c>
      <c r="F3" s="15" t="str">
        <f aca="false">INDEX(Engine_Monthly!$D$10:$BK$10,1,48)</f>
        <v>FY30</v>
      </c>
      <c r="G3" s="15" t="str">
        <f aca="false">INDEX(Engine_Monthly!$D$10:$BK$10,1,60)</f>
        <v>FY31</v>
      </c>
    </row>
    <row r="4" customFormat="false" ht="15" hidden="false" customHeight="true" outlineLevel="0" collapsed="false">
      <c r="A4" s="4" t="s">
        <v>635</v>
      </c>
      <c r="C4" s="53" t="n">
        <v>1</v>
      </c>
      <c r="D4" s="53" t="n">
        <v>2</v>
      </c>
      <c r="E4" s="53" t="n">
        <v>3</v>
      </c>
      <c r="F4" s="53" t="n">
        <v>4</v>
      </c>
      <c r="G4" s="53" t="n">
        <v>5</v>
      </c>
    </row>
    <row r="6" customFormat="false" ht="15" hidden="false" customHeight="true" outlineLevel="0" collapsed="false">
      <c r="A6" s="10" t="s">
        <v>714</v>
      </c>
      <c r="B6" s="11"/>
      <c r="C6" s="11"/>
      <c r="D6" s="11"/>
      <c r="E6" s="11"/>
      <c r="F6" s="11"/>
      <c r="G6" s="11"/>
      <c r="H6" s="11"/>
    </row>
    <row r="7" customFormat="false" ht="15" hidden="false" customHeight="true" outlineLevel="0" collapsed="false">
      <c r="A7" s="12" t="s">
        <v>315</v>
      </c>
      <c r="B7" s="4" t="s">
        <v>316</v>
      </c>
      <c r="C7" s="20" t="n">
        <f aca="false">INDEX(Engine_Monthly!$D$89:$BK$89,1,C$4*12)</f>
        <v>1</v>
      </c>
      <c r="D7" s="20" t="n">
        <f aca="false">INDEX(Engine_Monthly!$D$89:$BK$89,1,D$4*12)</f>
        <v>1</v>
      </c>
      <c r="E7" s="20" t="n">
        <f aca="false">INDEX(Engine_Monthly!$D$89:$BK$89,1,E$4*12)</f>
        <v>1</v>
      </c>
      <c r="F7" s="20" t="n">
        <f aca="false">INDEX(Engine_Monthly!$D$89:$BK$89,1,F$4*12)</f>
        <v>1</v>
      </c>
      <c r="G7" s="20" t="n">
        <f aca="false">INDEX(Engine_Monthly!$D$89:$BK$89,1,G$4*12)</f>
        <v>1</v>
      </c>
    </row>
    <row r="8" customFormat="false" ht="15" hidden="false" customHeight="true" outlineLevel="0" collapsed="false">
      <c r="A8" s="12" t="s">
        <v>317</v>
      </c>
      <c r="B8" s="4" t="s">
        <v>318</v>
      </c>
      <c r="C8" s="20" t="n">
        <f aca="false">INDEX(Engine_Monthly!$D$90:$BK$90,1,C$4*12)</f>
        <v>1</v>
      </c>
      <c r="D8" s="20" t="n">
        <f aca="false">INDEX(Engine_Monthly!$D$90:$BK$90,1,D$4*12)</f>
        <v>1</v>
      </c>
      <c r="E8" s="20" t="n">
        <f aca="false">INDEX(Engine_Monthly!$D$90:$BK$90,1,E$4*12)</f>
        <v>1</v>
      </c>
      <c r="F8" s="20" t="n">
        <f aca="false">INDEX(Engine_Monthly!$D$90:$BK$90,1,F$4*12)</f>
        <v>1</v>
      </c>
      <c r="G8" s="20" t="n">
        <f aca="false">INDEX(Engine_Monthly!$D$90:$BK$90,1,G$4*12)</f>
        <v>1</v>
      </c>
    </row>
    <row r="9" customFormat="false" ht="15" hidden="false" customHeight="true" outlineLevel="0" collapsed="false">
      <c r="A9" s="12" t="s">
        <v>319</v>
      </c>
      <c r="B9" s="4" t="s">
        <v>309</v>
      </c>
      <c r="C9" s="20" t="n">
        <f aca="false">INDEX(Engine_Monthly!$D$91:$BK$91,1,C$4*12)</f>
        <v>1</v>
      </c>
      <c r="D9" s="20" t="n">
        <f aca="false">INDEX(Engine_Monthly!$D$91:$BK$91,1,D$4*12)</f>
        <v>1</v>
      </c>
      <c r="E9" s="20" t="n">
        <f aca="false">INDEX(Engine_Monthly!$D$91:$BK$91,1,E$4*12)</f>
        <v>1</v>
      </c>
      <c r="F9" s="20" t="n">
        <f aca="false">INDEX(Engine_Monthly!$D$91:$BK$91,1,F$4*12)</f>
        <v>1</v>
      </c>
      <c r="G9" s="20" t="n">
        <f aca="false">INDEX(Engine_Monthly!$D$91:$BK$91,1,G$4*12)</f>
        <v>1</v>
      </c>
    </row>
    <row r="10" customFormat="false" ht="15" hidden="false" customHeight="true" outlineLevel="0" collapsed="false">
      <c r="A10" s="12" t="s">
        <v>320</v>
      </c>
      <c r="B10" s="4" t="s">
        <v>318</v>
      </c>
      <c r="C10" s="20" t="n">
        <f aca="false">INDEX(Engine_Monthly!$D$92:$BK$92,1,C$4*12)</f>
        <v>1</v>
      </c>
      <c r="D10" s="20" t="n">
        <f aca="false">INDEX(Engine_Monthly!$D$92:$BK$92,1,D$4*12)</f>
        <v>2</v>
      </c>
      <c r="E10" s="20" t="n">
        <f aca="false">INDEX(Engine_Monthly!$D$92:$BK$92,1,E$4*12)</f>
        <v>3</v>
      </c>
      <c r="F10" s="20" t="n">
        <f aca="false">INDEX(Engine_Monthly!$D$92:$BK$92,1,F$4*12)</f>
        <v>4</v>
      </c>
      <c r="G10" s="20" t="n">
        <f aca="false">INDEX(Engine_Monthly!$D$92:$BK$92,1,G$4*12)</f>
        <v>5</v>
      </c>
    </row>
    <row r="11" customFormat="false" ht="15" hidden="false" customHeight="true" outlineLevel="0" collapsed="false">
      <c r="A11" s="12" t="s">
        <v>321</v>
      </c>
      <c r="B11" s="4" t="s">
        <v>318</v>
      </c>
      <c r="C11" s="20" t="n">
        <f aca="false">INDEX(Engine_Monthly!$D$93:$BK$93,1,C$4*12)</f>
        <v>1</v>
      </c>
      <c r="D11" s="20" t="n">
        <f aca="false">INDEX(Engine_Monthly!$D$93:$BK$93,1,D$4*12)</f>
        <v>2</v>
      </c>
      <c r="E11" s="20" t="n">
        <f aca="false">INDEX(Engine_Monthly!$D$93:$BK$93,1,E$4*12)</f>
        <v>3</v>
      </c>
      <c r="F11" s="20" t="n">
        <f aca="false">INDEX(Engine_Monthly!$D$93:$BK$93,1,F$4*12)</f>
        <v>4</v>
      </c>
      <c r="G11" s="20" t="n">
        <f aca="false">INDEX(Engine_Monthly!$D$93:$BK$93,1,G$4*12)</f>
        <v>5</v>
      </c>
    </row>
    <row r="12" customFormat="false" ht="15" hidden="false" customHeight="true" outlineLevel="0" collapsed="false">
      <c r="A12" s="12" t="s">
        <v>322</v>
      </c>
      <c r="B12" s="4" t="s">
        <v>318</v>
      </c>
      <c r="C12" s="20" t="n">
        <f aca="false">INDEX(Engine_Monthly!$D$94:$BK$94,1,C$4*12)</f>
        <v>0</v>
      </c>
      <c r="D12" s="20" t="n">
        <f aca="false">INDEX(Engine_Monthly!$D$94:$BK$94,1,D$4*12)</f>
        <v>1</v>
      </c>
      <c r="E12" s="20" t="n">
        <f aca="false">INDEX(Engine_Monthly!$D$94:$BK$94,1,E$4*12)</f>
        <v>1</v>
      </c>
      <c r="F12" s="20" t="n">
        <f aca="false">INDEX(Engine_Monthly!$D$94:$BK$94,1,F$4*12)</f>
        <v>2</v>
      </c>
      <c r="G12" s="20" t="n">
        <f aca="false">INDEX(Engine_Monthly!$D$94:$BK$94,1,G$4*12)</f>
        <v>2</v>
      </c>
    </row>
    <row r="13" customFormat="false" ht="15" hidden="false" customHeight="true" outlineLevel="0" collapsed="false">
      <c r="A13" s="12" t="s">
        <v>715</v>
      </c>
      <c r="B13" s="4" t="s">
        <v>318</v>
      </c>
      <c r="C13" s="20" t="n">
        <f aca="false">INDEX(Engine_Monthly!$D$95:$BK$95,1,C$4*12)</f>
        <v>1</v>
      </c>
      <c r="D13" s="20" t="n">
        <f aca="false">INDEX(Engine_Monthly!$D$95:$BK$95,1,D$4*12)</f>
        <v>1</v>
      </c>
      <c r="E13" s="20" t="n">
        <f aca="false">INDEX(Engine_Monthly!$D$95:$BK$95,1,E$4*12)</f>
        <v>2</v>
      </c>
      <c r="F13" s="20" t="n">
        <f aca="false">INDEX(Engine_Monthly!$D$95:$BK$95,1,F$4*12)</f>
        <v>2</v>
      </c>
      <c r="G13" s="20" t="n">
        <f aca="false">INDEX(Engine_Monthly!$D$95:$BK$95,1,G$4*12)</f>
        <v>3</v>
      </c>
    </row>
    <row r="14" customFormat="false" ht="15" hidden="false" customHeight="true" outlineLevel="0" collapsed="false">
      <c r="A14" s="12" t="s">
        <v>325</v>
      </c>
      <c r="B14" s="4" t="s">
        <v>318</v>
      </c>
      <c r="C14" s="20" t="n">
        <f aca="false">INDEX(Engine_Monthly!$D$96:$BK$96,1,C$4*12)</f>
        <v>0</v>
      </c>
      <c r="D14" s="20" t="n">
        <f aca="false">INDEX(Engine_Monthly!$D$96:$BK$96,1,D$4*12)</f>
        <v>1</v>
      </c>
      <c r="E14" s="20" t="n">
        <f aca="false">INDEX(Engine_Monthly!$D$96:$BK$96,1,E$4*12)</f>
        <v>1</v>
      </c>
      <c r="F14" s="20" t="n">
        <f aca="false">INDEX(Engine_Monthly!$D$96:$BK$96,1,F$4*12)</f>
        <v>1</v>
      </c>
      <c r="G14" s="20" t="n">
        <f aca="false">INDEX(Engine_Monthly!$D$96:$BK$96,1,G$4*12)</f>
        <v>2</v>
      </c>
    </row>
    <row r="15" customFormat="false" ht="15" hidden="false" customHeight="true" outlineLevel="0" collapsed="false">
      <c r="A15" s="12" t="s">
        <v>716</v>
      </c>
      <c r="B15" s="4" t="s">
        <v>309</v>
      </c>
      <c r="C15" s="20" t="n">
        <f aca="false">INDEX(Engine_Monthly!$D$97:$BK$97,1,C$4*12)</f>
        <v>1</v>
      </c>
      <c r="D15" s="20" t="n">
        <f aca="false">INDEX(Engine_Monthly!$D$97:$BK$97,1,D$4*12)</f>
        <v>4</v>
      </c>
      <c r="E15" s="20" t="n">
        <f aca="false">INDEX(Engine_Monthly!$D$97:$BK$97,1,E$4*12)</f>
        <v>10</v>
      </c>
      <c r="F15" s="20" t="n">
        <f aca="false">INDEX(Engine_Monthly!$D$97:$BK$97,1,F$4*12)</f>
        <v>18</v>
      </c>
      <c r="G15" s="20" t="n">
        <f aca="false">INDEX(Engine_Monthly!$D$97:$BK$97,1,G$4*12)</f>
        <v>25</v>
      </c>
    </row>
    <row r="16" customFormat="false" ht="15" hidden="false" customHeight="true" outlineLevel="0" collapsed="false">
      <c r="A16" s="12" t="s">
        <v>717</v>
      </c>
      <c r="B16" s="4" t="s">
        <v>309</v>
      </c>
      <c r="C16" s="20" t="n">
        <f aca="false">INDEX(Engine_Monthly!$D$98:$BK$98,1,C$4*12)</f>
        <v>1</v>
      </c>
      <c r="D16" s="20" t="n">
        <f aca="false">INDEX(Engine_Monthly!$D$98:$BK$98,1,D$4*12)</f>
        <v>2</v>
      </c>
      <c r="E16" s="20" t="n">
        <f aca="false">INDEX(Engine_Monthly!$D$98:$BK$98,1,E$4*12)</f>
        <v>4</v>
      </c>
      <c r="F16" s="20" t="n">
        <f aca="false">INDEX(Engine_Monthly!$D$98:$BK$98,1,F$4*12)</f>
        <v>6</v>
      </c>
      <c r="G16" s="20" t="n">
        <f aca="false">INDEX(Engine_Monthly!$D$98:$BK$98,1,G$4*12)</f>
        <v>9</v>
      </c>
    </row>
    <row r="17" customFormat="false" ht="15" hidden="false" customHeight="true" outlineLevel="0" collapsed="false">
      <c r="A17" s="12" t="s">
        <v>327</v>
      </c>
      <c r="B17" s="4" t="s">
        <v>309</v>
      </c>
      <c r="C17" s="20" t="n">
        <f aca="false">INDEX(Engine_Monthly!$D$99:$BK$99,1,C$4*12)</f>
        <v>0</v>
      </c>
      <c r="D17" s="20" t="n">
        <f aca="false">INDEX(Engine_Monthly!$D$99:$BK$99,1,D$4*12)</f>
        <v>0</v>
      </c>
      <c r="E17" s="20" t="n">
        <f aca="false">INDEX(Engine_Monthly!$D$99:$BK$99,1,E$4*12)</f>
        <v>1</v>
      </c>
      <c r="F17" s="20" t="n">
        <f aca="false">INDEX(Engine_Monthly!$D$99:$BK$99,1,F$4*12)</f>
        <v>1</v>
      </c>
      <c r="G17" s="20" t="n">
        <f aca="false">INDEX(Engine_Monthly!$D$99:$BK$99,1,G$4*12)</f>
        <v>2</v>
      </c>
    </row>
    <row r="18" customFormat="false" ht="15" hidden="false" customHeight="true" outlineLevel="0" collapsed="false">
      <c r="A18" s="12" t="s">
        <v>329</v>
      </c>
      <c r="B18" s="4" t="s">
        <v>309</v>
      </c>
      <c r="C18" s="20" t="n">
        <f aca="false">INDEX(Engine_Monthly!$D$100:$BK$100,1,C$4*12)</f>
        <v>0</v>
      </c>
      <c r="D18" s="20" t="n">
        <f aca="false">INDEX(Engine_Monthly!$D$100:$BK$100,1,D$4*12)</f>
        <v>0</v>
      </c>
      <c r="E18" s="20" t="n">
        <f aca="false">INDEX(Engine_Monthly!$D$100:$BK$100,1,E$4*12)</f>
        <v>0</v>
      </c>
      <c r="F18" s="20" t="n">
        <f aca="false">INDEX(Engine_Monthly!$D$100:$BK$100,1,F$4*12)</f>
        <v>1</v>
      </c>
      <c r="G18" s="20" t="n">
        <f aca="false">INDEX(Engine_Monthly!$D$100:$BK$100,1,G$4*12)</f>
        <v>1</v>
      </c>
    </row>
    <row r="19" customFormat="false" ht="15" hidden="false" customHeight="true" outlineLevel="0" collapsed="false">
      <c r="A19" s="12" t="s">
        <v>227</v>
      </c>
      <c r="B19" s="4" t="s">
        <v>316</v>
      </c>
      <c r="C19" s="20" t="n">
        <f aca="false">INDEX(Engine_Monthly!$D$101:$BK$101,1,C$4*12)</f>
        <v>0</v>
      </c>
      <c r="D19" s="20" t="n">
        <f aca="false">INDEX(Engine_Monthly!$D$101:$BK$101,1,D$4*12)</f>
        <v>1</v>
      </c>
      <c r="E19" s="20" t="n">
        <f aca="false">INDEX(Engine_Monthly!$D$101:$BK$101,1,E$4*12)</f>
        <v>1</v>
      </c>
      <c r="F19" s="20" t="n">
        <f aca="false">INDEX(Engine_Monthly!$D$101:$BK$101,1,F$4*12)</f>
        <v>2</v>
      </c>
      <c r="G19" s="20" t="n">
        <f aca="false">INDEX(Engine_Monthly!$D$101:$BK$101,1,G$4*12)</f>
        <v>2</v>
      </c>
    </row>
    <row r="20" customFormat="false" ht="15" hidden="false" customHeight="true" outlineLevel="0" collapsed="false">
      <c r="A20" s="12" t="s">
        <v>718</v>
      </c>
      <c r="B20" s="4" t="s">
        <v>316</v>
      </c>
      <c r="C20" s="20" t="n">
        <f aca="false">INDEX(Engine_Monthly!$D$102:$BK$102,1,C$4*12)</f>
        <v>0</v>
      </c>
      <c r="D20" s="20" t="n">
        <f aca="false">INDEX(Engine_Monthly!$D$102:$BK$102,1,D$4*12)</f>
        <v>0</v>
      </c>
      <c r="E20" s="20" t="n">
        <f aca="false">INDEX(Engine_Monthly!$D$102:$BK$102,1,E$4*12)</f>
        <v>1</v>
      </c>
      <c r="F20" s="20" t="n">
        <f aca="false">INDEX(Engine_Monthly!$D$102:$BK$102,1,F$4*12)</f>
        <v>1</v>
      </c>
      <c r="G20" s="20" t="n">
        <f aca="false">INDEX(Engine_Monthly!$D$102:$BK$102,1,G$4*12)</f>
        <v>1</v>
      </c>
    </row>
    <row r="21" customFormat="false" ht="15" hidden="false" customHeight="true" outlineLevel="0" collapsed="false">
      <c r="A21" s="12" t="s">
        <v>719</v>
      </c>
      <c r="B21" s="4" t="s">
        <v>720</v>
      </c>
      <c r="C21" s="20" t="n">
        <f aca="false">INDEX(Engine_Monthly!$D$38:$BK$38,1,C$4*12)</f>
        <v>1</v>
      </c>
      <c r="D21" s="20" t="n">
        <f aca="false">INDEX(Engine_Monthly!$D$38:$BK$38,1,D$4*12)</f>
        <v>6</v>
      </c>
      <c r="E21" s="20" t="n">
        <f aca="false">INDEX(Engine_Monthly!$D$38:$BK$38,1,E$4*12)</f>
        <v>16</v>
      </c>
      <c r="F21" s="20" t="n">
        <f aca="false">INDEX(Engine_Monthly!$D$38:$BK$38,1,F$4*12)</f>
        <v>27</v>
      </c>
      <c r="G21" s="20" t="n">
        <f aca="false">INDEX(Engine_Monthly!$D$38:$BK$38,1,G$4*12)</f>
        <v>37</v>
      </c>
      <c r="H21" s="4" t="s">
        <v>721</v>
      </c>
    </row>
    <row r="22" customFormat="false" ht="15" hidden="false" customHeight="true" outlineLevel="0" collapsed="false">
      <c r="A22" s="12" t="s">
        <v>722</v>
      </c>
      <c r="B22" s="4" t="s">
        <v>720</v>
      </c>
      <c r="C22" s="20" t="n">
        <f aca="false">INDEX(Engine_Monthly!$D$76:$BK$76,1,C$4*12)</f>
        <v>1</v>
      </c>
      <c r="D22" s="20" t="n">
        <f aca="false">INDEX(Engine_Monthly!$D$76:$BK$76,1,D$4*12)</f>
        <v>1</v>
      </c>
      <c r="E22" s="20" t="n">
        <f aca="false">INDEX(Engine_Monthly!$D$76:$BK$76,1,E$4*12)</f>
        <v>4</v>
      </c>
      <c r="F22" s="20" t="n">
        <f aca="false">INDEX(Engine_Monthly!$D$76:$BK$76,1,F$4*12)</f>
        <v>9</v>
      </c>
      <c r="G22" s="20" t="n">
        <f aca="false">INDEX(Engine_Monthly!$D$76:$BK$76,1,G$4*12)</f>
        <v>17</v>
      </c>
    </row>
    <row r="23" customFormat="false" ht="15" hidden="false" customHeight="true" outlineLevel="0" collapsed="false">
      <c r="A23" s="12" t="s">
        <v>723</v>
      </c>
      <c r="B23" s="4" t="s">
        <v>720</v>
      </c>
      <c r="C23" s="20" t="n">
        <f aca="false">INDEX(Engine_Monthly!$D$77:$BK$77,1,C$4*12)</f>
        <v>1</v>
      </c>
      <c r="D23" s="20" t="n">
        <f aca="false">INDEX(Engine_Monthly!$D$77:$BK$77,1,D$4*12)</f>
        <v>1</v>
      </c>
      <c r="E23" s="20" t="n">
        <f aca="false">INDEX(Engine_Monthly!$D$77:$BK$77,1,E$4*12)</f>
        <v>3</v>
      </c>
      <c r="F23" s="20" t="n">
        <f aca="false">INDEX(Engine_Monthly!$D$77:$BK$77,1,F$4*12)</f>
        <v>7</v>
      </c>
      <c r="G23" s="20" t="n">
        <f aca="false">INDEX(Engine_Monthly!$D$77:$BK$77,1,G$4*12)</f>
        <v>14</v>
      </c>
    </row>
    <row r="24" customFormat="false" ht="15" hidden="false" customHeight="true" outlineLevel="0" collapsed="false">
      <c r="A24" s="5" t="s">
        <v>724</v>
      </c>
      <c r="B24" s="4" t="s">
        <v>725</v>
      </c>
      <c r="C24" s="56" t="n">
        <f aca="false">INDEX(Engine_Monthly!$D$104:$BK$104,1,C$4*12)</f>
        <v>11</v>
      </c>
      <c r="D24" s="56" t="n">
        <f aca="false">INDEX(Engine_Monthly!$D$104:$BK$104,1,D$4*12)</f>
        <v>25</v>
      </c>
      <c r="E24" s="56" t="n">
        <f aca="false">INDEX(Engine_Monthly!$D$104:$BK$104,1,E$4*12)</f>
        <v>53</v>
      </c>
      <c r="F24" s="56" t="n">
        <f aca="false">INDEX(Engine_Monthly!$D$104:$BK$104,1,F$4*12)</f>
        <v>88</v>
      </c>
      <c r="G24" s="56" t="n">
        <f aca="false">INDEX(Engine_Monthly!$D$104:$BK$104,1,G$4*12)</f>
        <v>128</v>
      </c>
    </row>
    <row r="25" customFormat="false" ht="15" hidden="false" customHeight="true" outlineLevel="0" collapsed="false">
      <c r="A25" s="12" t="s">
        <v>726</v>
      </c>
      <c r="B25" s="4" t="s">
        <v>725</v>
      </c>
      <c r="C25" s="20" t="n">
        <f aca="false">SUMIF(Engine_Monthly!$D$7:$BK$7,C$4,Engine_Monthly!$D$105:$BK$105)</f>
        <v>11</v>
      </c>
      <c r="D25" s="20" t="n">
        <f aca="false">SUMIF(Engine_Monthly!$D$7:$BK$7,D$4,Engine_Monthly!$D$105:$BK$105)</f>
        <v>14</v>
      </c>
      <c r="E25" s="20" t="n">
        <f aca="false">SUMIF(Engine_Monthly!$D$7:$BK$7,E$4,Engine_Monthly!$D$105:$BK$105)</f>
        <v>28</v>
      </c>
      <c r="F25" s="20" t="n">
        <f aca="false">SUMIF(Engine_Monthly!$D$7:$BK$7,F$4,Engine_Monthly!$D$105:$BK$105)</f>
        <v>35</v>
      </c>
      <c r="G25" s="20" t="n">
        <f aca="false">SUMIF(Engine_Monthly!$D$7:$BK$7,G$4,Engine_Monthly!$D$105:$BK$105)</f>
        <v>40</v>
      </c>
    </row>
    <row r="27" customFormat="false" ht="15" hidden="false" customHeight="true" outlineLevel="0" collapsed="false">
      <c r="A27" s="10" t="s">
        <v>727</v>
      </c>
      <c r="B27" s="11"/>
      <c r="C27" s="11"/>
      <c r="D27" s="11"/>
      <c r="E27" s="11"/>
      <c r="F27" s="11"/>
      <c r="G27" s="11"/>
      <c r="H27" s="11"/>
    </row>
    <row r="28" customFormat="false" ht="15" hidden="false" customHeight="true" outlineLevel="0" collapsed="false">
      <c r="A28" s="12" t="s">
        <v>315</v>
      </c>
      <c r="B28" s="4" t="s">
        <v>44</v>
      </c>
      <c r="C28" s="18" t="n">
        <f aca="false">Inputs!$C$68*(1+Inputs!$C$12)^(C$4-1)</f>
        <v>12</v>
      </c>
      <c r="D28" s="18" t="n">
        <f aca="false">Inputs!$C$68*(1+Inputs!$C$12)^(D$4-1)</f>
        <v>12.96</v>
      </c>
      <c r="E28" s="18" t="n">
        <f aca="false">Inputs!$C$68*(1+Inputs!$C$12)^(E$4-1)</f>
        <v>13.9968</v>
      </c>
      <c r="F28" s="18" t="n">
        <f aca="false">Inputs!$C$68*(1+Inputs!$C$12)^(F$4-1)</f>
        <v>15.116544</v>
      </c>
      <c r="G28" s="18" t="n">
        <f aca="false">Inputs!$C$68*(1+Inputs!$C$12)^(G$4-1)</f>
        <v>16.32586752</v>
      </c>
    </row>
    <row r="29" customFormat="false" ht="15" hidden="false" customHeight="true" outlineLevel="0" collapsed="false">
      <c r="A29" s="12" t="s">
        <v>317</v>
      </c>
      <c r="B29" s="4" t="s">
        <v>44</v>
      </c>
      <c r="C29" s="18" t="n">
        <f aca="false">Inputs!$C$68*(1+Inputs!$C$12)^(C$4-1)</f>
        <v>12</v>
      </c>
      <c r="D29" s="18" t="n">
        <f aca="false">Inputs!$C$68*(1+Inputs!$C$12)^(D$4-1)</f>
        <v>12.96</v>
      </c>
      <c r="E29" s="18" t="n">
        <f aca="false">Inputs!$C$68*(1+Inputs!$C$12)^(E$4-1)</f>
        <v>13.9968</v>
      </c>
      <c r="F29" s="18" t="n">
        <f aca="false">Inputs!$C$68*(1+Inputs!$C$12)^(F$4-1)</f>
        <v>15.116544</v>
      </c>
      <c r="G29" s="18" t="n">
        <f aca="false">Inputs!$C$68*(1+Inputs!$C$12)^(G$4-1)</f>
        <v>16.32586752</v>
      </c>
    </row>
    <row r="30" customFormat="false" ht="15" hidden="false" customHeight="true" outlineLevel="0" collapsed="false">
      <c r="A30" s="12" t="s">
        <v>319</v>
      </c>
      <c r="B30" s="4" t="s">
        <v>44</v>
      </c>
      <c r="C30" s="18" t="n">
        <f aca="false">Inputs!$C$68*(1+Inputs!$C$12)^(C$4-1)</f>
        <v>12</v>
      </c>
      <c r="D30" s="18" t="n">
        <f aca="false">Inputs!$C$68*(1+Inputs!$C$12)^(D$4-1)</f>
        <v>12.96</v>
      </c>
      <c r="E30" s="18" t="n">
        <f aca="false">Inputs!$C$68*(1+Inputs!$C$12)^(E$4-1)</f>
        <v>13.9968</v>
      </c>
      <c r="F30" s="18" t="n">
        <f aca="false">Inputs!$C$68*(1+Inputs!$C$12)^(F$4-1)</f>
        <v>15.116544</v>
      </c>
      <c r="G30" s="18" t="n">
        <f aca="false">Inputs!$C$68*(1+Inputs!$C$12)^(G$4-1)</f>
        <v>16.32586752</v>
      </c>
    </row>
    <row r="31" customFormat="false" ht="15" hidden="false" customHeight="true" outlineLevel="0" collapsed="false">
      <c r="A31" s="12" t="s">
        <v>320</v>
      </c>
      <c r="B31" s="4" t="s">
        <v>44</v>
      </c>
      <c r="C31" s="18" t="n">
        <f aca="false">Inputs!$C$69*(1+Inputs!$C$12)^(C$4-1)</f>
        <v>18</v>
      </c>
      <c r="D31" s="18" t="n">
        <f aca="false">Inputs!$C$69*(1+Inputs!$C$12)^(D$4-1)</f>
        <v>19.44</v>
      </c>
      <c r="E31" s="18" t="n">
        <f aca="false">Inputs!$C$69*(1+Inputs!$C$12)^(E$4-1)</f>
        <v>20.9952</v>
      </c>
      <c r="F31" s="18" t="n">
        <f aca="false">Inputs!$C$69*(1+Inputs!$C$12)^(F$4-1)</f>
        <v>22.674816</v>
      </c>
      <c r="G31" s="18" t="n">
        <f aca="false">Inputs!$C$69*(1+Inputs!$C$12)^(G$4-1)</f>
        <v>24.48880128</v>
      </c>
    </row>
    <row r="32" customFormat="false" ht="15" hidden="false" customHeight="true" outlineLevel="0" collapsed="false">
      <c r="A32" s="12" t="s">
        <v>321</v>
      </c>
      <c r="B32" s="4" t="s">
        <v>44</v>
      </c>
      <c r="C32" s="18" t="n">
        <f aca="false">Inputs!$C$70*(1+Inputs!$C$12)^(C$4-1)</f>
        <v>14</v>
      </c>
      <c r="D32" s="18" t="n">
        <f aca="false">Inputs!$C$70*(1+Inputs!$C$12)^(D$4-1)</f>
        <v>15.12</v>
      </c>
      <c r="E32" s="18" t="n">
        <f aca="false">Inputs!$C$70*(1+Inputs!$C$12)^(E$4-1)</f>
        <v>16.3296</v>
      </c>
      <c r="F32" s="18" t="n">
        <f aca="false">Inputs!$C$70*(1+Inputs!$C$12)^(F$4-1)</f>
        <v>17.635968</v>
      </c>
      <c r="G32" s="18" t="n">
        <f aca="false">Inputs!$C$70*(1+Inputs!$C$12)^(G$4-1)</f>
        <v>19.04684544</v>
      </c>
    </row>
    <row r="33" customFormat="false" ht="15" hidden="false" customHeight="true" outlineLevel="0" collapsed="false">
      <c r="A33" s="12" t="s">
        <v>322</v>
      </c>
      <c r="B33" s="4" t="s">
        <v>44</v>
      </c>
      <c r="C33" s="18" t="n">
        <f aca="false">Inputs!$C$71*(1+Inputs!$C$12)^(C$4-1)</f>
        <v>15</v>
      </c>
      <c r="D33" s="18" t="n">
        <f aca="false">Inputs!$C$71*(1+Inputs!$C$12)^(D$4-1)</f>
        <v>16.2</v>
      </c>
      <c r="E33" s="18" t="n">
        <f aca="false">Inputs!$C$71*(1+Inputs!$C$12)^(E$4-1)</f>
        <v>17.496</v>
      </c>
      <c r="F33" s="18" t="n">
        <f aca="false">Inputs!$C$71*(1+Inputs!$C$12)^(F$4-1)</f>
        <v>18.89568</v>
      </c>
      <c r="G33" s="18" t="n">
        <f aca="false">Inputs!$C$71*(1+Inputs!$C$12)^(G$4-1)</f>
        <v>20.4073344</v>
      </c>
    </row>
    <row r="34" customFormat="false" ht="15" hidden="false" customHeight="true" outlineLevel="0" collapsed="false">
      <c r="A34" s="12" t="s">
        <v>715</v>
      </c>
      <c r="B34" s="4" t="s">
        <v>44</v>
      </c>
      <c r="C34" s="18" t="n">
        <f aca="false">Inputs!$C$72*(1+Inputs!$C$12)^(C$4-1)</f>
        <v>12</v>
      </c>
      <c r="D34" s="18" t="n">
        <f aca="false">Inputs!$C$72*(1+Inputs!$C$12)^(D$4-1)</f>
        <v>12.96</v>
      </c>
      <c r="E34" s="18" t="n">
        <f aca="false">Inputs!$C$72*(1+Inputs!$C$12)^(E$4-1)</f>
        <v>13.9968</v>
      </c>
      <c r="F34" s="18" t="n">
        <f aca="false">Inputs!$C$72*(1+Inputs!$C$12)^(F$4-1)</f>
        <v>15.116544</v>
      </c>
      <c r="G34" s="18" t="n">
        <f aca="false">Inputs!$C$72*(1+Inputs!$C$12)^(G$4-1)</f>
        <v>16.32586752</v>
      </c>
    </row>
    <row r="35" customFormat="false" ht="15" hidden="false" customHeight="true" outlineLevel="0" collapsed="false">
      <c r="A35" s="12" t="s">
        <v>325</v>
      </c>
      <c r="B35" s="4" t="s">
        <v>44</v>
      </c>
      <c r="C35" s="18" t="n">
        <f aca="false">Inputs!$C$73*(1+Inputs!$C$12)^(C$4-1)</f>
        <v>24</v>
      </c>
      <c r="D35" s="18" t="n">
        <f aca="false">Inputs!$C$73*(1+Inputs!$C$12)^(D$4-1)</f>
        <v>25.92</v>
      </c>
      <c r="E35" s="18" t="n">
        <f aca="false">Inputs!$C$73*(1+Inputs!$C$12)^(E$4-1)</f>
        <v>27.9936</v>
      </c>
      <c r="F35" s="18" t="n">
        <f aca="false">Inputs!$C$73*(1+Inputs!$C$12)^(F$4-1)</f>
        <v>30.233088</v>
      </c>
      <c r="G35" s="18" t="n">
        <f aca="false">Inputs!$C$73*(1+Inputs!$C$12)^(G$4-1)</f>
        <v>32.65173504</v>
      </c>
    </row>
    <row r="36" customFormat="false" ht="15" hidden="false" customHeight="true" outlineLevel="0" collapsed="false">
      <c r="A36" s="12" t="s">
        <v>716</v>
      </c>
      <c r="B36" s="4" t="s">
        <v>44</v>
      </c>
      <c r="C36" s="18" t="n">
        <f aca="false">Inputs!$C$77*(1+Inputs!$C$12)^(C$4-1)</f>
        <v>14</v>
      </c>
      <c r="D36" s="18" t="n">
        <f aca="false">Inputs!$C$77*(1+Inputs!$C$12)^(D$4-1)</f>
        <v>15.12</v>
      </c>
      <c r="E36" s="18" t="n">
        <f aca="false">Inputs!$C$77*(1+Inputs!$C$12)^(E$4-1)</f>
        <v>16.3296</v>
      </c>
      <c r="F36" s="18" t="n">
        <f aca="false">Inputs!$C$77*(1+Inputs!$C$12)^(F$4-1)</f>
        <v>17.635968</v>
      </c>
      <c r="G36" s="18" t="n">
        <f aca="false">Inputs!$C$77*(1+Inputs!$C$12)^(G$4-1)</f>
        <v>19.04684544</v>
      </c>
    </row>
    <row r="37" customFormat="false" ht="15" hidden="false" customHeight="true" outlineLevel="0" collapsed="false">
      <c r="A37" s="12" t="s">
        <v>717</v>
      </c>
      <c r="B37" s="4" t="s">
        <v>44</v>
      </c>
      <c r="C37" s="18" t="n">
        <f aca="false">Inputs!$C$78*(1+Inputs!$C$12)^(C$4-1)</f>
        <v>15</v>
      </c>
      <c r="D37" s="18" t="n">
        <f aca="false">Inputs!$C$78*(1+Inputs!$C$12)^(D$4-1)</f>
        <v>16.2</v>
      </c>
      <c r="E37" s="18" t="n">
        <f aca="false">Inputs!$C$78*(1+Inputs!$C$12)^(E$4-1)</f>
        <v>17.496</v>
      </c>
      <c r="F37" s="18" t="n">
        <f aca="false">Inputs!$C$78*(1+Inputs!$C$12)^(F$4-1)</f>
        <v>18.89568</v>
      </c>
      <c r="G37" s="18" t="n">
        <f aca="false">Inputs!$C$78*(1+Inputs!$C$12)^(G$4-1)</f>
        <v>20.4073344</v>
      </c>
    </row>
    <row r="38" customFormat="false" ht="15" hidden="false" customHeight="true" outlineLevel="0" collapsed="false">
      <c r="A38" s="12" t="s">
        <v>327</v>
      </c>
      <c r="B38" s="4" t="s">
        <v>44</v>
      </c>
      <c r="C38" s="18" t="n">
        <f aca="false">Inputs!$C$80*(1+Inputs!$C$12)^(C$4-1)</f>
        <v>12</v>
      </c>
      <c r="D38" s="18" t="n">
        <f aca="false">Inputs!$C$80*(1+Inputs!$C$12)^(D$4-1)</f>
        <v>12.96</v>
      </c>
      <c r="E38" s="18" t="n">
        <f aca="false">Inputs!$C$80*(1+Inputs!$C$12)^(E$4-1)</f>
        <v>13.9968</v>
      </c>
      <c r="F38" s="18" t="n">
        <f aca="false">Inputs!$C$80*(1+Inputs!$C$12)^(F$4-1)</f>
        <v>15.116544</v>
      </c>
      <c r="G38" s="18" t="n">
        <f aca="false">Inputs!$C$80*(1+Inputs!$C$12)^(G$4-1)</f>
        <v>16.32586752</v>
      </c>
    </row>
    <row r="39" customFormat="false" ht="15" hidden="false" customHeight="true" outlineLevel="0" collapsed="false">
      <c r="A39" s="12" t="s">
        <v>329</v>
      </c>
      <c r="B39" s="4" t="s">
        <v>44</v>
      </c>
      <c r="C39" s="18" t="n">
        <f aca="false">Inputs!$C$79*(1+Inputs!$C$12)^(C$4-1)</f>
        <v>20</v>
      </c>
      <c r="D39" s="18" t="n">
        <f aca="false">Inputs!$C$79*(1+Inputs!$C$12)^(D$4-1)</f>
        <v>21.6</v>
      </c>
      <c r="E39" s="18" t="n">
        <f aca="false">Inputs!$C$79*(1+Inputs!$C$12)^(E$4-1)</f>
        <v>23.328</v>
      </c>
      <c r="F39" s="18" t="n">
        <f aca="false">Inputs!$C$79*(1+Inputs!$C$12)^(F$4-1)</f>
        <v>25.19424</v>
      </c>
      <c r="G39" s="18" t="n">
        <f aca="false">Inputs!$C$79*(1+Inputs!$C$12)^(G$4-1)</f>
        <v>27.2097792</v>
      </c>
    </row>
    <row r="40" customFormat="false" ht="15" hidden="false" customHeight="true" outlineLevel="0" collapsed="false">
      <c r="A40" s="12" t="s">
        <v>227</v>
      </c>
      <c r="B40" s="4" t="s">
        <v>44</v>
      </c>
      <c r="C40" s="18" t="n">
        <f aca="false">Inputs!$C$81*(1+Inputs!$C$12)^(C$4-1)</f>
        <v>8</v>
      </c>
      <c r="D40" s="18" t="n">
        <f aca="false">Inputs!$C$81*(1+Inputs!$C$12)^(D$4-1)</f>
        <v>8.64</v>
      </c>
      <c r="E40" s="18" t="n">
        <f aca="false">Inputs!$C$81*(1+Inputs!$C$12)^(E$4-1)</f>
        <v>9.3312</v>
      </c>
      <c r="F40" s="18" t="n">
        <f aca="false">Inputs!$C$81*(1+Inputs!$C$12)^(F$4-1)</f>
        <v>10.077696</v>
      </c>
      <c r="G40" s="18" t="n">
        <f aca="false">Inputs!$C$81*(1+Inputs!$C$12)^(G$4-1)</f>
        <v>10.88391168</v>
      </c>
    </row>
    <row r="41" customFormat="false" ht="15" hidden="false" customHeight="true" outlineLevel="0" collapsed="false">
      <c r="A41" s="12" t="s">
        <v>718</v>
      </c>
      <c r="B41" s="4" t="s">
        <v>44</v>
      </c>
      <c r="C41" s="18" t="n">
        <f aca="false">Inputs!$C$82*(1+Inputs!$C$12)^(C$4-1)</f>
        <v>20</v>
      </c>
      <c r="D41" s="18" t="n">
        <f aca="false">Inputs!$C$82*(1+Inputs!$C$12)^(D$4-1)</f>
        <v>21.6</v>
      </c>
      <c r="E41" s="18" t="n">
        <f aca="false">Inputs!$C$82*(1+Inputs!$C$12)^(E$4-1)</f>
        <v>23.328</v>
      </c>
      <c r="F41" s="18" t="n">
        <f aca="false">Inputs!$C$82*(1+Inputs!$C$12)^(F$4-1)</f>
        <v>25.19424</v>
      </c>
      <c r="G41" s="18" t="n">
        <f aca="false">Inputs!$C$82*(1+Inputs!$C$12)^(G$4-1)</f>
        <v>27.2097792</v>
      </c>
    </row>
    <row r="42" customFormat="false" ht="15" hidden="false" customHeight="true" outlineLevel="0" collapsed="false">
      <c r="A42" s="12" t="s">
        <v>728</v>
      </c>
      <c r="B42" s="4"/>
      <c r="H42" s="4" t="s">
        <v>729</v>
      </c>
    </row>
    <row r="44" customFormat="false" ht="15" hidden="false" customHeight="true" outlineLevel="0" collapsed="false">
      <c r="A44" s="10" t="s">
        <v>730</v>
      </c>
      <c r="B44" s="11"/>
      <c r="C44" s="11"/>
      <c r="D44" s="11"/>
      <c r="E44" s="11"/>
      <c r="F44" s="11"/>
      <c r="G44" s="11"/>
      <c r="H44" s="11"/>
    </row>
    <row r="45" customFormat="false" ht="15" hidden="false" customHeight="true" outlineLevel="0" collapsed="false">
      <c r="A45" s="12" t="s">
        <v>731</v>
      </c>
      <c r="B45" s="4" t="s">
        <v>44</v>
      </c>
      <c r="C45" s="16" t="n">
        <f aca="false">SUMIF(Engine_Monthly!$D$7:$BK$7,C$4,Engine_Monthly!$D$120:$BK$120)</f>
        <v>54.5066666666667</v>
      </c>
      <c r="D45" s="16" t="n">
        <f aca="false">SUMIF(Engine_Monthly!$D$7:$BK$7,D$4,Engine_Monthly!$D$120:$BK$120)</f>
        <v>153.6192</v>
      </c>
      <c r="E45" s="16" t="n">
        <f aca="false">SUMIF(Engine_Monthly!$D$7:$BK$7,E$4,Engine_Monthly!$D$120:$BK$120)</f>
        <v>223.388928</v>
      </c>
      <c r="F45" s="16" t="n">
        <f aca="false">SUMIF(Engine_Monthly!$D$7:$BK$7,F$4,Engine_Monthly!$D$120:$BK$120)</f>
        <v>307.57128192</v>
      </c>
      <c r="G45" s="16" t="n">
        <f aca="false">SUMIF(Engine_Monthly!$D$7:$BK$7,G$4,Engine_Monthly!$D$120:$BK$120)</f>
        <v>435.7918236672</v>
      </c>
    </row>
    <row r="46" customFormat="false" ht="15" hidden="false" customHeight="true" outlineLevel="0" collapsed="false">
      <c r="A46" s="12" t="s">
        <v>732</v>
      </c>
      <c r="B46" s="4" t="s">
        <v>44</v>
      </c>
      <c r="C46" s="16" t="n">
        <f aca="false">SUMIF(Engine_Monthly!$D$7:$BK$7,C$4,Engine_Monthly!$D$130:$BK$130)</f>
        <v>15.3</v>
      </c>
      <c r="D46" s="16" t="n">
        <f aca="false">SUMIF(Engine_Monthly!$D$7:$BK$7,D$4,Engine_Monthly!$D$130:$BK$130)</f>
        <v>24.57</v>
      </c>
      <c r="E46" s="16" t="n">
        <f aca="false">SUMIF(Engine_Monthly!$D$7:$BK$7,E$4,Engine_Monthly!$D$130:$BK$130)</f>
        <v>31.752</v>
      </c>
      <c r="F46" s="16" t="n">
        <f aca="false">SUMIF(Engine_Monthly!$D$7:$BK$7,F$4,Engine_Monthly!$D$130:$BK$130)</f>
        <v>39.590775</v>
      </c>
      <c r="G46" s="16" t="n">
        <f aca="false">SUMIF(Engine_Monthly!$D$7:$BK$7,G$4,Engine_Monthly!$D$130:$BK$130)</f>
        <v>50.32195875</v>
      </c>
    </row>
    <row r="47" customFormat="false" ht="15" hidden="false" customHeight="true" outlineLevel="0" collapsed="false">
      <c r="A47" s="5" t="s">
        <v>733</v>
      </c>
      <c r="B47" s="4" t="s">
        <v>44</v>
      </c>
      <c r="C47" s="52" t="n">
        <f aca="false">SUMIF(Engine_Monthly!$D$7:$BK$7,C$4,Engine_Monthly!$D$131:$BK$131)</f>
        <v>69.8066666666667</v>
      </c>
      <c r="D47" s="52" t="n">
        <f aca="false">SUMIF(Engine_Monthly!$D$7:$BK$7,D$4,Engine_Monthly!$D$131:$BK$131)</f>
        <v>178.1892</v>
      </c>
      <c r="E47" s="52" t="n">
        <f aca="false">SUMIF(Engine_Monthly!$D$7:$BK$7,E$4,Engine_Monthly!$D$131:$BK$131)</f>
        <v>255.140928</v>
      </c>
      <c r="F47" s="52" t="n">
        <f aca="false">SUMIF(Engine_Monthly!$D$7:$BK$7,F$4,Engine_Monthly!$D$131:$BK$131)</f>
        <v>347.16205692</v>
      </c>
      <c r="G47" s="52" t="n">
        <f aca="false">SUMIF(Engine_Monthly!$D$7:$BK$7,G$4,Engine_Monthly!$D$131:$BK$131)</f>
        <v>486.1137824172</v>
      </c>
    </row>
    <row r="48" customFormat="false" ht="15" hidden="false" customHeight="true" outlineLevel="0" collapsed="false">
      <c r="A48" s="12" t="s">
        <v>734</v>
      </c>
      <c r="B48" s="4" t="s">
        <v>44</v>
      </c>
      <c r="C48" s="16" t="n">
        <f aca="false">SUMIF(Engine_Monthly!$D$7:$BK$7,C$4,Engine_Monthly!$D$121:$BK$121)</f>
        <v>37.8</v>
      </c>
      <c r="D48" s="16" t="n">
        <f aca="false">SUMIF(Engine_Monthly!$D$7:$BK$7,D$4,Engine_Monthly!$D$121:$BK$121)</f>
        <v>118.5408</v>
      </c>
      <c r="E48" s="16" t="n">
        <f aca="false">SUMIF(Engine_Monthly!$D$7:$BK$7,E$4,Engine_Monthly!$D$121:$BK$121)</f>
        <v>292.626432</v>
      </c>
      <c r="F48" s="16" t="n">
        <f aca="false">SUMIF(Engine_Monthly!$D$7:$BK$7,F$4,Engine_Monthly!$D$121:$BK$121)</f>
        <v>544.59869184</v>
      </c>
      <c r="G48" s="16" t="n">
        <f aca="false">SUMIF(Engine_Monthly!$D$7:$BK$7,G$4,Engine_Monthly!$D$121:$BK$121)</f>
        <v>824.3474706432</v>
      </c>
    </row>
    <row r="49" customFormat="false" ht="15" hidden="false" customHeight="true" outlineLevel="0" collapsed="false">
      <c r="A49" s="12" t="s">
        <v>735</v>
      </c>
      <c r="B49" s="4" t="s">
        <v>44</v>
      </c>
      <c r="C49" s="16" t="n">
        <f aca="false">SUMIF(Engine_Monthly!$D$7:$BK$7,C$4,Engine_Monthly!$D$125:$BK$125)</f>
        <v>12</v>
      </c>
      <c r="D49" s="16" t="n">
        <f aca="false">SUMIF(Engine_Monthly!$D$7:$BK$7,D$4,Engine_Monthly!$D$125:$BK$125)</f>
        <v>24</v>
      </c>
      <c r="E49" s="16" t="n">
        <f aca="false">SUMIF(Engine_Monthly!$D$7:$BK$7,E$4,Engine_Monthly!$D$125:$BK$125)</f>
        <v>42</v>
      </c>
      <c r="F49" s="16" t="n">
        <f aca="false">SUMIF(Engine_Monthly!$D$7:$BK$7,F$4,Engine_Monthly!$D$125:$BK$125)</f>
        <v>60</v>
      </c>
      <c r="G49" s="16" t="n">
        <f aca="false">SUMIF(Engine_Monthly!$D$7:$BK$7,G$4,Engine_Monthly!$D$125:$BK$125)</f>
        <v>72</v>
      </c>
    </row>
    <row r="50" customFormat="false" ht="15" hidden="false" customHeight="true" outlineLevel="0" collapsed="false">
      <c r="A50" s="12" t="s">
        <v>736</v>
      </c>
      <c r="B50" s="4" t="s">
        <v>44</v>
      </c>
      <c r="C50" s="16" t="n">
        <f aca="false">SUMIF(Engine_Monthly!$D$7:$BK$7,C$4,Engine_Monthly!$D$126:$BK$126)</f>
        <v>18</v>
      </c>
      <c r="D50" s="16" t="n">
        <f aca="false">SUMIF(Engine_Monthly!$D$7:$BK$7,D$4,Engine_Monthly!$D$126:$BK$126)</f>
        <v>52.92</v>
      </c>
      <c r="E50" s="16" t="n">
        <f aca="false">SUMIF(Engine_Monthly!$D$7:$BK$7,E$4,Engine_Monthly!$D$126:$BK$126)</f>
        <v>119.07</v>
      </c>
      <c r="F50" s="16" t="n">
        <f aca="false">SUMIF(Engine_Monthly!$D$7:$BK$7,F$4,Engine_Monthly!$D$126:$BK$126)</f>
        <v>216.7074</v>
      </c>
      <c r="G50" s="16" t="n">
        <f aca="false">SUMIF(Engine_Monthly!$D$7:$BK$7,G$4,Engine_Monthly!$D$126:$BK$126)</f>
        <v>315.05922</v>
      </c>
    </row>
    <row r="51" customFormat="false" ht="15" hidden="false" customHeight="true" outlineLevel="0" collapsed="false">
      <c r="A51" s="12" t="s">
        <v>737</v>
      </c>
      <c r="B51" s="4" t="s">
        <v>44</v>
      </c>
      <c r="C51" s="16" t="n">
        <f aca="false">SUMIF(Engine_Monthly!$D$7:$BK$7,C$4,Engine_Monthly!$D$127:$BK$127)</f>
        <v>4.554</v>
      </c>
      <c r="D51" s="16" t="n">
        <f aca="false">SUMIF(Engine_Monthly!$D$7:$BK$7,D$4,Engine_Monthly!$D$127:$BK$127)</f>
        <v>92.152715193</v>
      </c>
      <c r="E51" s="16" t="n">
        <f aca="false">SUMIF(Engine_Monthly!$D$7:$BK$7,E$4,Engine_Monthly!$D$127:$BK$127)</f>
        <v>338.7163481856</v>
      </c>
      <c r="F51" s="16" t="n">
        <f aca="false">SUMIF(Engine_Monthly!$D$7:$BK$7,F$4,Engine_Monthly!$D$127:$BK$127)</f>
        <v>716.57615543976</v>
      </c>
      <c r="G51" s="16" t="n">
        <f aca="false">SUMIF(Engine_Monthly!$D$7:$BK$7,G$4,Engine_Monthly!$D$127:$BK$127)</f>
        <v>1152.13296053325</v>
      </c>
    </row>
    <row r="52" customFormat="false" ht="15" hidden="false" customHeight="true" outlineLevel="0" collapsed="false">
      <c r="A52" s="12" t="s">
        <v>738</v>
      </c>
      <c r="B52" s="4" t="s">
        <v>44</v>
      </c>
      <c r="C52" s="16" t="n">
        <f aca="false">SUMIF(Engine_Monthly!$D$7:$BK$7,C$4,Engine_Monthly!$D$128:$BK$128)</f>
        <v>0</v>
      </c>
      <c r="D52" s="16" t="n">
        <f aca="false">SUMIF(Engine_Monthly!$D$7:$BK$7,D$4,Engine_Monthly!$D$128:$BK$128)</f>
        <v>18.9</v>
      </c>
      <c r="E52" s="16" t="n">
        <f aca="false">SUMIF(Engine_Monthly!$D$7:$BK$7,E$4,Engine_Monthly!$D$128:$BK$128)</f>
        <v>19.845</v>
      </c>
      <c r="F52" s="16" t="n">
        <f aca="false">SUMIF(Engine_Monthly!$D$7:$BK$7,F$4,Engine_Monthly!$D$128:$BK$128)</f>
        <v>20.83725</v>
      </c>
      <c r="G52" s="16" t="n">
        <f aca="false">SUMIF(Engine_Monthly!$D$7:$BK$7,G$4,Engine_Monthly!$D$128:$BK$128)</f>
        <v>21.8791125</v>
      </c>
    </row>
    <row r="53" customFormat="false" ht="15" hidden="false" customHeight="true" outlineLevel="0" collapsed="false">
      <c r="A53" s="5" t="s">
        <v>739</v>
      </c>
      <c r="B53" s="4" t="s">
        <v>44</v>
      </c>
      <c r="C53" s="52" t="n">
        <f aca="false">SUMIF(Engine_Monthly!$D$7:$BK$7,C$4,Engine_Monthly!$D$129:$BK$129)</f>
        <v>72.354</v>
      </c>
      <c r="D53" s="52" t="n">
        <f aca="false">SUMIF(Engine_Monthly!$D$7:$BK$7,D$4,Engine_Monthly!$D$129:$BK$129)</f>
        <v>306.513515193</v>
      </c>
      <c r="E53" s="52" t="n">
        <f aca="false">SUMIF(Engine_Monthly!$D$7:$BK$7,E$4,Engine_Monthly!$D$129:$BK$129)</f>
        <v>812.2577801856</v>
      </c>
      <c r="F53" s="52" t="n">
        <f aca="false">SUMIF(Engine_Monthly!$D$7:$BK$7,F$4,Engine_Monthly!$D$129:$BK$129)</f>
        <v>1558.71949727976</v>
      </c>
      <c r="G53" s="52" t="n">
        <f aca="false">SUMIF(Engine_Monthly!$D$7:$BK$7,G$4,Engine_Monthly!$D$129:$BK$129)</f>
        <v>2385.41876367645</v>
      </c>
    </row>
    <row r="54" customFormat="false" ht="15" hidden="false" customHeight="true" outlineLevel="0" collapsed="false">
      <c r="A54" s="12" t="s">
        <v>740</v>
      </c>
      <c r="B54" s="4" t="s">
        <v>44</v>
      </c>
      <c r="C54" s="16" t="n">
        <f aca="false">SUMIF(Engine_Monthly!$D$7:$BK$7,C$4,Engine_Monthly!$D$122:$BK$122)</f>
        <v>13.44</v>
      </c>
      <c r="D54" s="16" t="n">
        <f aca="false">SUMIF(Engine_Monthly!$D$7:$BK$7,D$4,Engine_Monthly!$D$122:$BK$122)</f>
        <v>24.192</v>
      </c>
      <c r="E54" s="16" t="n">
        <f aca="false">SUMIF(Engine_Monthly!$D$7:$BK$7,E$4,Engine_Monthly!$D$122:$BK$122)</f>
        <v>52.25472</v>
      </c>
      <c r="F54" s="16" t="n">
        <f aca="false">SUMIF(Engine_Monthly!$D$7:$BK$7,F$4,Engine_Monthly!$D$122:$BK$122)</f>
        <v>67.72211712</v>
      </c>
      <c r="G54" s="16" t="n">
        <f aca="false">SUMIF(Engine_Monthly!$D$7:$BK$7,G$4,Engine_Monthly!$D$122:$BK$122)</f>
        <v>73.1398864896</v>
      </c>
    </row>
    <row r="55" customFormat="false" ht="15" hidden="false" customHeight="true" outlineLevel="0" collapsed="false">
      <c r="A55" s="12" t="s">
        <v>741</v>
      </c>
      <c r="B55" s="4" t="s">
        <v>44</v>
      </c>
      <c r="C55" s="16" t="n">
        <f aca="false">SUMIF(Engine_Monthly!$D$7:$BK$7,C$4,Engine_Monthly!$D$132:$BK$132)</f>
        <v>12.24</v>
      </c>
      <c r="D55" s="16" t="n">
        <f aca="false">SUMIF(Engine_Monthly!$D$7:$BK$7,D$4,Engine_Monthly!$D$132:$BK$132)</f>
        <v>34.65</v>
      </c>
      <c r="E55" s="16" t="n">
        <f aca="false">SUMIF(Engine_Monthly!$D$7:$BK$7,E$4,Engine_Monthly!$D$132:$BK$132)</f>
        <v>71.5743</v>
      </c>
      <c r="F55" s="16" t="n">
        <f aca="false">SUMIF(Engine_Monthly!$D$7:$BK$7,F$4,Engine_Monthly!$D$132:$BK$132)</f>
        <v>128.63529</v>
      </c>
      <c r="G55" s="16" t="n">
        <f aca="false">SUMIF(Engine_Monthly!$D$7:$BK$7,G$4,Engine_Monthly!$D$132:$BK$132)</f>
        <v>201.871278</v>
      </c>
    </row>
    <row r="56" customFormat="false" ht="15" hidden="false" customHeight="true" outlineLevel="0" collapsed="false">
      <c r="A56" s="12" t="s">
        <v>742</v>
      </c>
      <c r="B56" s="4" t="s">
        <v>44</v>
      </c>
      <c r="C56" s="16" t="n">
        <f aca="false">SUMIF(Engine_Monthly!$D$7:$BK$7,C$4,Engine_Monthly!$D$133:$BK$133)</f>
        <v>9</v>
      </c>
      <c r="D56" s="16" t="n">
        <f aca="false">SUMIF(Engine_Monthly!$D$7:$BK$7,D$4,Engine_Monthly!$D$133:$BK$133)</f>
        <v>9.45</v>
      </c>
      <c r="E56" s="16" t="n">
        <f aca="false">SUMIF(Engine_Monthly!$D$7:$BK$7,E$4,Engine_Monthly!$D$133:$BK$133)</f>
        <v>9.9225</v>
      </c>
      <c r="F56" s="16" t="n">
        <f aca="false">SUMIF(Engine_Monthly!$D$7:$BK$7,F$4,Engine_Monthly!$D$133:$BK$133)</f>
        <v>10.418625</v>
      </c>
      <c r="G56" s="16" t="n">
        <f aca="false">SUMIF(Engine_Monthly!$D$7:$BK$7,G$4,Engine_Monthly!$D$133:$BK$133)</f>
        <v>10.93955625</v>
      </c>
    </row>
    <row r="57" customFormat="false" ht="15" hidden="false" customHeight="true" outlineLevel="0" collapsed="false">
      <c r="A57" s="12" t="s">
        <v>743</v>
      </c>
      <c r="B57" s="4" t="s">
        <v>44</v>
      </c>
      <c r="C57" s="16" t="n">
        <f aca="false">SUMIF(Engine_Monthly!$D$7:$BK$7,C$4,Engine_Monthly!$D$134:$BK$134)</f>
        <v>1.75</v>
      </c>
      <c r="D57" s="16" t="n">
        <f aca="false">SUMIF(Engine_Monthly!$D$7:$BK$7,D$4,Engine_Monthly!$D$134:$BK$134)</f>
        <v>3.15</v>
      </c>
      <c r="E57" s="16" t="n">
        <f aca="false">SUMIF(Engine_Monthly!$D$7:$BK$7,E$4,Engine_Monthly!$D$134:$BK$134)</f>
        <v>3.3075</v>
      </c>
      <c r="F57" s="16" t="n">
        <f aca="false">SUMIF(Engine_Monthly!$D$7:$BK$7,F$4,Engine_Monthly!$D$134:$BK$134)</f>
        <v>3.472875</v>
      </c>
      <c r="G57" s="16" t="n">
        <f aca="false">SUMIF(Engine_Monthly!$D$7:$BK$7,G$4,Engine_Monthly!$D$134:$BK$134)</f>
        <v>3.64651875</v>
      </c>
    </row>
    <row r="58" customFormat="false" ht="15" hidden="false" customHeight="true" outlineLevel="0" collapsed="false">
      <c r="A58" s="12" t="s">
        <v>744</v>
      </c>
      <c r="B58" s="4" t="s">
        <v>44</v>
      </c>
      <c r="C58" s="16" t="n">
        <f aca="false">SUMIF(Engine_Monthly!$D$7:$BK$7,C$4,Engine_Monthly!$D$135:$BK$135)</f>
        <v>8.25</v>
      </c>
      <c r="D58" s="16" t="n">
        <f aca="false">SUMIF(Engine_Monthly!$D$7:$BK$7,D$4,Engine_Monthly!$D$135:$BK$135)</f>
        <v>10.5</v>
      </c>
      <c r="E58" s="16" t="n">
        <f aca="false">SUMIF(Engine_Monthly!$D$7:$BK$7,E$4,Engine_Monthly!$D$135:$BK$135)</f>
        <v>21</v>
      </c>
      <c r="F58" s="16" t="n">
        <f aca="false">SUMIF(Engine_Monthly!$D$7:$BK$7,F$4,Engine_Monthly!$D$135:$BK$135)</f>
        <v>26.25</v>
      </c>
      <c r="G58" s="16" t="n">
        <f aca="false">SUMIF(Engine_Monthly!$D$7:$BK$7,G$4,Engine_Monthly!$D$135:$BK$135)</f>
        <v>30</v>
      </c>
    </row>
    <row r="59" customFormat="false" ht="15" hidden="false" customHeight="true" outlineLevel="0" collapsed="false">
      <c r="A59" s="5" t="s">
        <v>745</v>
      </c>
      <c r="B59" s="4" t="s">
        <v>44</v>
      </c>
      <c r="C59" s="52" t="n">
        <f aca="false">SUMIF(Engine_Monthly!$D$7:$BK$7,C$4,Engine_Monthly!$D$136:$BK$136)</f>
        <v>44.68</v>
      </c>
      <c r="D59" s="52" t="n">
        <f aca="false">SUMIF(Engine_Monthly!$D$7:$BK$7,D$4,Engine_Monthly!$D$136:$BK$136)</f>
        <v>81.942</v>
      </c>
      <c r="E59" s="52" t="n">
        <f aca="false">SUMIF(Engine_Monthly!$D$7:$BK$7,E$4,Engine_Monthly!$D$136:$BK$136)</f>
        <v>158.05902</v>
      </c>
      <c r="F59" s="52" t="n">
        <f aca="false">SUMIF(Engine_Monthly!$D$7:$BK$7,F$4,Engine_Monthly!$D$136:$BK$136)</f>
        <v>236.49890712</v>
      </c>
      <c r="G59" s="52" t="n">
        <f aca="false">SUMIF(Engine_Monthly!$D$7:$BK$7,G$4,Engine_Monthly!$D$136:$BK$136)</f>
        <v>319.5972394896</v>
      </c>
    </row>
    <row r="60" customFormat="false" ht="15" hidden="false" customHeight="true" outlineLevel="0" collapsed="false">
      <c r="A60" s="5" t="s">
        <v>746</v>
      </c>
      <c r="B60" s="4" t="s">
        <v>44</v>
      </c>
      <c r="C60" s="54" t="n">
        <f aca="false">SUMIF(Engine_Monthly!$D$7:$BK$7,C$4,Engine_Monthly!$D$137:$BK$137)</f>
        <v>186.840666666667</v>
      </c>
      <c r="D60" s="54" t="n">
        <f aca="false">SUMIF(Engine_Monthly!$D$7:$BK$7,D$4,Engine_Monthly!$D$137:$BK$137)</f>
        <v>566.644715193</v>
      </c>
      <c r="E60" s="54" t="n">
        <f aca="false">SUMIF(Engine_Monthly!$D$7:$BK$7,E$4,Engine_Monthly!$D$137:$BK$137)</f>
        <v>1225.4577281856</v>
      </c>
      <c r="F60" s="54" t="n">
        <f aca="false">SUMIF(Engine_Monthly!$D$7:$BK$7,F$4,Engine_Monthly!$D$137:$BK$137)</f>
        <v>2142.38046131976</v>
      </c>
      <c r="G60" s="54" t="n">
        <f aca="false">SUMIF(Engine_Monthly!$D$7:$BK$7,G$4,Engine_Monthly!$D$137:$BK$137)</f>
        <v>3191.12978558325</v>
      </c>
    </row>
    <row r="61" customFormat="false" ht="15" hidden="false" customHeight="true" outlineLevel="0" collapsed="false">
      <c r="A61" s="12" t="s">
        <v>747</v>
      </c>
      <c r="B61" s="4" t="s">
        <v>44</v>
      </c>
      <c r="C61" s="16" t="n">
        <f aca="false">SUMIF(Engine_Monthly!$D$7:$BK$7,C$4,Engine_Monthly!$D$81:$BK$81)+SUMIF(Engine_Monthly!$D$7:$BK$7,C$4,Engine_Monthly!$D$78:$BK$78)+SUMIF(Engine_Monthly!$D$7:$BK$7,C$4,Engine_Monthly!$D$79:$BK$79)</f>
        <v>14.9333333333333</v>
      </c>
      <c r="D61" s="16" t="n">
        <f aca="false">SUMIF(Engine_Monthly!$D$7:$BK$7,D$4,Engine_Monthly!$D$81:$BK$81)+SUMIF(Engine_Monthly!$D$7:$BK$7,D$4,Engine_Monthly!$D$78:$BK$78)+SUMIF(Engine_Monthly!$D$7:$BK$7,D$4,Engine_Monthly!$D$79:$BK$79)</f>
        <v>65.52</v>
      </c>
      <c r="E61" s="16" t="n">
        <f aca="false">SUMIF(Engine_Monthly!$D$7:$BK$7,E$4,Engine_Monthly!$D$81:$BK$81)+SUMIF(Engine_Monthly!$D$7:$BK$7,E$4,Engine_Monthly!$D$78:$BK$78)+SUMIF(Engine_Monthly!$D$7:$BK$7,E$4,Engine_Monthly!$D$79:$BK$79)</f>
        <v>183.653568</v>
      </c>
      <c r="F61" s="16" t="n">
        <f aca="false">SUMIF(Engine_Monthly!$D$7:$BK$7,F$4,Engine_Monthly!$D$81:$BK$81)+SUMIF(Engine_Monthly!$D$7:$BK$7,F$4,Engine_Monthly!$D$78:$BK$78)+SUMIF(Engine_Monthly!$D$7:$BK$7,F$4,Engine_Monthly!$D$79:$BK$79)</f>
        <v>416.56156416</v>
      </c>
      <c r="G61" s="16" t="n">
        <f aca="false">SUMIF(Engine_Monthly!$D$7:$BK$7,G$4,Engine_Monthly!$D$81:$BK$81)+SUMIF(Engine_Monthly!$D$7:$BK$7,G$4,Engine_Monthly!$D$78:$BK$78)+SUMIF(Engine_Monthly!$D$7:$BK$7,G$4,Engine_Monthly!$D$79:$BK$79)</f>
        <v>758.8263223296</v>
      </c>
    </row>
    <row r="62" customFormat="false" ht="15" hidden="false" customHeight="true" outlineLevel="0" collapsed="false">
      <c r="A62" s="12" t="s">
        <v>748</v>
      </c>
      <c r="B62" s="4" t="s">
        <v>46</v>
      </c>
      <c r="C62" s="17" t="n">
        <f aca="false">IFERROR(C60/7_Financials!C11,0)</f>
        <v>6.52430736687966</v>
      </c>
      <c r="D62" s="17" t="n">
        <f aca="false">IFERROR(D60/7_Financials!D11,0)</f>
        <v>1.18335719002547</v>
      </c>
      <c r="E62" s="17" t="n">
        <f aca="false">IFERROR(E60/7_Financials!E11,0)</f>
        <v>0.50824662282064</v>
      </c>
      <c r="F62" s="17" t="n">
        <f aca="false">IFERROR(F60/7_Financials!F11,0)</f>
        <v>0.304908061848048</v>
      </c>
      <c r="G62" s="17" t="n">
        <f aca="false">IFERROR(G60/7_Financials!G11,0)</f>
        <v>0.21143150549212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H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6" activePane="bottomRight" state="frozen"/>
      <selection pane="topLeft" activeCell="A1" activeCellId="0" sqref="A1"/>
      <selection pane="topRight" activeCell="C1" activeCellId="0" sqref="C1"/>
      <selection pane="bottomLeft" activeCell="A56" activeCellId="0" sqref="A56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9"/>
    <col collapsed="false" customWidth="true" hidden="false" outlineLevel="0" max="7" min="3" style="1" width="13"/>
    <col collapsed="false" customWidth="true" hidden="false" outlineLevel="0" max="8" min="8" style="1" width="60"/>
  </cols>
  <sheetData>
    <row r="1" customFormat="false" ht="17.25" hidden="false" customHeight="true" outlineLevel="0" collapsed="false">
      <c r="A1" s="2" t="s">
        <v>749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750</v>
      </c>
    </row>
    <row r="3" customFormat="false" ht="15" hidden="false" customHeight="true" outlineLevel="0" collapsed="false">
      <c r="A3" s="15" t="s">
        <v>44</v>
      </c>
      <c r="B3" s="15" t="s">
        <v>42</v>
      </c>
      <c r="C3" s="15" t="str">
        <f aca="false">INDEX(Engine_Monthly!$D$10:$BK$10,1,12)</f>
        <v>FY27</v>
      </c>
      <c r="D3" s="15" t="str">
        <f aca="false">INDEX(Engine_Monthly!$D$10:$BK$10,1,24)</f>
        <v>FY28</v>
      </c>
      <c r="E3" s="15" t="str">
        <f aca="false">INDEX(Engine_Monthly!$D$10:$BK$10,1,36)</f>
        <v>FY29</v>
      </c>
      <c r="F3" s="15" t="str">
        <f aca="false">INDEX(Engine_Monthly!$D$10:$BK$10,1,48)</f>
        <v>FY30</v>
      </c>
      <c r="G3" s="15" t="str">
        <f aca="false">INDEX(Engine_Monthly!$D$10:$BK$10,1,60)</f>
        <v>FY31</v>
      </c>
    </row>
    <row r="4" customFormat="false" ht="15" hidden="false" customHeight="true" outlineLevel="0" collapsed="false">
      <c r="A4" s="4" t="s">
        <v>635</v>
      </c>
      <c r="C4" s="53" t="n">
        <v>1</v>
      </c>
      <c r="D4" s="53" t="n">
        <v>2</v>
      </c>
      <c r="E4" s="53" t="n">
        <v>3</v>
      </c>
      <c r="F4" s="53" t="n">
        <v>4</v>
      </c>
      <c r="G4" s="53" t="n">
        <v>5</v>
      </c>
    </row>
    <row r="6" customFormat="false" ht="15" hidden="false" customHeight="true" outlineLevel="0" collapsed="false">
      <c r="A6" s="10" t="s">
        <v>751</v>
      </c>
      <c r="B6" s="11"/>
      <c r="C6" s="11"/>
      <c r="D6" s="11"/>
      <c r="E6" s="11"/>
      <c r="F6" s="11"/>
      <c r="G6" s="11"/>
      <c r="H6" s="11"/>
    </row>
    <row r="7" customFormat="false" ht="15" hidden="false" customHeight="true" outlineLevel="0" collapsed="false">
      <c r="A7" s="12" t="s">
        <v>752</v>
      </c>
      <c r="B7" s="4" t="s">
        <v>44</v>
      </c>
      <c r="C7" s="16" t="n">
        <f aca="false">SUMIF(Engine_Monthly!$D$7:$BK$7,C$4,Engine_Monthly!$D$60:$BK$60)</f>
        <v>4.85835509008598</v>
      </c>
      <c r="D7" s="16" t="n">
        <f aca="false">SUMIF(Engine_Monthly!$D$7:$BK$7,D$4,Engine_Monthly!$D$60:$BK$60)</f>
        <v>187.885074385066</v>
      </c>
      <c r="E7" s="16" t="n">
        <f aca="false">SUMIF(Engine_Monthly!$D$7:$BK$7,E$4,Engine_Monthly!$D$60:$BK$60)</f>
        <v>1385.31029969027</v>
      </c>
      <c r="F7" s="16" t="n">
        <f aca="false">SUMIF(Engine_Monthly!$D$7:$BK$7,F$4,Engine_Monthly!$D$60:$BK$60)</f>
        <v>4773.93973353883</v>
      </c>
      <c r="G7" s="16" t="n">
        <f aca="false">SUMIF(Engine_Monthly!$D$7:$BK$7,G$4,Engine_Monthly!$D$60:$BK$60)</f>
        <v>11320.2833399539</v>
      </c>
    </row>
    <row r="8" customFormat="false" ht="15" hidden="false" customHeight="true" outlineLevel="0" collapsed="false">
      <c r="A8" s="12" t="s">
        <v>753</v>
      </c>
      <c r="B8" s="4" t="s">
        <v>44</v>
      </c>
      <c r="C8" s="16" t="n">
        <f aca="false">SUMIF(Engine_Monthly!$D$7:$BK$7,C$4,Engine_Monthly!$D$61:$BK$61)</f>
        <v>6.595875</v>
      </c>
      <c r="D8" s="16" t="n">
        <f aca="false">SUMIF(Engine_Monthly!$D$7:$BK$7,D$4,Engine_Monthly!$D$61:$BK$61)</f>
        <v>110.0331725724</v>
      </c>
      <c r="E8" s="16" t="n">
        <f aca="false">SUMIF(Engine_Monthly!$D$7:$BK$7,E$4,Engine_Monthly!$D$61:$BK$61)</f>
        <v>429.4382075676</v>
      </c>
      <c r="F8" s="16" t="n">
        <f aca="false">SUMIF(Engine_Monthly!$D$7:$BK$7,F$4,Engine_Monthly!$D$61:$BK$61)</f>
        <v>984.366709684281</v>
      </c>
      <c r="G8" s="16" t="n">
        <f aca="false">SUMIF(Engine_Monthly!$D$7:$BK$7,G$4,Engine_Monthly!$D$61:$BK$61)</f>
        <v>1672.03758691012</v>
      </c>
    </row>
    <row r="9" customFormat="false" ht="15" hidden="false" customHeight="true" outlineLevel="0" collapsed="false">
      <c r="A9" s="12" t="s">
        <v>754</v>
      </c>
      <c r="B9" s="4" t="s">
        <v>44</v>
      </c>
      <c r="C9" s="16" t="n">
        <f aca="false">SUMIF(Engine_Monthly!$D$7:$BK$7,C$4,Engine_Monthly!$D$62:$BK$62)+SUMIF(Engine_Monthly!$D$7:$BK$7,C$4,Engine_Monthly!$D$63:$BK$63)</f>
        <v>16.8145625</v>
      </c>
      <c r="D9" s="16" t="n">
        <f aca="false">SUMIF(Engine_Monthly!$D$7:$BK$7,D$4,Engine_Monthly!$D$62:$BK$62)+SUMIF(Engine_Monthly!$D$7:$BK$7,D$4,Engine_Monthly!$D$63:$BK$63)</f>
        <v>169.206608756</v>
      </c>
      <c r="E9" s="16" t="n">
        <f aca="false">SUMIF(Engine_Monthly!$D$7:$BK$7,E$4,Engine_Monthly!$D$62:$BK$62)+SUMIF(Engine_Monthly!$D$7:$BK$7,E$4,Engine_Monthly!$D$63:$BK$63)</f>
        <v>519.33964328</v>
      </c>
      <c r="F9" s="16" t="n">
        <f aca="false">SUMIF(Engine_Monthly!$D$7:$BK$7,F$4,Engine_Monthly!$D$62:$BK$62)+SUMIF(Engine_Monthly!$D$7:$BK$7,F$4,Engine_Monthly!$D$63:$BK$63)</f>
        <v>1024.796182316</v>
      </c>
      <c r="G9" s="16" t="n">
        <f aca="false">SUMIF(Engine_Monthly!$D$7:$BK$7,G$4,Engine_Monthly!$D$62:$BK$62)+SUMIF(Engine_Monthly!$D$7:$BK$7,G$4,Engine_Monthly!$D$63:$BK$63)</f>
        <v>1569.546908852</v>
      </c>
    </row>
    <row r="10" customFormat="false" ht="15" hidden="false" customHeight="true" outlineLevel="0" collapsed="false">
      <c r="A10" s="12" t="s">
        <v>755</v>
      </c>
      <c r="B10" s="4" t="s">
        <v>44</v>
      </c>
      <c r="C10" s="16" t="n">
        <f aca="false">SUMIF(Engine_Monthly!$D$7:$BK$7,C$4,Engine_Monthly!$D$64:$BK$64)</f>
        <v>0.368832242728407</v>
      </c>
      <c r="D10" s="16" t="n">
        <f aca="false">SUMIF(Engine_Monthly!$D$7:$BK$7,D$4,Engine_Monthly!$D$64:$BK$64)</f>
        <v>11.7201793860428</v>
      </c>
      <c r="E10" s="16" t="n">
        <f aca="false">SUMIF(Engine_Monthly!$D$7:$BK$7,E$4,Engine_Monthly!$D$64:$BK$64)</f>
        <v>77.0596528348753</v>
      </c>
      <c r="F10" s="16" t="n">
        <f aca="false">SUMIF(Engine_Monthly!$D$7:$BK$7,F$4,Engine_Monthly!$D$64:$BK$64)</f>
        <v>243.213596914274</v>
      </c>
      <c r="G10" s="16" t="n">
        <f aca="false">SUMIF(Engine_Monthly!$D$7:$BK$7,G$4,Engine_Monthly!$D$64:$BK$64)</f>
        <v>531.104132466704</v>
      </c>
      <c r="H10" s="4" t="s">
        <v>756</v>
      </c>
    </row>
    <row r="11" customFormat="false" ht="15" hidden="false" customHeight="true" outlineLevel="0" collapsed="false">
      <c r="A11" s="5" t="s">
        <v>667</v>
      </c>
      <c r="B11" s="4" t="s">
        <v>44</v>
      </c>
      <c r="C11" s="54" t="n">
        <f aca="false">C7+C8+C9+C10</f>
        <v>28.6376248328144</v>
      </c>
      <c r="D11" s="54" t="n">
        <f aca="false">D7+D8+D9+D10</f>
        <v>478.845035099508</v>
      </c>
      <c r="E11" s="54" t="n">
        <f aca="false">E7+E8+E9+E10</f>
        <v>2411.14780337274</v>
      </c>
      <c r="F11" s="54" t="n">
        <f aca="false">F7+F8+F9+F10</f>
        <v>7026.31622245338</v>
      </c>
      <c r="G11" s="54" t="n">
        <f aca="false">G7+G8+G9+G10</f>
        <v>15092.9719681828</v>
      </c>
    </row>
    <row r="12" customFormat="false" ht="15" hidden="false" customHeight="true" outlineLevel="0" collapsed="false">
      <c r="A12" s="12" t="s">
        <v>45</v>
      </c>
      <c r="B12" s="4" t="s">
        <v>46</v>
      </c>
      <c r="D12" s="17" t="n">
        <f aca="false">IFERROR(D11/C11-1,0)</f>
        <v>15.7208362388638</v>
      </c>
      <c r="E12" s="17" t="n">
        <f aca="false">IFERROR(E11/D11-1,0)</f>
        <v>4.03534051025857</v>
      </c>
      <c r="F12" s="17" t="n">
        <f aca="false">IFERROR(F11/E11-1,0)</f>
        <v>1.91409602207915</v>
      </c>
      <c r="G12" s="17" t="n">
        <f aca="false">IFERROR(G11/F11-1,0)</f>
        <v>1.14806329381412</v>
      </c>
    </row>
    <row r="13" customFormat="false" ht="15" hidden="false" customHeight="true" outlineLevel="0" collapsed="false">
      <c r="A13" s="12" t="s">
        <v>757</v>
      </c>
      <c r="B13" s="4" t="s">
        <v>44</v>
      </c>
      <c r="C13" s="16" t="n">
        <f aca="false">-SUMIF(Engine_Monthly!$D$7:$BK$7,C$4,Engine_Monthly!$D$85:$BK$85)</f>
        <v>-45.1319523979446</v>
      </c>
      <c r="D13" s="16" t="n">
        <f aca="false">-SUMIF(Engine_Monthly!$D$7:$BK$7,D$4,Engine_Monthly!$D$85:$BK$85)</f>
        <v>-261.699664754561</v>
      </c>
      <c r="E13" s="16" t="n">
        <f aca="false">-SUMIF(Engine_Monthly!$D$7:$BK$7,E$4,Engine_Monthly!$D$85:$BK$85)</f>
        <v>-830.896013722867</v>
      </c>
      <c r="F13" s="16" t="n">
        <f aca="false">-SUMIF(Engine_Monthly!$D$7:$BK$7,F$4,Engine_Monthly!$D$85:$BK$85)</f>
        <v>-1822.59325825297</v>
      </c>
      <c r="G13" s="16" t="n">
        <f aca="false">-SUMIF(Engine_Monthly!$D$7:$BK$7,G$4,Engine_Monthly!$D$85:$BK$85)</f>
        <v>-3115.74665238484</v>
      </c>
    </row>
    <row r="14" customFormat="false" ht="15" hidden="false" customHeight="true" outlineLevel="0" collapsed="false">
      <c r="A14" s="5" t="s">
        <v>758</v>
      </c>
      <c r="B14" s="4" t="s">
        <v>44</v>
      </c>
      <c r="C14" s="54" t="n">
        <f aca="false">C11+C13</f>
        <v>-16.4943275651303</v>
      </c>
      <c r="D14" s="54" t="n">
        <f aca="false">D11+D13</f>
        <v>217.145370344947</v>
      </c>
      <c r="E14" s="54" t="n">
        <f aca="false">E11+E13</f>
        <v>1580.25178964988</v>
      </c>
      <c r="F14" s="54" t="n">
        <f aca="false">F11+F13</f>
        <v>5203.72296420041</v>
      </c>
      <c r="G14" s="54" t="n">
        <f aca="false">G11+G13</f>
        <v>11977.2253157979</v>
      </c>
    </row>
    <row r="15" customFormat="false" ht="15" hidden="false" customHeight="true" outlineLevel="0" collapsed="false">
      <c r="A15" s="12" t="s">
        <v>52</v>
      </c>
      <c r="B15" s="4" t="s">
        <v>46</v>
      </c>
      <c r="C15" s="17" t="n">
        <f aca="false">IFERROR(C14/C11,0)</f>
        <v>-0.575967024549824</v>
      </c>
      <c r="D15" s="17" t="n">
        <f aca="false">IFERROR(D14/D11,0)</f>
        <v>0.453477334895667</v>
      </c>
      <c r="E15" s="17" t="n">
        <f aca="false">IFERROR(E14/E11,0)</f>
        <v>0.655393994279156</v>
      </c>
      <c r="F15" s="17" t="n">
        <f aca="false">IFERROR(F14/F11,0)</f>
        <v>0.740604720802535</v>
      </c>
      <c r="G15" s="17" t="n">
        <f aca="false">IFERROR(G14/G11,0)</f>
        <v>0.793563079627187</v>
      </c>
    </row>
    <row r="16" customFormat="false" ht="15" hidden="false" customHeight="true" outlineLevel="0" collapsed="false">
      <c r="A16" s="12" t="s">
        <v>733</v>
      </c>
      <c r="B16" s="4" t="s">
        <v>44</v>
      </c>
      <c r="C16" s="16" t="n">
        <f aca="false">-SUMIF(Engine_Monthly!$D$7:$BK$7,C$4,Engine_Monthly!$D$131:$BK$131)</f>
        <v>-69.8066666666667</v>
      </c>
      <c r="D16" s="16" t="n">
        <f aca="false">-SUMIF(Engine_Monthly!$D$7:$BK$7,D$4,Engine_Monthly!$D$131:$BK$131)</f>
        <v>-178.1892</v>
      </c>
      <c r="E16" s="16" t="n">
        <f aca="false">-SUMIF(Engine_Monthly!$D$7:$BK$7,E$4,Engine_Monthly!$D$131:$BK$131)</f>
        <v>-255.140928</v>
      </c>
      <c r="F16" s="16" t="n">
        <f aca="false">-SUMIF(Engine_Monthly!$D$7:$BK$7,F$4,Engine_Monthly!$D$131:$BK$131)</f>
        <v>-347.16205692</v>
      </c>
      <c r="G16" s="16" t="n">
        <f aca="false">-SUMIF(Engine_Monthly!$D$7:$BK$7,G$4,Engine_Monthly!$D$131:$BK$131)</f>
        <v>-486.1137824172</v>
      </c>
    </row>
    <row r="17" customFormat="false" ht="15" hidden="false" customHeight="true" outlineLevel="0" collapsed="false">
      <c r="A17" s="12" t="s">
        <v>739</v>
      </c>
      <c r="B17" s="4" t="s">
        <v>44</v>
      </c>
      <c r="C17" s="16" t="n">
        <f aca="false">-SUMIF(Engine_Monthly!$D$7:$BK$7,C$4,Engine_Monthly!$D$129:$BK$129)</f>
        <v>-72.354</v>
      </c>
      <c r="D17" s="16" t="n">
        <f aca="false">-SUMIF(Engine_Monthly!$D$7:$BK$7,D$4,Engine_Monthly!$D$129:$BK$129)</f>
        <v>-306.513515193</v>
      </c>
      <c r="E17" s="16" t="n">
        <f aca="false">-SUMIF(Engine_Monthly!$D$7:$BK$7,E$4,Engine_Monthly!$D$129:$BK$129)</f>
        <v>-812.2577801856</v>
      </c>
      <c r="F17" s="16" t="n">
        <f aca="false">-SUMIF(Engine_Monthly!$D$7:$BK$7,F$4,Engine_Monthly!$D$129:$BK$129)</f>
        <v>-1558.71949727976</v>
      </c>
      <c r="G17" s="16" t="n">
        <f aca="false">-SUMIF(Engine_Monthly!$D$7:$BK$7,G$4,Engine_Monthly!$D$129:$BK$129)</f>
        <v>-2385.41876367645</v>
      </c>
    </row>
    <row r="18" customFormat="false" ht="15" hidden="false" customHeight="true" outlineLevel="0" collapsed="false">
      <c r="A18" s="12" t="s">
        <v>745</v>
      </c>
      <c r="B18" s="4" t="s">
        <v>44</v>
      </c>
      <c r="C18" s="16" t="n">
        <f aca="false">-SUMIF(Engine_Monthly!$D$7:$BK$7,C$4,Engine_Monthly!$D$136:$BK$136)</f>
        <v>-44.68</v>
      </c>
      <c r="D18" s="16" t="n">
        <f aca="false">-SUMIF(Engine_Monthly!$D$7:$BK$7,D$4,Engine_Monthly!$D$136:$BK$136)</f>
        <v>-81.942</v>
      </c>
      <c r="E18" s="16" t="n">
        <f aca="false">-SUMIF(Engine_Monthly!$D$7:$BK$7,E$4,Engine_Monthly!$D$136:$BK$136)</f>
        <v>-158.05902</v>
      </c>
      <c r="F18" s="16" t="n">
        <f aca="false">-SUMIF(Engine_Monthly!$D$7:$BK$7,F$4,Engine_Monthly!$D$136:$BK$136)</f>
        <v>-236.49890712</v>
      </c>
      <c r="G18" s="16" t="n">
        <f aca="false">-SUMIF(Engine_Monthly!$D$7:$BK$7,G$4,Engine_Monthly!$D$136:$BK$136)</f>
        <v>-319.5972394896</v>
      </c>
    </row>
    <row r="19" customFormat="false" ht="15" hidden="false" customHeight="true" outlineLevel="0" collapsed="false">
      <c r="A19" s="5" t="s">
        <v>54</v>
      </c>
      <c r="B19" s="4" t="s">
        <v>44</v>
      </c>
      <c r="C19" s="54" t="n">
        <f aca="false">C14+C16+C17+C18</f>
        <v>-203.334994231797</v>
      </c>
      <c r="D19" s="54" t="n">
        <f aca="false">D14+D16+D17+D18</f>
        <v>-349.499344848053</v>
      </c>
      <c r="E19" s="54" t="n">
        <f aca="false">E14+E16+E17+E18</f>
        <v>354.794061464275</v>
      </c>
      <c r="F19" s="54" t="n">
        <f aca="false">F14+F16+F17+F18</f>
        <v>3061.34250288065</v>
      </c>
      <c r="G19" s="54" t="n">
        <f aca="false">G14+G16+G17+G18</f>
        <v>8786.09553021468</v>
      </c>
    </row>
    <row r="20" customFormat="false" ht="15" hidden="false" customHeight="true" outlineLevel="0" collapsed="false">
      <c r="A20" s="12" t="s">
        <v>55</v>
      </c>
      <c r="B20" s="4" t="s">
        <v>46</v>
      </c>
      <c r="C20" s="17" t="n">
        <f aca="false">IFERROR(C19/C11,0)</f>
        <v>-7.10027439142948</v>
      </c>
      <c r="D20" s="17" t="n">
        <f aca="false">IFERROR(D19/D11,0)</f>
        <v>-0.7298798551298</v>
      </c>
      <c r="E20" s="17" t="n">
        <f aca="false">IFERROR(E19/E11,0)</f>
        <v>0.147147371458517</v>
      </c>
      <c r="F20" s="17" t="n">
        <f aca="false">IFERROR(F19/F11,0)</f>
        <v>0.435696658954487</v>
      </c>
      <c r="G20" s="17" t="n">
        <f aca="false">IFERROR(G19/G11,0)</f>
        <v>0.582131574135068</v>
      </c>
    </row>
    <row r="21" customFormat="false" ht="15" hidden="false" customHeight="true" outlineLevel="0" collapsed="false">
      <c r="A21" s="12" t="s">
        <v>759</v>
      </c>
      <c r="B21" s="4" t="s">
        <v>44</v>
      </c>
      <c r="C21" s="16" t="n">
        <f aca="false">-SUMIF(Engine_Monthly!$D$7:$BK$7,C$4,Engine_Monthly!$D$142:$BK$142)</f>
        <v>-6.17777777777778</v>
      </c>
      <c r="D21" s="16" t="n">
        <f aca="false">-SUMIF(Engine_Monthly!$D$7:$BK$7,D$4,Engine_Monthly!$D$142:$BK$142)</f>
        <v>-12.5</v>
      </c>
      <c r="E21" s="16" t="n">
        <f aca="false">-SUMIF(Engine_Monthly!$D$7:$BK$7,E$4,Engine_Monthly!$D$142:$BK$142)</f>
        <v>-21.3666666666667</v>
      </c>
      <c r="F21" s="16" t="n">
        <f aca="false">-SUMIF(Engine_Monthly!$D$7:$BK$7,F$4,Engine_Monthly!$D$142:$BK$142)</f>
        <v>-28.0222222222222</v>
      </c>
      <c r="G21" s="16" t="n">
        <f aca="false">-SUMIF(Engine_Monthly!$D$7:$BK$7,G$4,Engine_Monthly!$D$142:$BK$142)</f>
        <v>-36.9666666666667</v>
      </c>
    </row>
    <row r="22" customFormat="false" ht="15" hidden="false" customHeight="true" outlineLevel="0" collapsed="false">
      <c r="A22" s="5" t="s">
        <v>760</v>
      </c>
      <c r="B22" s="4" t="s">
        <v>44</v>
      </c>
      <c r="C22" s="54" t="n">
        <f aca="false">C19+C21</f>
        <v>-209.512772009575</v>
      </c>
      <c r="D22" s="54" t="n">
        <f aca="false">D19+D21</f>
        <v>-361.999344848053</v>
      </c>
      <c r="E22" s="54" t="n">
        <f aca="false">E19+E21</f>
        <v>333.427394797609</v>
      </c>
      <c r="F22" s="54" t="n">
        <f aca="false">F19+F21</f>
        <v>3033.32028065843</v>
      </c>
      <c r="G22" s="54" t="n">
        <f aca="false">G19+G21</f>
        <v>8749.12886354802</v>
      </c>
    </row>
    <row r="23" customFormat="false" ht="15" hidden="false" customHeight="true" outlineLevel="0" collapsed="false">
      <c r="A23" s="12" t="s">
        <v>761</v>
      </c>
      <c r="B23" s="4" t="s">
        <v>44</v>
      </c>
      <c r="C23" s="16" t="n">
        <f aca="false">-SUMIF(Engine_Monthly!$D$7:$BK$7,C$4,Engine_Monthly!$D$147:$BK$147)+SUMIF(Engine_Monthly!$D$7:$BK$7,C$4,Engine_Monthly!$D$148:$BK$148)</f>
        <v>0</v>
      </c>
      <c r="D23" s="16" t="n">
        <f aca="false">-SUMIF(Engine_Monthly!$D$7:$BK$7,D$4,Engine_Monthly!$D$147:$BK$147)+SUMIF(Engine_Monthly!$D$7:$BK$7,D$4,Engine_Monthly!$D$148:$BK$148)</f>
        <v>0</v>
      </c>
      <c r="E23" s="16" t="n">
        <f aca="false">-SUMIF(Engine_Monthly!$D$7:$BK$7,E$4,Engine_Monthly!$D$147:$BK$147)+SUMIF(Engine_Monthly!$D$7:$BK$7,E$4,Engine_Monthly!$D$148:$BK$148)</f>
        <v>0</v>
      </c>
      <c r="F23" s="16" t="n">
        <f aca="false">-SUMIF(Engine_Monthly!$D$7:$BK$7,F$4,Engine_Monthly!$D$147:$BK$147)+SUMIF(Engine_Monthly!$D$7:$BK$7,F$4,Engine_Monthly!$D$148:$BK$148)</f>
        <v>0</v>
      </c>
      <c r="G23" s="16" t="n">
        <f aca="false">-SUMIF(Engine_Monthly!$D$7:$BK$7,G$4,Engine_Monthly!$D$147:$BK$147)+SUMIF(Engine_Monthly!$D$7:$BK$7,G$4,Engine_Monthly!$D$148:$BK$148)</f>
        <v>0</v>
      </c>
    </row>
    <row r="24" customFormat="false" ht="15" hidden="false" customHeight="true" outlineLevel="0" collapsed="false">
      <c r="A24" s="5" t="s">
        <v>762</v>
      </c>
      <c r="B24" s="4" t="s">
        <v>44</v>
      </c>
      <c r="C24" s="52" t="n">
        <f aca="false">C22+C23</f>
        <v>-209.512772009575</v>
      </c>
      <c r="D24" s="52" t="n">
        <f aca="false">D22+D23</f>
        <v>-361.999344848053</v>
      </c>
      <c r="E24" s="52" t="n">
        <f aca="false">E22+E23</f>
        <v>333.427394797609</v>
      </c>
      <c r="F24" s="52" t="n">
        <f aca="false">F22+F23</f>
        <v>3033.32028065843</v>
      </c>
      <c r="G24" s="52" t="n">
        <f aca="false">G22+G23</f>
        <v>8749.12886354802</v>
      </c>
    </row>
    <row r="25" customFormat="false" ht="15" hidden="false" customHeight="true" outlineLevel="0" collapsed="false">
      <c r="A25" s="12" t="s">
        <v>763</v>
      </c>
      <c r="B25" s="4" t="s">
        <v>44</v>
      </c>
      <c r="C25" s="16" t="n">
        <f aca="false">-SUMIF(Engine_Monthly!$D$7:$BK$7,C$4,Engine_Monthly!$D$151:$BK$151)</f>
        <v>-0</v>
      </c>
      <c r="D25" s="16" t="n">
        <f aca="false">-SUMIF(Engine_Monthly!$D$7:$BK$7,D$4,Engine_Monthly!$D$151:$BK$151)</f>
        <v>-0</v>
      </c>
      <c r="E25" s="16" t="n">
        <f aca="false">-SUMIF(Engine_Monthly!$D$7:$BK$7,E$4,Engine_Monthly!$D$151:$BK$151)</f>
        <v>-0</v>
      </c>
      <c r="F25" s="16" t="n">
        <f aca="false">-SUMIF(Engine_Monthly!$D$7:$BK$7,F$4,Engine_Monthly!$D$151:$BK$151)</f>
        <v>-703.504885388048</v>
      </c>
      <c r="G25" s="16" t="n">
        <f aca="false">-SUMIF(Engine_Monthly!$D$7:$BK$7,G$4,Engine_Monthly!$D$151:$BK$151)</f>
        <v>-2201.98075237776</v>
      </c>
      <c r="H25" s="4" t="s">
        <v>764</v>
      </c>
    </row>
    <row r="26" customFormat="false" ht="15" hidden="false" customHeight="true" outlineLevel="0" collapsed="false">
      <c r="A26" s="5" t="s">
        <v>765</v>
      </c>
      <c r="B26" s="4" t="s">
        <v>44</v>
      </c>
      <c r="C26" s="54" t="n">
        <f aca="false">C24+C25</f>
        <v>-209.512772009575</v>
      </c>
      <c r="D26" s="54" t="n">
        <f aca="false">D24+D25</f>
        <v>-361.999344848053</v>
      </c>
      <c r="E26" s="54" t="n">
        <f aca="false">E24+E25</f>
        <v>333.427394797609</v>
      </c>
      <c r="F26" s="54" t="n">
        <f aca="false">F24+F25</f>
        <v>2329.81539527038</v>
      </c>
      <c r="G26" s="54" t="n">
        <f aca="false">G24+G25</f>
        <v>6547.14811117025</v>
      </c>
    </row>
    <row r="27" customFormat="false" ht="15" hidden="false" customHeight="true" outlineLevel="0" collapsed="false"/>
    <row r="28" customFormat="false" ht="15" hidden="false" customHeight="true" outlineLevel="0" collapsed="false">
      <c r="A28" s="10" t="s">
        <v>766</v>
      </c>
      <c r="B28" s="11"/>
      <c r="C28" s="11"/>
      <c r="D28" s="11"/>
      <c r="E28" s="11"/>
      <c r="F28" s="11"/>
      <c r="G28" s="11"/>
      <c r="H28" s="11"/>
    </row>
    <row r="29" customFormat="false" ht="15" hidden="false" customHeight="true" outlineLevel="0" collapsed="false">
      <c r="A29" s="12" t="s">
        <v>54</v>
      </c>
      <c r="B29" s="4" t="s">
        <v>44</v>
      </c>
      <c r="C29" s="16" t="n">
        <f aca="false">C19</f>
        <v>-203.334994231797</v>
      </c>
      <c r="D29" s="16" t="n">
        <f aca="false">D19</f>
        <v>-349.499344848053</v>
      </c>
      <c r="E29" s="16" t="n">
        <f aca="false">E19</f>
        <v>354.794061464275</v>
      </c>
      <c r="F29" s="16" t="n">
        <f aca="false">F19</f>
        <v>3061.34250288065</v>
      </c>
      <c r="G29" s="16" t="n">
        <f aca="false">G19</f>
        <v>8786.09553021468</v>
      </c>
    </row>
    <row r="30" customFormat="false" ht="15" hidden="false" customHeight="true" outlineLevel="0" collapsed="false">
      <c r="A30" s="12" t="s">
        <v>767</v>
      </c>
      <c r="B30" s="4" t="s">
        <v>44</v>
      </c>
      <c r="C30" s="16" t="n">
        <f aca="false">(INDEX(Engine_Monthly!$D$158:$BK$158,1,C$4*12)-IF(C$4=1,0,INDEX(Engine_Monthly!$D$158:$BK$158,1,(C$4-1)*12)))+(INDEX(Engine_Monthly!$D$155:$BK$155,1,C$4*12)-IF(C$4=1,0,INDEX(Engine_Monthly!$D$155:$BK$155,1,(C$4-1)*12)))-(INDEX(Engine_Monthly!$D$157:$BK$157,1,C$4*12)-IF(C$4=1,0,INDEX(Engine_Monthly!$D$157:$BK$157,1,(C$4-1)*12)))</f>
        <v>2.72888142720782</v>
      </c>
      <c r="D30" s="16" t="n">
        <f aca="false">(INDEX(Engine_Monthly!$D$158:$BK$158,1,D$4*12)-IF(D$4=1,0,INDEX(Engine_Monthly!$D$158:$BK$158,1,(D$4-1)*12)))+(INDEX(Engine_Monthly!$D$155:$BK$155,1,D$4*12)-IF(D$4=1,0,INDEX(Engine_Monthly!$D$155:$BK$155,1,(D$4-1)*12)))-(INDEX(Engine_Monthly!$D$157:$BK$157,1,D$4*12)-IF(D$4=1,0,INDEX(Engine_Monthly!$D$157:$BK$157,1,(D$4-1)*12)))</f>
        <v>-28.6026382535269</v>
      </c>
      <c r="E30" s="16" t="n">
        <f aca="false">(INDEX(Engine_Monthly!$D$158:$BK$158,1,E$4*12)-IF(E$4=1,0,INDEX(Engine_Monthly!$D$158:$BK$158,1,(E$4-1)*12)))+(INDEX(Engine_Monthly!$D$155:$BK$155,1,E$4*12)-IF(E$4=1,0,INDEX(Engine_Monthly!$D$155:$BK$155,1,(E$4-1)*12)))-(INDEX(Engine_Monthly!$D$157:$BK$157,1,E$4*12)-IF(E$4=1,0,INDEX(Engine_Monthly!$D$157:$BK$157,1,(E$4-1)*12)))</f>
        <v>-58.9732211969285</v>
      </c>
      <c r="F30" s="16" t="n">
        <f aca="false">(INDEX(Engine_Monthly!$D$158:$BK$158,1,F$4*12)-IF(F$4=1,0,INDEX(Engine_Monthly!$D$158:$BK$158,1,(F$4-1)*12)))+(INDEX(Engine_Monthly!$D$155:$BK$155,1,F$4*12)-IF(F$4=1,0,INDEX(Engine_Monthly!$D$155:$BK$155,1,(F$4-1)*12)))-(INDEX(Engine_Monthly!$D$157:$BK$157,1,F$4*12)-IF(F$4=1,0,INDEX(Engine_Monthly!$D$157:$BK$157,1,(F$4-1)*12)))</f>
        <v>-84.4401334991477</v>
      </c>
      <c r="G30" s="16" t="n">
        <f aca="false">(INDEX(Engine_Monthly!$D$158:$BK$158,1,G$4*12)-IF(G$4=1,0,INDEX(Engine_Monthly!$D$158:$BK$158,1,(G$4-1)*12)))+(INDEX(Engine_Monthly!$D$155:$BK$155,1,G$4*12)-IF(G$4=1,0,INDEX(Engine_Monthly!$D$155:$BK$155,1,(G$4-1)*12)))-(INDEX(Engine_Monthly!$D$157:$BK$157,1,G$4*12)-IF(G$4=1,0,INDEX(Engine_Monthly!$D$157:$BK$157,1,(G$4-1)*12)))</f>
        <v>-96.0547543676257</v>
      </c>
    </row>
    <row r="31" customFormat="false" ht="15" hidden="false" customHeight="true" outlineLevel="0" collapsed="false">
      <c r="A31" s="12" t="s">
        <v>768</v>
      </c>
      <c r="B31" s="4" t="s">
        <v>44</v>
      </c>
      <c r="C31" s="16" t="n">
        <f aca="false">C23</f>
        <v>0</v>
      </c>
      <c r="D31" s="16" t="n">
        <f aca="false">D23</f>
        <v>0</v>
      </c>
      <c r="E31" s="16" t="n">
        <f aca="false">E23</f>
        <v>0</v>
      </c>
      <c r="F31" s="16" t="n">
        <f aca="false">F23</f>
        <v>0</v>
      </c>
      <c r="G31" s="16" t="n">
        <f aca="false">G23</f>
        <v>0</v>
      </c>
    </row>
    <row r="32" customFormat="false" ht="15" hidden="false" customHeight="true" outlineLevel="0" collapsed="false">
      <c r="A32" s="12" t="s">
        <v>769</v>
      </c>
      <c r="B32" s="4" t="s">
        <v>44</v>
      </c>
      <c r="C32" s="16" t="n">
        <f aca="false">C25</f>
        <v>-0</v>
      </c>
      <c r="D32" s="16" t="n">
        <f aca="false">D25</f>
        <v>-0</v>
      </c>
      <c r="E32" s="16" t="n">
        <f aca="false">E25</f>
        <v>-0</v>
      </c>
      <c r="F32" s="16" t="n">
        <f aca="false">F25</f>
        <v>-703.504885388048</v>
      </c>
      <c r="G32" s="16" t="n">
        <f aca="false">G25</f>
        <v>-2201.98075237776</v>
      </c>
    </row>
    <row r="33" customFormat="false" ht="15" hidden="false" customHeight="true" outlineLevel="0" collapsed="false">
      <c r="A33" s="5" t="s">
        <v>770</v>
      </c>
      <c r="B33" s="4" t="s">
        <v>44</v>
      </c>
      <c r="C33" s="54" t="n">
        <f aca="false">SUM(C29:C32)</f>
        <v>-200.606112804589</v>
      </c>
      <c r="D33" s="54" t="n">
        <f aca="false">SUM(D29:D32)</f>
        <v>-378.10198310158</v>
      </c>
      <c r="E33" s="54" t="n">
        <f aca="false">SUM(E29:E32)</f>
        <v>295.820840267347</v>
      </c>
      <c r="F33" s="54" t="n">
        <f aca="false">SUM(F29:F32)</f>
        <v>2273.39748399346</v>
      </c>
      <c r="G33" s="54" t="n">
        <f aca="false">SUM(G29:G32)</f>
        <v>6488.06002346929</v>
      </c>
    </row>
    <row r="34" customFormat="false" ht="15" hidden="false" customHeight="true" outlineLevel="0" collapsed="false">
      <c r="A34" s="12" t="s">
        <v>771</v>
      </c>
      <c r="B34" s="4" t="s">
        <v>44</v>
      </c>
      <c r="C34" s="16" t="n">
        <f aca="false">-SUMIF(Engine_Monthly!$D$7:$BK$7,C$4,Engine_Monthly!$D$141:$BK$141)</f>
        <v>-23.2</v>
      </c>
      <c r="D34" s="16" t="n">
        <f aca="false">-SUMIF(Engine_Monthly!$D$7:$BK$7,D$4,Engine_Monthly!$D$141:$BK$141)</f>
        <v>-16.8</v>
      </c>
      <c r="E34" s="16" t="n">
        <f aca="false">-SUMIF(Engine_Monthly!$D$7:$BK$7,E$4,Engine_Monthly!$D$141:$BK$141)</f>
        <v>-33.6</v>
      </c>
      <c r="F34" s="16" t="n">
        <f aca="false">-SUMIF(Engine_Monthly!$D$7:$BK$7,F$4,Engine_Monthly!$D$141:$BK$141)</f>
        <v>-42</v>
      </c>
      <c r="G34" s="16" t="n">
        <f aca="false">-SUMIF(Engine_Monthly!$D$7:$BK$7,G$4,Engine_Monthly!$D$141:$BK$141)</f>
        <v>-48</v>
      </c>
    </row>
    <row r="35" customFormat="false" ht="15" hidden="false" customHeight="true" outlineLevel="0" collapsed="false">
      <c r="A35" s="12" t="s">
        <v>772</v>
      </c>
      <c r="B35" s="4" t="s">
        <v>44</v>
      </c>
      <c r="C35" s="16" t="n">
        <f aca="false">0</f>
        <v>0</v>
      </c>
      <c r="D35" s="16" t="n">
        <f aca="false">0</f>
        <v>0</v>
      </c>
      <c r="E35" s="16" t="n">
        <f aca="false">0</f>
        <v>0</v>
      </c>
      <c r="F35" s="16" t="n">
        <f aca="false">0</f>
        <v>0</v>
      </c>
      <c r="G35" s="16" t="n">
        <f aca="false">0</f>
        <v>0</v>
      </c>
      <c r="H35" s="4" t="s">
        <v>773</v>
      </c>
    </row>
    <row r="36" customFormat="false" ht="15" hidden="false" customHeight="true" outlineLevel="0" collapsed="false">
      <c r="A36" s="5" t="s">
        <v>774</v>
      </c>
      <c r="B36" s="4" t="s">
        <v>44</v>
      </c>
      <c r="C36" s="52" t="n">
        <f aca="false">C34+C35</f>
        <v>-23.2</v>
      </c>
      <c r="D36" s="52" t="n">
        <f aca="false">D34+D35</f>
        <v>-16.8</v>
      </c>
      <c r="E36" s="52" t="n">
        <f aca="false">E34+E35</f>
        <v>-33.6</v>
      </c>
      <c r="F36" s="52" t="n">
        <f aca="false">F34+F35</f>
        <v>-42</v>
      </c>
      <c r="G36" s="52" t="n">
        <f aca="false">G34+G35</f>
        <v>-48</v>
      </c>
    </row>
    <row r="37" customFormat="false" ht="15" hidden="false" customHeight="true" outlineLevel="0" collapsed="false">
      <c r="A37" s="12" t="s">
        <v>775</v>
      </c>
      <c r="B37" s="4" t="s">
        <v>44</v>
      </c>
      <c r="C37" s="16" t="n">
        <f aca="false">SUMIF(Engine_Monthly!$D$7:$BK$7,C$4,Engine_Monthly!$D$161:$BK$161)</f>
        <v>900</v>
      </c>
      <c r="D37" s="16" t="n">
        <f aca="false">SUMIF(Engine_Monthly!$D$7:$BK$7,D$4,Engine_Monthly!$D$161:$BK$161)</f>
        <v>900</v>
      </c>
      <c r="E37" s="16" t="n">
        <f aca="false">SUMIF(Engine_Monthly!$D$7:$BK$7,E$4,Engine_Monthly!$D$161:$BK$161)</f>
        <v>0</v>
      </c>
      <c r="F37" s="16" t="n">
        <f aca="false">SUMIF(Engine_Monthly!$D$7:$BK$7,F$4,Engine_Monthly!$D$161:$BK$161)</f>
        <v>0</v>
      </c>
      <c r="G37" s="16" t="n">
        <f aca="false">SUMIF(Engine_Monthly!$D$7:$BK$7,G$4,Engine_Monthly!$D$161:$BK$161)</f>
        <v>0</v>
      </c>
    </row>
    <row r="38" customFormat="false" ht="15" hidden="false" customHeight="true" outlineLevel="0" collapsed="false">
      <c r="A38" s="12" t="s">
        <v>776</v>
      </c>
      <c r="B38" s="4" t="s">
        <v>44</v>
      </c>
      <c r="C38" s="16" t="n">
        <f aca="false">SUMIF(Engine_Monthly!$D$7:$BK$7,C$4,Engine_Monthly!$D$144:$BK$144)</f>
        <v>0</v>
      </c>
      <c r="D38" s="16" t="n">
        <f aca="false">SUMIF(Engine_Monthly!$D$7:$BK$7,D$4,Engine_Monthly!$D$144:$BK$144)</f>
        <v>0</v>
      </c>
      <c r="E38" s="16" t="n">
        <f aca="false">SUMIF(Engine_Monthly!$D$7:$BK$7,E$4,Engine_Monthly!$D$144:$BK$144)</f>
        <v>0</v>
      </c>
      <c r="F38" s="16" t="n">
        <f aca="false">SUMIF(Engine_Monthly!$D$7:$BK$7,F$4,Engine_Monthly!$D$144:$BK$144)</f>
        <v>0</v>
      </c>
      <c r="G38" s="16" t="n">
        <f aca="false">SUMIF(Engine_Monthly!$D$7:$BK$7,G$4,Engine_Monthly!$D$144:$BK$144)</f>
        <v>0</v>
      </c>
    </row>
    <row r="39" customFormat="false" ht="15" hidden="false" customHeight="true" outlineLevel="0" collapsed="false">
      <c r="A39" s="12" t="s">
        <v>777</v>
      </c>
      <c r="B39" s="4" t="s">
        <v>44</v>
      </c>
      <c r="C39" s="16" t="n">
        <f aca="false">-SUMIF(Engine_Monthly!$D$7:$BK$7,C$4,Engine_Monthly!$D$145:$BK$145)</f>
        <v>-0</v>
      </c>
      <c r="D39" s="16" t="n">
        <f aca="false">-SUMIF(Engine_Monthly!$D$7:$BK$7,D$4,Engine_Monthly!$D$145:$BK$145)</f>
        <v>-0</v>
      </c>
      <c r="E39" s="16" t="n">
        <f aca="false">-SUMIF(Engine_Monthly!$D$7:$BK$7,E$4,Engine_Monthly!$D$145:$BK$145)</f>
        <v>-0</v>
      </c>
      <c r="F39" s="16" t="n">
        <f aca="false">-SUMIF(Engine_Monthly!$D$7:$BK$7,F$4,Engine_Monthly!$D$145:$BK$145)</f>
        <v>-0</v>
      </c>
      <c r="G39" s="16" t="n">
        <f aca="false">-SUMIF(Engine_Monthly!$D$7:$BK$7,G$4,Engine_Monthly!$D$145:$BK$145)</f>
        <v>-0</v>
      </c>
    </row>
    <row r="40" customFormat="false" ht="15" hidden="false" customHeight="true" outlineLevel="0" collapsed="false">
      <c r="A40" s="5" t="s">
        <v>778</v>
      </c>
      <c r="B40" s="4" t="s">
        <v>44</v>
      </c>
      <c r="C40" s="52" t="n">
        <f aca="false">SUM(C37:C39)</f>
        <v>900</v>
      </c>
      <c r="D40" s="52" t="n">
        <f aca="false">SUM(D37:D39)</f>
        <v>900</v>
      </c>
      <c r="E40" s="52" t="n">
        <f aca="false">SUM(E37:E39)</f>
        <v>0</v>
      </c>
      <c r="F40" s="52" t="n">
        <f aca="false">SUM(F37:F39)</f>
        <v>0</v>
      </c>
      <c r="G40" s="52" t="n">
        <f aca="false">SUM(G37:G39)</f>
        <v>0</v>
      </c>
    </row>
    <row r="41" customFormat="false" ht="15" hidden="false" customHeight="true" outlineLevel="0" collapsed="false">
      <c r="A41" s="5" t="s">
        <v>779</v>
      </c>
      <c r="B41" s="4" t="s">
        <v>44</v>
      </c>
      <c r="C41" s="54" t="n">
        <f aca="false">C33+C36+C40</f>
        <v>676.193887195411</v>
      </c>
      <c r="D41" s="54" t="n">
        <f aca="false">D33+D36+D40</f>
        <v>505.09801689842</v>
      </c>
      <c r="E41" s="54" t="n">
        <f aca="false">E33+E36+E40</f>
        <v>262.220840267347</v>
      </c>
      <c r="F41" s="54" t="n">
        <f aca="false">F33+F36+F40</f>
        <v>2231.39748399346</v>
      </c>
      <c r="G41" s="54" t="n">
        <f aca="false">G33+G36+G40</f>
        <v>6440.06002346929</v>
      </c>
    </row>
    <row r="42" customFormat="false" ht="15" hidden="false" customHeight="true" outlineLevel="0" collapsed="false">
      <c r="A42" s="12" t="s">
        <v>780</v>
      </c>
      <c r="B42" s="4" t="s">
        <v>44</v>
      </c>
      <c r="C42" s="16" t="n">
        <f aca="false">0</f>
        <v>0</v>
      </c>
      <c r="D42" s="16" t="n">
        <f aca="false">C43</f>
        <v>676.193887195411</v>
      </c>
      <c r="E42" s="16" t="n">
        <f aca="false">D43</f>
        <v>1181.29190409383</v>
      </c>
      <c r="F42" s="16" t="n">
        <f aca="false">E43</f>
        <v>1443.51274436118</v>
      </c>
      <c r="G42" s="16" t="n">
        <f aca="false">F43</f>
        <v>3674.91022835463</v>
      </c>
    </row>
    <row r="43" customFormat="false" ht="15" hidden="false" customHeight="true" outlineLevel="0" collapsed="false">
      <c r="A43" s="5" t="s">
        <v>57</v>
      </c>
      <c r="B43" s="4" t="s">
        <v>44</v>
      </c>
      <c r="C43" s="54" t="n">
        <f aca="false">C42+C41</f>
        <v>676.193887195411</v>
      </c>
      <c r="D43" s="54" t="n">
        <f aca="false">D42+D41</f>
        <v>1181.29190409383</v>
      </c>
      <c r="E43" s="54" t="n">
        <f aca="false">E42+E41</f>
        <v>1443.51274436118</v>
      </c>
      <c r="F43" s="54" t="n">
        <f aca="false">F42+F41</f>
        <v>3674.91022835463</v>
      </c>
      <c r="G43" s="54" t="n">
        <f aca="false">G42+G41</f>
        <v>10114.9702518239</v>
      </c>
    </row>
    <row r="44" customFormat="false" ht="15" hidden="false" customHeight="true" outlineLevel="0" collapsed="false">
      <c r="A44" s="12" t="s">
        <v>781</v>
      </c>
      <c r="B44" s="4" t="s">
        <v>44</v>
      </c>
      <c r="C44" s="18" t="n">
        <f aca="false">ROUND(C43-INDEX(Engine_Monthly!$D$165:$BK$165,1,C$4*12),3)</f>
        <v>0</v>
      </c>
      <c r="D44" s="18" t="n">
        <f aca="false">ROUND(D43-INDEX(Engine_Monthly!$D$165:$BK$165,1,D$4*12),3)</f>
        <v>0</v>
      </c>
      <c r="E44" s="18" t="n">
        <f aca="false">ROUND(E43-INDEX(Engine_Monthly!$D$165:$BK$165,1,E$4*12),3)</f>
        <v>0</v>
      </c>
      <c r="F44" s="18" t="n">
        <f aca="false">ROUND(F43-INDEX(Engine_Monthly!$D$165:$BK$165,1,F$4*12),3)</f>
        <v>0</v>
      </c>
      <c r="G44" s="18" t="n">
        <f aca="false">ROUND(G43-INDEX(Engine_Monthly!$D$165:$BK$165,1,G$4*12),3)</f>
        <v>0</v>
      </c>
    </row>
    <row r="45" customFormat="false" ht="15" hidden="false" customHeight="true" outlineLevel="0" collapsed="false"/>
    <row r="46" customFormat="false" ht="15" hidden="false" customHeight="true" outlineLevel="0" collapsed="false">
      <c r="A46" s="10" t="s">
        <v>782</v>
      </c>
      <c r="B46" s="11"/>
      <c r="C46" s="11"/>
      <c r="D46" s="11"/>
      <c r="E46" s="11"/>
      <c r="F46" s="11"/>
      <c r="G46" s="11"/>
      <c r="H46" s="11"/>
    </row>
    <row r="47" customFormat="false" ht="15" hidden="false" customHeight="true" outlineLevel="0" collapsed="false">
      <c r="A47" s="12" t="s">
        <v>783</v>
      </c>
      <c r="B47" s="4" t="s">
        <v>44</v>
      </c>
      <c r="C47" s="16" t="n">
        <f aca="false">INDEX(Engine_Monthly!$D$165:$BK$165,1,C$4*12)</f>
        <v>676.193887195411</v>
      </c>
      <c r="D47" s="16" t="n">
        <f aca="false">INDEX(Engine_Monthly!$D$165:$BK$165,1,D$4*12)</f>
        <v>1181.29190409383</v>
      </c>
      <c r="E47" s="16" t="n">
        <f aca="false">INDEX(Engine_Monthly!$D$165:$BK$165,1,E$4*12)</f>
        <v>1443.51274436118</v>
      </c>
      <c r="F47" s="16" t="n">
        <f aca="false">INDEX(Engine_Monthly!$D$165:$BK$165,1,F$4*12)</f>
        <v>3674.91022835464</v>
      </c>
      <c r="G47" s="16" t="n">
        <f aca="false">INDEX(Engine_Monthly!$D$165:$BK$165,1,G$4*12)</f>
        <v>10114.9702518239</v>
      </c>
    </row>
    <row r="48" customFormat="false" ht="15" hidden="false" customHeight="true" outlineLevel="0" collapsed="false">
      <c r="A48" s="12" t="s">
        <v>784</v>
      </c>
      <c r="B48" s="4" t="s">
        <v>44</v>
      </c>
      <c r="C48" s="16" t="n">
        <f aca="false">INDEX(Engine_Monthly!$D$157:$BK$157,1,C$4*12)</f>
        <v>13.7990774520298</v>
      </c>
      <c r="D48" s="16" t="n">
        <f aca="false">INDEX(Engine_Monthly!$D$157:$BK$157,1,D$4*12)</f>
        <v>154.202084033177</v>
      </c>
      <c r="E48" s="16" t="n">
        <f aca="false">INDEX(Engine_Monthly!$D$157:$BK$157,1,E$4*12)</f>
        <v>565.34439949796</v>
      </c>
      <c r="F48" s="16" t="n">
        <f aca="false">INDEX(Engine_Monthly!$D$157:$BK$157,1,F$4*12)</f>
        <v>1373.43591122962</v>
      </c>
      <c r="G48" s="16" t="n">
        <f aca="false">INDEX(Engine_Monthly!$D$157:$BK$157,1,G$4*12)</f>
        <v>2643.93582587112</v>
      </c>
    </row>
    <row r="49" customFormat="false" ht="15" hidden="false" customHeight="true" outlineLevel="0" collapsed="false">
      <c r="A49" s="12" t="s">
        <v>785</v>
      </c>
      <c r="B49" s="4" t="s">
        <v>44</v>
      </c>
      <c r="C49" s="16" t="n">
        <f aca="false">0</f>
        <v>0</v>
      </c>
      <c r="D49" s="16" t="n">
        <f aca="false">0</f>
        <v>0</v>
      </c>
      <c r="E49" s="16" t="n">
        <f aca="false">0</f>
        <v>0</v>
      </c>
      <c r="F49" s="16" t="n">
        <f aca="false">0</f>
        <v>0</v>
      </c>
      <c r="G49" s="16" t="n">
        <f aca="false">0</f>
        <v>0</v>
      </c>
      <c r="H49" s="4" t="s">
        <v>786</v>
      </c>
    </row>
    <row r="50" customFormat="false" ht="15" hidden="false" customHeight="true" outlineLevel="0" collapsed="false">
      <c r="A50" s="12" t="s">
        <v>787</v>
      </c>
      <c r="B50" s="4" t="s">
        <v>44</v>
      </c>
      <c r="C50" s="16" t="n">
        <f aca="false">INDEX(Engine_Monthly!$D$168:$BK$168,1,C$4*12)</f>
        <v>17.0222222222222</v>
      </c>
      <c r="D50" s="16" t="n">
        <f aca="false">INDEX(Engine_Monthly!$D$168:$BK$168,1,D$4*12)</f>
        <v>21.3222222222222</v>
      </c>
      <c r="E50" s="16" t="n">
        <f aca="false">INDEX(Engine_Monthly!$D$168:$BK$168,1,E$4*12)</f>
        <v>33.5555555555556</v>
      </c>
      <c r="F50" s="16" t="n">
        <f aca="false">INDEX(Engine_Monthly!$D$168:$BK$168,1,F$4*12)</f>
        <v>47.5333333333333</v>
      </c>
      <c r="G50" s="16" t="n">
        <f aca="false">INDEX(Engine_Monthly!$D$168:$BK$168,1,G$4*12)</f>
        <v>58.5666666666667</v>
      </c>
    </row>
    <row r="51" customFormat="false" ht="15" hidden="false" customHeight="true" outlineLevel="0" collapsed="false">
      <c r="A51" s="12" t="s">
        <v>788</v>
      </c>
      <c r="B51" s="4" t="s">
        <v>44</v>
      </c>
      <c r="C51" s="16" t="n">
        <f aca="false">0</f>
        <v>0</v>
      </c>
      <c r="D51" s="16" t="n">
        <f aca="false">0</f>
        <v>0</v>
      </c>
      <c r="E51" s="16" t="n">
        <f aca="false">0</f>
        <v>0</v>
      </c>
      <c r="F51" s="16" t="n">
        <f aca="false">0</f>
        <v>0</v>
      </c>
      <c r="G51" s="16" t="n">
        <f aca="false">0</f>
        <v>0</v>
      </c>
      <c r="H51" s="4" t="s">
        <v>789</v>
      </c>
    </row>
    <row r="52" customFormat="false" ht="15" hidden="false" customHeight="true" outlineLevel="0" collapsed="false">
      <c r="A52" s="5" t="s">
        <v>790</v>
      </c>
      <c r="B52" s="4" t="s">
        <v>44</v>
      </c>
      <c r="C52" s="54" t="n">
        <f aca="false">SUM(C47:C51)</f>
        <v>707.015186869663</v>
      </c>
      <c r="D52" s="54" t="n">
        <f aca="false">SUM(D47:D51)</f>
        <v>1356.81621034923</v>
      </c>
      <c r="E52" s="54" t="n">
        <f aca="false">SUM(E47:E51)</f>
        <v>2042.41269941469</v>
      </c>
      <c r="F52" s="54" t="n">
        <f aca="false">SUM(F47:F51)</f>
        <v>5095.87947291759</v>
      </c>
      <c r="G52" s="54" t="n">
        <f aca="false">SUM(G47:G51)</f>
        <v>12817.4727443617</v>
      </c>
    </row>
    <row r="53" customFormat="false" ht="15" hidden="false" customHeight="true" outlineLevel="0" collapsed="false">
      <c r="A53" s="12" t="s">
        <v>791</v>
      </c>
      <c r="B53" s="4" t="s">
        <v>44</v>
      </c>
      <c r="C53" s="16" t="n">
        <f aca="false">INDEX(Engine_Monthly!$D$158:$BK$158,1,C$4*12)</f>
        <v>12.6533590092237</v>
      </c>
      <c r="D53" s="16" t="n">
        <f aca="false">INDEX(Engine_Monthly!$D$158:$BK$158,1,D$4*12)</f>
        <v>59.210204481984</v>
      </c>
      <c r="E53" s="16" t="n">
        <f aca="false">INDEX(Engine_Monthly!$D$158:$BK$158,1,E$4*12)</f>
        <v>153.041987434664</v>
      </c>
      <c r="F53" s="16" t="n">
        <f aca="false">INDEX(Engine_Monthly!$D$158:$BK$158,1,F$4*12)</f>
        <v>275.445753719104</v>
      </c>
      <c r="G53" s="16" t="n">
        <f aca="false">INDEX(Engine_Monthly!$D$158:$BK$158,1,G$4*12)</f>
        <v>410.371706012629</v>
      </c>
    </row>
    <row r="54" customFormat="false" ht="15" hidden="false" customHeight="true" outlineLevel="0" collapsed="false">
      <c r="A54" s="12" t="s">
        <v>792</v>
      </c>
      <c r="B54" s="4" t="s">
        <v>44</v>
      </c>
      <c r="C54" s="16" t="n">
        <f aca="false">INDEX(Engine_Monthly!$D$155:$BK$155,1,C$4*12)</f>
        <v>3.87459987001389</v>
      </c>
      <c r="D54" s="16" t="n">
        <f aca="false">INDEX(Engine_Monthly!$D$155:$BK$155,1,D$4*12)</f>
        <v>69.1181227248737</v>
      </c>
      <c r="E54" s="16" t="n">
        <f aca="false">INDEX(Engine_Monthly!$D$155:$BK$155,1,E$4*12)</f>
        <v>327.455434040048</v>
      </c>
      <c r="F54" s="16" t="n">
        <f aca="false">INDEX(Engine_Monthly!$D$155:$BK$155,1,F$4*12)</f>
        <v>928.703045988122</v>
      </c>
      <c r="G54" s="16" t="n">
        <f aca="false">INDEX(Engine_Monthly!$D$155:$BK$155,1,G$4*12)</f>
        <v>1968.22225396847</v>
      </c>
    </row>
    <row r="55" customFormat="false" ht="15" hidden="false" customHeight="true" outlineLevel="0" collapsed="false">
      <c r="A55" s="12" t="s">
        <v>793</v>
      </c>
      <c r="B55" s="4" t="s">
        <v>44</v>
      </c>
      <c r="C55" s="16" t="n">
        <f aca="false">INDEX(Engine_Monthly!$D$146:$BK$146,1,C$4*12)</f>
        <v>0</v>
      </c>
      <c r="D55" s="16" t="n">
        <f aca="false">INDEX(Engine_Monthly!$D$146:$BK$146,1,D$4*12)</f>
        <v>0</v>
      </c>
      <c r="E55" s="16" t="n">
        <f aca="false">INDEX(Engine_Monthly!$D$146:$BK$146,1,E$4*12)</f>
        <v>0</v>
      </c>
      <c r="F55" s="16" t="n">
        <f aca="false">INDEX(Engine_Monthly!$D$146:$BK$146,1,F$4*12)</f>
        <v>0</v>
      </c>
      <c r="G55" s="16" t="n">
        <f aca="false">INDEX(Engine_Monthly!$D$146:$BK$146,1,G$4*12)</f>
        <v>0</v>
      </c>
    </row>
    <row r="56" customFormat="false" ht="15" hidden="false" customHeight="true" outlineLevel="0" collapsed="false">
      <c r="A56" s="5" t="s">
        <v>794</v>
      </c>
      <c r="B56" s="4" t="s">
        <v>44</v>
      </c>
      <c r="C56" s="52" t="n">
        <f aca="false">SUM(C53:C55)</f>
        <v>16.5279588792376</v>
      </c>
      <c r="D56" s="52" t="n">
        <f aca="false">SUM(D53:D55)</f>
        <v>128.328327206858</v>
      </c>
      <c r="E56" s="52" t="n">
        <f aca="false">SUM(E53:E55)</f>
        <v>480.497421474712</v>
      </c>
      <c r="F56" s="52" t="n">
        <f aca="false">SUM(F53:F55)</f>
        <v>1204.14879970723</v>
      </c>
      <c r="G56" s="52" t="n">
        <f aca="false">SUM(G53:G55)</f>
        <v>2378.5939599811</v>
      </c>
    </row>
    <row r="57" customFormat="false" ht="15" hidden="false" customHeight="true" outlineLevel="0" collapsed="false">
      <c r="A57" s="12" t="s">
        <v>795</v>
      </c>
      <c r="B57" s="4" t="s">
        <v>44</v>
      </c>
      <c r="C57" s="16" t="n">
        <f aca="false">INDEX(Engine_Monthly!$D$169:$BK$169,1,C$4*12)</f>
        <v>900</v>
      </c>
      <c r="D57" s="16" t="n">
        <f aca="false">INDEX(Engine_Monthly!$D$169:$BK$169,1,D$4*12)</f>
        <v>1800</v>
      </c>
      <c r="E57" s="16" t="n">
        <f aca="false">INDEX(Engine_Monthly!$D$169:$BK$169,1,E$4*12)</f>
        <v>1800</v>
      </c>
      <c r="F57" s="16" t="n">
        <f aca="false">INDEX(Engine_Monthly!$D$169:$BK$169,1,F$4*12)</f>
        <v>1800</v>
      </c>
      <c r="G57" s="16" t="n">
        <f aca="false">INDEX(Engine_Monthly!$D$169:$BK$169,1,G$4*12)</f>
        <v>1800</v>
      </c>
    </row>
    <row r="58" customFormat="false" ht="15" hidden="false" customHeight="true" outlineLevel="0" collapsed="false">
      <c r="A58" s="12" t="s">
        <v>796</v>
      </c>
      <c r="B58" s="4" t="s">
        <v>44</v>
      </c>
      <c r="C58" s="16" t="n">
        <f aca="false">INDEX(Engine_Monthly!$D$170:$BK$170,1,C$4*12)</f>
        <v>-209.512772009575</v>
      </c>
      <c r="D58" s="16" t="n">
        <f aca="false">INDEX(Engine_Monthly!$D$170:$BK$170,1,D$4*12)</f>
        <v>-571.512116857628</v>
      </c>
      <c r="E58" s="16" t="n">
        <f aca="false">INDEX(Engine_Monthly!$D$170:$BK$170,1,E$4*12)</f>
        <v>-238.084722060019</v>
      </c>
      <c r="F58" s="16" t="n">
        <f aca="false">INDEX(Engine_Monthly!$D$170:$BK$170,1,F$4*12)</f>
        <v>2091.73067321036</v>
      </c>
      <c r="G58" s="16" t="n">
        <f aca="false">INDEX(Engine_Monthly!$D$170:$BK$170,1,G$4*12)</f>
        <v>8638.87878438062</v>
      </c>
    </row>
    <row r="59" customFormat="false" ht="15" hidden="false" customHeight="true" outlineLevel="0" collapsed="false">
      <c r="A59" s="5" t="s">
        <v>797</v>
      </c>
      <c r="B59" s="4" t="s">
        <v>44</v>
      </c>
      <c r="C59" s="52" t="n">
        <f aca="false">C57+C58</f>
        <v>690.487227990425</v>
      </c>
      <c r="D59" s="52" t="n">
        <f aca="false">D57+D58</f>
        <v>1228.48788314237</v>
      </c>
      <c r="E59" s="52" t="n">
        <f aca="false">E57+E58</f>
        <v>1561.91527793998</v>
      </c>
      <c r="F59" s="52" t="n">
        <f aca="false">F57+F58</f>
        <v>3891.73067321036</v>
      </c>
      <c r="G59" s="52" t="n">
        <f aca="false">G57+G58</f>
        <v>10438.8787843806</v>
      </c>
    </row>
    <row r="60" customFormat="false" ht="15" hidden="false" customHeight="true" outlineLevel="0" collapsed="false">
      <c r="A60" s="5" t="s">
        <v>798</v>
      </c>
      <c r="B60" s="4" t="s">
        <v>44</v>
      </c>
      <c r="C60" s="54" t="n">
        <f aca="false">C56+C59</f>
        <v>707.015186869663</v>
      </c>
      <c r="D60" s="54" t="n">
        <f aca="false">D56+D59</f>
        <v>1356.81621034923</v>
      </c>
      <c r="E60" s="54" t="n">
        <f aca="false">E56+E59</f>
        <v>2042.41269941469</v>
      </c>
      <c r="F60" s="54" t="n">
        <f aca="false">F56+F59</f>
        <v>5095.87947291759</v>
      </c>
      <c r="G60" s="54" t="n">
        <f aca="false">G56+G59</f>
        <v>12817.4727443617</v>
      </c>
    </row>
    <row r="61" customFormat="false" ht="15" hidden="false" customHeight="true" outlineLevel="0" collapsed="false">
      <c r="A61" s="12" t="s">
        <v>799</v>
      </c>
      <c r="B61" s="4" t="s">
        <v>44</v>
      </c>
      <c r="C61" s="18" t="n">
        <f aca="false">ROUND(C52-C60,3)</f>
        <v>0</v>
      </c>
      <c r="D61" s="18" t="n">
        <f aca="false">ROUND(D52-D60,3)</f>
        <v>0</v>
      </c>
      <c r="E61" s="18" t="n">
        <f aca="false">ROUND(E52-E60,3)</f>
        <v>0</v>
      </c>
      <c r="F61" s="18" t="n">
        <f aca="false">ROUND(F52-F60,3)</f>
        <v>0</v>
      </c>
      <c r="G61" s="18" t="n">
        <f aca="false">ROUND(G52-G60,3)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0"/>
    <col collapsed="false" customWidth="true" hidden="false" outlineLevel="0" max="7" min="3" style="1" width="12"/>
    <col collapsed="false" customWidth="true" hidden="false" outlineLevel="0" max="8" min="8" style="1" width="62"/>
  </cols>
  <sheetData>
    <row r="1" customFormat="false" ht="17.25" hidden="false" customHeight="true" outlineLevel="0" collapsed="false">
      <c r="A1" s="2" t="s">
        <v>800</v>
      </c>
      <c r="B1" s="3"/>
      <c r="C1" s="3"/>
      <c r="D1" s="3"/>
      <c r="E1" s="3"/>
      <c r="F1" s="3"/>
      <c r="G1" s="3"/>
      <c r="H1" s="3"/>
    </row>
    <row r="3" customFormat="false" ht="15" hidden="false" customHeight="true" outlineLevel="0" collapsed="false">
      <c r="A3" s="15" t="s">
        <v>44</v>
      </c>
      <c r="B3" s="15" t="s">
        <v>42</v>
      </c>
      <c r="C3" s="15" t="str">
        <f aca="false">INDEX(Engine_Monthly!$D$10:$BK$10,1,12)</f>
        <v>FY27</v>
      </c>
      <c r="D3" s="15" t="str">
        <f aca="false">INDEX(Engine_Monthly!$D$10:$BK$10,1,24)</f>
        <v>FY28</v>
      </c>
      <c r="E3" s="15" t="str">
        <f aca="false">INDEX(Engine_Monthly!$D$10:$BK$10,1,36)</f>
        <v>FY29</v>
      </c>
      <c r="F3" s="15" t="str">
        <f aca="false">INDEX(Engine_Monthly!$D$10:$BK$10,1,48)</f>
        <v>FY30</v>
      </c>
      <c r="G3" s="15" t="str">
        <f aca="false">INDEX(Engine_Monthly!$D$10:$BK$10,1,60)</f>
        <v>FY31</v>
      </c>
    </row>
    <row r="4" customFormat="false" ht="15" hidden="false" customHeight="true" outlineLevel="0" collapsed="false">
      <c r="A4" s="4" t="s">
        <v>635</v>
      </c>
      <c r="C4" s="53" t="n">
        <v>1</v>
      </c>
      <c r="D4" s="53" t="n">
        <v>2</v>
      </c>
      <c r="E4" s="53" t="n">
        <v>3</v>
      </c>
      <c r="F4" s="53" t="n">
        <v>4</v>
      </c>
      <c r="G4" s="53" t="n">
        <v>5</v>
      </c>
    </row>
    <row r="6" customFormat="false" ht="15" hidden="false" customHeight="true" outlineLevel="0" collapsed="false">
      <c r="A6" s="10" t="s">
        <v>801</v>
      </c>
      <c r="B6" s="11"/>
      <c r="C6" s="11"/>
      <c r="D6" s="11"/>
      <c r="E6" s="11"/>
      <c r="F6" s="11"/>
      <c r="G6" s="11"/>
      <c r="H6" s="11"/>
    </row>
    <row r="7" customFormat="false" ht="15" hidden="false" customHeight="true" outlineLevel="0" collapsed="false">
      <c r="A7" s="12" t="s">
        <v>64</v>
      </c>
      <c r="B7" s="4" t="s">
        <v>44</v>
      </c>
      <c r="C7" s="18" t="n">
        <f aca="false">IFERROR(SUMIF(Engine_Monthly!$D$7:$BK$7,C$4,Engine_Monthly!$D$60:$BK$60)/AVERAGEIF(Engine_Monthly!$D$7:$BK$7,C$4,Engine_Monthly!$D$49:$BK$49),0)</f>
        <v>22.9691325944507</v>
      </c>
      <c r="D7" s="18" t="n">
        <f aca="false">IFERROR(SUMIF(Engine_Monthly!$D$7:$BK$7,D$4,Engine_Monthly!$D$60:$BK$60)/AVERAGEIF(Engine_Monthly!$D$7:$BK$7,D$4,Engine_Monthly!$D$49:$BK$49),0)</f>
        <v>27.9538894130849</v>
      </c>
      <c r="E7" s="18" t="n">
        <f aca="false">IFERROR(SUMIF(Engine_Monthly!$D$7:$BK$7,E$4,Engine_Monthly!$D$60:$BK$60)/AVERAGEIF(Engine_Monthly!$D$7:$BK$7,E$4,Engine_Monthly!$D$49:$BK$49),0)</f>
        <v>31.3475956122092</v>
      </c>
      <c r="F7" s="18" t="n">
        <f aca="false">IFERROR(SUMIF(Engine_Monthly!$D$7:$BK$7,F$4,Engine_Monthly!$D$60:$BK$60)/AVERAGEIF(Engine_Monthly!$D$7:$BK$7,F$4,Engine_Monthly!$D$49:$BK$49),0)</f>
        <v>34.2273520723125</v>
      </c>
      <c r="G7" s="18" t="n">
        <f aca="false">IFERROR(SUMIF(Engine_Monthly!$D$7:$BK$7,G$4,Engine_Monthly!$D$60:$BK$60)/AVERAGEIF(Engine_Monthly!$D$7:$BK$7,G$4,Engine_Monthly!$D$49:$BK$49),0)</f>
        <v>37.167370516143</v>
      </c>
      <c r="H7" s="4" t="s">
        <v>802</v>
      </c>
    </row>
    <row r="8" customFormat="false" ht="15" hidden="false" customHeight="true" outlineLevel="0" collapsed="false">
      <c r="A8" s="12" t="s">
        <v>803</v>
      </c>
      <c r="B8" s="4" t="s">
        <v>44</v>
      </c>
      <c r="C8" s="18" t="n">
        <f aca="false">5_Cost_of_Service!C27</f>
        <v>6.15</v>
      </c>
      <c r="D8" s="18" t="n">
        <f aca="false">5_Cost_of_Service!D27</f>
        <v>6.4575</v>
      </c>
      <c r="E8" s="18" t="n">
        <f aca="false">5_Cost_of_Service!E27</f>
        <v>6.780375</v>
      </c>
      <c r="F8" s="18" t="n">
        <f aca="false">5_Cost_of_Service!F27</f>
        <v>7.11939375</v>
      </c>
      <c r="G8" s="18" t="n">
        <f aca="false">5_Cost_of_Service!G27</f>
        <v>7.4753634375</v>
      </c>
    </row>
    <row r="9" customFormat="false" ht="15" hidden="false" customHeight="true" outlineLevel="0" collapsed="false">
      <c r="A9" s="12" t="s">
        <v>804</v>
      </c>
      <c r="B9" s="4" t="s">
        <v>44</v>
      </c>
      <c r="C9" s="18" t="n">
        <f aca="false">5_Cost_of_Service!C26</f>
        <v>17.9156954156954</v>
      </c>
      <c r="D9" s="18" t="n">
        <f aca="false">5_Cost_of_Service!D26</f>
        <v>9.11848238193143</v>
      </c>
      <c r="E9" s="18" t="n">
        <f aca="false">5_Cost_of_Service!E26</f>
        <v>7.95057006070229</v>
      </c>
      <c r="F9" s="18" t="n">
        <f aca="false">5_Cost_of_Service!F26</f>
        <v>7.68718905904012</v>
      </c>
      <c r="G9" s="18" t="n">
        <f aca="false">5_Cost_of_Service!G26</f>
        <v>7.76079115014086</v>
      </c>
    </row>
    <row r="10" customFormat="false" ht="15" hidden="false" customHeight="true" outlineLevel="0" collapsed="false">
      <c r="A10" s="12" t="s">
        <v>805</v>
      </c>
      <c r="B10" s="4" t="s">
        <v>44</v>
      </c>
      <c r="C10" s="18" t="str">
        <f aca="false">IF(AVERAGEIF(Engine_Monthly!$D$7:$BK$7,C$4,Engine_Monthly!$D$49:$BK$49)&lt;3,"n.m.",5_Cost_of_Service!C18)</f>
        <v>n.m.</v>
      </c>
      <c r="D10" s="18" t="n">
        <f aca="false">IF(AVERAGEIF(Engine_Monthly!$D$7:$BK$7,D$4,Engine_Monthly!$D$49:$BK$49)&lt;3,"n.m.",5_Cost_of_Service!D18)</f>
        <v>11.3825775119756</v>
      </c>
      <c r="E10" s="18" t="n">
        <f aca="false">IF(AVERAGEIF(Engine_Monthly!$D$7:$BK$7,E$4,Engine_Monthly!$D$49:$BK$49)&lt;3,"n.m.",5_Cost_of_Service!E18)</f>
        <v>4.89921944732682</v>
      </c>
      <c r="F10" s="18" t="n">
        <f aca="false">IF(AVERAGEIF(Engine_Monthly!$D$7:$BK$7,F$4,Engine_Monthly!$D$49:$BK$49)&lt;3,"n.m.",5_Cost_of_Service!F18)</f>
        <v>3.71211120182067</v>
      </c>
      <c r="G10" s="18" t="n">
        <f aca="false">IF(AVERAGEIF(Engine_Monthly!$D$7:$BK$7,G$4,Engine_Monthly!$D$49:$BK$49)&lt;3,"n.m.",5_Cost_of_Service!G18)</f>
        <v>3.24529566213323</v>
      </c>
    </row>
    <row r="11" customFormat="false" ht="15" hidden="false" customHeight="true" outlineLevel="0" collapsed="false">
      <c r="A11" s="5" t="s">
        <v>806</v>
      </c>
      <c r="B11" s="4" t="s">
        <v>44</v>
      </c>
      <c r="C11" s="57" t="str">
        <f aca="false">IF(AVERAGEIF(Engine_Monthly!$D$7:$BK$7,C$4,Engine_Monthly!$D$49:$BK$49)&lt;3,"n.m.",C7-C10)</f>
        <v>n.m.</v>
      </c>
      <c r="D11" s="57" t="n">
        <f aca="false">IF(AVERAGEIF(Engine_Monthly!$D$7:$BK$7,D$4,Engine_Monthly!$D$49:$BK$49)&lt;3,"n.m.",D7-D10)</f>
        <v>16.5713119011093</v>
      </c>
      <c r="E11" s="57" t="n">
        <f aca="false">IF(AVERAGEIF(Engine_Monthly!$D$7:$BK$7,E$4,Engine_Monthly!$D$49:$BK$49)&lt;3,"n.m.",E7-E10)</f>
        <v>26.4483761648824</v>
      </c>
      <c r="F11" s="57" t="n">
        <f aca="false">IF(AVERAGEIF(Engine_Monthly!$D$7:$BK$7,F$4,Engine_Monthly!$D$49:$BK$49)&lt;3,"n.m.",F7-F10)</f>
        <v>30.5152408704918</v>
      </c>
      <c r="G11" s="57" t="n">
        <f aca="false">IF(AVERAGEIF(Engine_Monthly!$D$7:$BK$7,G$4,Engine_Monthly!$D$49:$BK$49)&lt;3,"n.m.",G7-G10)</f>
        <v>33.9220748540098</v>
      </c>
    </row>
    <row r="12" customFormat="false" ht="15" hidden="false" customHeight="true" outlineLevel="0" collapsed="false">
      <c r="A12" s="12" t="s">
        <v>807</v>
      </c>
      <c r="B12" s="4" t="s">
        <v>46</v>
      </c>
      <c r="C12" s="17" t="str">
        <f aca="false">IF(AVERAGEIF(Engine_Monthly!$D$7:$BK$7,C$4,Engine_Monthly!$D$49:$BK$49)&lt;3,"n.m.",IFERROR(C11/C7,0))</f>
        <v>n.m.</v>
      </c>
      <c r="D12" s="17" t="n">
        <f aca="false">IF(AVERAGEIF(Engine_Monthly!$D$7:$BK$7,D$4,Engine_Monthly!$D$49:$BK$49)&lt;3,"n.m.",IFERROR(D11/D7,0))</f>
        <v>0.592808809401401</v>
      </c>
      <c r="E12" s="17" t="n">
        <f aca="false">IF(AVERAGEIF(Engine_Monthly!$D$7:$BK$7,E$4,Engine_Monthly!$D$49:$BK$49)&lt;3,"n.m.",IFERROR(E11/E7,0))</f>
        <v>0.843713071077813</v>
      </c>
      <c r="F12" s="17" t="n">
        <f aca="false">IF(AVERAGEIF(Engine_Monthly!$D$7:$BK$7,F$4,Engine_Monthly!$D$49:$BK$49)&lt;3,"n.m.",IFERROR(F11/F7,0))</f>
        <v>0.891545475268491</v>
      </c>
      <c r="G12" s="17" t="n">
        <f aca="false">IF(AVERAGEIF(Engine_Monthly!$D$7:$BK$7,G$4,Engine_Monthly!$D$49:$BK$49)&lt;3,"n.m.",IFERROR(G11/G7,0))</f>
        <v>0.912684281479539</v>
      </c>
    </row>
    <row r="14" customFormat="false" ht="15" hidden="false" customHeight="true" outlineLevel="0" collapsed="false">
      <c r="A14" s="10" t="s">
        <v>808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true" outlineLevel="0" collapsed="false">
      <c r="A15" s="12" t="s">
        <v>809</v>
      </c>
      <c r="B15" s="4" t="s">
        <v>29</v>
      </c>
      <c r="C15" s="16" t="n">
        <f aca="false">SUMIF(Engine_Monthly!$D$7:$BK$7,C$4,Engine_Monthly!$D$32:$BK$32)</f>
        <v>1.98</v>
      </c>
      <c r="D15" s="16" t="n">
        <f aca="false">SUMIF(Engine_Monthly!$D$7:$BK$7,D$4,Engine_Monthly!$D$32:$BK$32)</f>
        <v>23.57938968</v>
      </c>
      <c r="E15" s="16" t="n">
        <f aca="false">SUMIF(Engine_Monthly!$D$7:$BK$7,E$4,Engine_Monthly!$D$32:$BK$32)</f>
        <v>75.26005872</v>
      </c>
      <c r="F15" s="16" t="n">
        <f aca="false">SUMIF(Engine_Monthly!$D$7:$BK$7,F$4,Engine_Monthly!$D$32:$BK$32)</f>
        <v>152.50011744</v>
      </c>
      <c r="G15" s="16" t="n">
        <f aca="false">SUMIF(Engine_Monthly!$D$7:$BK$7,G$4,Engine_Monthly!$D$32:$BK$32)</f>
        <v>237.16517616</v>
      </c>
    </row>
    <row r="16" customFormat="false" ht="15" hidden="false" customHeight="true" outlineLevel="0" collapsed="false">
      <c r="A16" s="12" t="s">
        <v>810</v>
      </c>
      <c r="B16" s="4" t="s">
        <v>44</v>
      </c>
      <c r="C16" s="16" t="n">
        <f aca="false">SUMIF(Engine_Monthly!$D$7:$BK$7,C$4,Engine_Monthly!$D$129:$BK$129)</f>
        <v>72.354</v>
      </c>
      <c r="D16" s="16" t="n">
        <f aca="false">SUMIF(Engine_Monthly!$D$7:$BK$7,D$4,Engine_Monthly!$D$129:$BK$129)</f>
        <v>306.513515193</v>
      </c>
      <c r="E16" s="16" t="n">
        <f aca="false">SUMIF(Engine_Monthly!$D$7:$BK$7,E$4,Engine_Monthly!$D$129:$BK$129)</f>
        <v>812.2577801856</v>
      </c>
      <c r="F16" s="16" t="n">
        <f aca="false">SUMIF(Engine_Monthly!$D$7:$BK$7,F$4,Engine_Monthly!$D$129:$BK$129)</f>
        <v>1558.71949727976</v>
      </c>
      <c r="G16" s="16" t="n">
        <f aca="false">SUMIF(Engine_Monthly!$D$7:$BK$7,G$4,Engine_Monthly!$D$129:$BK$129)</f>
        <v>2385.41876367645</v>
      </c>
    </row>
    <row r="17" customFormat="false" ht="15" hidden="false" customHeight="true" outlineLevel="0" collapsed="false">
      <c r="A17" s="5" t="s">
        <v>811</v>
      </c>
      <c r="B17" s="4" t="s">
        <v>44</v>
      </c>
      <c r="C17" s="57" t="str">
        <f aca="false">IF(AVERAGEIF(Engine_Monthly!$D$7:$BK$7,C$4,Engine_Monthly!$D$49:$BK$49)&lt;3,"n.m.",IFERROR(C16/C15,0))</f>
        <v>n.m.</v>
      </c>
      <c r="D17" s="57" t="n">
        <f aca="false">IF(AVERAGEIF(Engine_Monthly!$D$7:$BK$7,D$4,Engine_Monthly!$D$49:$BK$49)&lt;3,"n.m.",IFERROR(D16/D15,0))</f>
        <v>12.9992132685684</v>
      </c>
      <c r="E17" s="57" t="n">
        <f aca="false">IF(AVERAGEIF(Engine_Monthly!$D$7:$BK$7,E$4,Engine_Monthly!$D$49:$BK$49)&lt;3,"n.m.",IFERROR(E16/E15,0))</f>
        <v>10.792680659572</v>
      </c>
      <c r="F17" s="57" t="n">
        <f aca="false">IF(AVERAGEIF(Engine_Monthly!$D$7:$BK$7,F$4,Engine_Monthly!$D$49:$BK$49)&lt;3,"n.m.",IFERROR(F16/F15,0))</f>
        <v>10.2211035863171</v>
      </c>
      <c r="G17" s="57" t="n">
        <f aca="false">IF(AVERAGEIF(Engine_Monthly!$D$7:$BK$7,G$4,Engine_Monthly!$D$49:$BK$49)&lt;3,"n.m.",IFERROR(G16/G15,0))</f>
        <v>10.0580481599337</v>
      </c>
      <c r="H17" s="4" t="s">
        <v>812</v>
      </c>
    </row>
    <row r="18" customFormat="false" ht="15" hidden="false" customHeight="true" outlineLevel="0" collapsed="false">
      <c r="A18" s="12" t="s">
        <v>813</v>
      </c>
      <c r="B18" s="4" t="s">
        <v>44</v>
      </c>
      <c r="C18" s="18" t="str">
        <f aca="false">IF(AVERAGEIF(Engine_Monthly!$D$7:$BK$7,C$4,Engine_Monthly!$D$49:$BK$49)&lt;3,"n.m.",C17+MAX(0,C9-C8))</f>
        <v>n.m.</v>
      </c>
      <c r="D18" s="18" t="n">
        <f aca="false">IF(AVERAGEIF(Engine_Monthly!$D$7:$BK$7,D$4,Engine_Monthly!$D$49:$BK$49)&lt;3,"n.m.",D17+MAX(0,D9-D8))</f>
        <v>15.6601956504998</v>
      </c>
      <c r="E18" s="18" t="n">
        <f aca="false">IF(AVERAGEIF(Engine_Monthly!$D$7:$BK$7,E$4,Engine_Monthly!$D$49:$BK$49)&lt;3,"n.m.",E17+MAX(0,E9-E8))</f>
        <v>11.9628757202743</v>
      </c>
      <c r="F18" s="18" t="n">
        <f aca="false">IF(AVERAGEIF(Engine_Monthly!$D$7:$BK$7,F$4,Engine_Monthly!$D$49:$BK$49)&lt;3,"n.m.",F17+MAX(0,F9-F8))</f>
        <v>10.7888988953572</v>
      </c>
      <c r="G18" s="18" t="n">
        <f aca="false">IF(AVERAGEIF(Engine_Monthly!$D$7:$BK$7,G$4,Engine_Monthly!$D$49:$BK$49)&lt;3,"n.m.",G17+MAX(0,G9-G8))</f>
        <v>10.3434758725746</v>
      </c>
    </row>
    <row r="20" customFormat="false" ht="15" hidden="false" customHeight="true" outlineLevel="0" collapsed="false">
      <c r="A20" s="10" t="s">
        <v>814</v>
      </c>
      <c r="B20" s="11"/>
      <c r="C20" s="11"/>
      <c r="D20" s="11"/>
      <c r="E20" s="11"/>
      <c r="F20" s="11"/>
      <c r="G20" s="11"/>
      <c r="H20" s="11"/>
    </row>
    <row r="21" customFormat="false" ht="15" hidden="false" customHeight="true" outlineLevel="0" collapsed="false">
      <c r="A21" s="12" t="s">
        <v>177</v>
      </c>
      <c r="B21" s="4" t="s">
        <v>46</v>
      </c>
      <c r="C21" s="17" t="n">
        <f aca="false">MIN(0.95,Inputs!$C$50*Inputs!$C$127)</f>
        <v>0.09</v>
      </c>
      <c r="D21" s="17" t="n">
        <f aca="false">MIN(0.95,Inputs!$C$50*Inputs!$C$127)</f>
        <v>0.09</v>
      </c>
      <c r="E21" s="17" t="n">
        <f aca="false">MIN(0.95,Inputs!$C$50*Inputs!$C$127)</f>
        <v>0.09</v>
      </c>
      <c r="F21" s="17" t="n">
        <f aca="false">MIN(0.95,Inputs!$C$50*Inputs!$C$127)</f>
        <v>0.09</v>
      </c>
      <c r="G21" s="17" t="n">
        <f aca="false">MIN(0.95,Inputs!$C$50*Inputs!$C$127)</f>
        <v>0.09</v>
      </c>
      <c r="H21" s="4" t="s">
        <v>815</v>
      </c>
    </row>
    <row r="22" customFormat="false" ht="15" hidden="false" customHeight="true" outlineLevel="0" collapsed="false">
      <c r="A22" s="12" t="s">
        <v>816</v>
      </c>
      <c r="B22" s="4" t="s">
        <v>46</v>
      </c>
      <c r="C22" s="17" t="n">
        <f aca="false">C21</f>
        <v>0.09</v>
      </c>
      <c r="D22" s="17" t="n">
        <f aca="false">D21</f>
        <v>0.09</v>
      </c>
      <c r="E22" s="17" t="n">
        <f aca="false">E21</f>
        <v>0.09</v>
      </c>
      <c r="F22" s="17" t="n">
        <f aca="false">F21</f>
        <v>0.09</v>
      </c>
      <c r="G22" s="17" t="n">
        <f aca="false">G21</f>
        <v>0.09</v>
      </c>
      <c r="H22" s="4" t="s">
        <v>817</v>
      </c>
    </row>
    <row r="23" customFormat="false" ht="15" hidden="false" customHeight="true" outlineLevel="0" collapsed="false">
      <c r="A23" s="12" t="s">
        <v>818</v>
      </c>
      <c r="B23" s="4" t="s">
        <v>46</v>
      </c>
      <c r="C23" s="17" t="n">
        <f aca="false">(1-C21)*(1+Inputs!$C$49+Inputs!$C$48)</f>
        <v>1.0465</v>
      </c>
      <c r="D23" s="17" t="n">
        <f aca="false">(1-D21)*(1+Inputs!$C$49+Inputs!$C$48)</f>
        <v>1.0465</v>
      </c>
      <c r="E23" s="17" t="n">
        <f aca="false">(1-E21)*(1+Inputs!$C$49+Inputs!$C$48)</f>
        <v>1.0465</v>
      </c>
      <c r="F23" s="17" t="n">
        <f aca="false">(1-F21)*(1+Inputs!$C$49+Inputs!$C$48)</f>
        <v>1.0465</v>
      </c>
      <c r="G23" s="17" t="n">
        <f aca="false">(1-G21)*(1+Inputs!$C$49+Inputs!$C$48)</f>
        <v>1.0465</v>
      </c>
    </row>
    <row r="25" customFormat="false" ht="15" hidden="false" customHeight="true" outlineLevel="0" collapsed="false">
      <c r="A25" s="10" t="s">
        <v>819</v>
      </c>
      <c r="B25" s="11"/>
      <c r="C25" s="11"/>
      <c r="D25" s="11"/>
      <c r="E25" s="11"/>
      <c r="F25" s="11"/>
      <c r="G25" s="11"/>
      <c r="H25" s="11"/>
    </row>
    <row r="26" customFormat="false" ht="15" hidden="false" customHeight="true" outlineLevel="0" collapsed="false">
      <c r="A26" s="12" t="s">
        <v>820</v>
      </c>
      <c r="B26" s="4" t="s">
        <v>37</v>
      </c>
      <c r="C26" s="18" t="n">
        <f aca="false">(1-C21)/(1+Inputs!$C$14)</f>
        <v>0.758333333333333</v>
      </c>
      <c r="D26" s="18" t="n">
        <f aca="false">(1-D21)/(1+Inputs!$C$14)</f>
        <v>0.758333333333333</v>
      </c>
      <c r="E26" s="18" t="n">
        <f aca="false">(1-E21)/(1+Inputs!$C$14)</f>
        <v>0.758333333333333</v>
      </c>
      <c r="F26" s="18" t="n">
        <f aca="false">(1-F21)/(1+Inputs!$C$14)</f>
        <v>0.758333333333333</v>
      </c>
      <c r="G26" s="18" t="n">
        <f aca="false">(1-G21)/(1+Inputs!$C$14)</f>
        <v>0.758333333333333</v>
      </c>
    </row>
    <row r="27" customFormat="false" ht="15" hidden="false" customHeight="true" outlineLevel="0" collapsed="false">
      <c r="A27" s="5" t="s">
        <v>821</v>
      </c>
      <c r="B27" s="4" t="s">
        <v>44</v>
      </c>
      <c r="C27" s="57" t="str">
        <f aca="false">IF(AVERAGEIF(Engine_Monthly!$D$7:$BK$7,C$4,Engine_Monthly!$D$49:$BK$49)&lt;3,"n.m.",C11*(1-C26^Inputs!$C$15)/(1-C26)/(1+Inputs!$C$14)+(C8-C9))</f>
        <v>n.m.</v>
      </c>
      <c r="D27" s="57" t="n">
        <f aca="false">IF(AVERAGEIF(Engine_Monthly!$D$7:$BK$7,D$4,Engine_Monthly!$D$49:$BK$49)&lt;3,"n.m.",D11*(1-D26^Inputs!$C$15)/(1-D26)/(1+Inputs!$C$14)+(D8-D9))</f>
        <v>46.2404723840468</v>
      </c>
      <c r="E27" s="57" t="n">
        <f aca="false">IF(AVERAGEIF(Engine_Monthly!$D$7:$BK$7,E$4,Engine_Monthly!$D$49:$BK$49)&lt;3,"n.m.",E11*(1-E26^Inputs!$C$15)/(1-E26)/(1+Inputs!$C$14)+(E8-E9))</f>
        <v>76.8781862852545</v>
      </c>
      <c r="F27" s="57" t="n">
        <f aca="false">IF(AVERAGEIF(Engine_Monthly!$D$7:$BK$7,F$4,Engine_Monthly!$D$49:$BK$49)&lt;3,"n.m.",F11*(1-F26^Inputs!$C$15)/(1-F26)/(1+Inputs!$C$14)+(F8-F9))</f>
        <v>89.481784350455</v>
      </c>
      <c r="G27" s="57" t="n">
        <f aca="false">IF(AVERAGEIF(Engine_Monthly!$D$7:$BK$7,G$4,Engine_Monthly!$D$49:$BK$49)&lt;3,"n.m.",G11*(1-G26^Inputs!$C$15)/(1-G26)/(1+Inputs!$C$14)+(G8-G9))</f>
        <v>99.8176189828015</v>
      </c>
      <c r="H27" s="4" t="s">
        <v>822</v>
      </c>
    </row>
    <row r="28" customFormat="false" ht="15" hidden="false" customHeight="true" outlineLevel="0" collapsed="false">
      <c r="A28" s="5" t="s">
        <v>823</v>
      </c>
      <c r="B28" s="4" t="s">
        <v>37</v>
      </c>
      <c r="C28" s="58" t="str">
        <f aca="false">IF(AVERAGEIF(Engine_Monthly!$D$7:$BK$7,C$4,Engine_Monthly!$D$49:$BK$49)&lt;3,"n.m.",IFERROR(C27/C17,0))</f>
        <v>n.m.</v>
      </c>
      <c r="D28" s="58" t="n">
        <f aca="false">IF(AVERAGEIF(Engine_Monthly!$D$7:$BK$7,D$4,Engine_Monthly!$D$49:$BK$49)&lt;3,"n.m.",IFERROR(D27/D17,0))</f>
        <v>3.55717468655235</v>
      </c>
      <c r="E28" s="58" t="n">
        <f aca="false">IF(AVERAGEIF(Engine_Monthly!$D$7:$BK$7,E$4,Engine_Monthly!$D$49:$BK$49)&lt;3,"n.m.",IFERROR(E27/E17,0))</f>
        <v>7.12317807875388</v>
      </c>
      <c r="F28" s="58" t="n">
        <f aca="false">IF(AVERAGEIF(Engine_Monthly!$D$7:$BK$7,F$4,Engine_Monthly!$D$49:$BK$49)&lt;3,"n.m.",IFERROR(F27/F17,0))</f>
        <v>8.7546108494824</v>
      </c>
      <c r="G28" s="58" t="n">
        <f aca="false">IF(AVERAGEIF(Engine_Monthly!$D$7:$BK$7,G$4,Engine_Monthly!$D$49:$BK$49)&lt;3,"n.m.",IFERROR(G27/G17,0))</f>
        <v>9.92415401036011</v>
      </c>
      <c r="H28" s="4" t="s">
        <v>824</v>
      </c>
    </row>
    <row r="29" customFormat="false" ht="15" hidden="false" customHeight="true" outlineLevel="0" collapsed="false">
      <c r="A29" s="5" t="s">
        <v>825</v>
      </c>
      <c r="B29" s="4" t="s">
        <v>62</v>
      </c>
      <c r="C29" s="52" t="str">
        <f aca="false">IF(AVERAGEIF(Engine_Monthly!$D$7:$BK$7,C$4,Engine_Monthly!$D$49:$BK$49)&lt;3,"n.m.",IFERROR(C17/(C11/12),0))</f>
        <v>n.m.</v>
      </c>
      <c r="D29" s="52" t="n">
        <f aca="false">IF(AVERAGEIF(Engine_Monthly!$D$7:$BK$7,D$4,Engine_Monthly!$D$49:$BK$49)&lt;3,"n.m.",IFERROR(D17/(D11/12),0))</f>
        <v>9.41328967517521</v>
      </c>
      <c r="E29" s="52" t="n">
        <f aca="false">IF(AVERAGEIF(Engine_Monthly!$D$7:$BK$7,E$4,Engine_Monthly!$D$49:$BK$49)&lt;3,"n.m.",IFERROR(E17/(E11/12),0))</f>
        <v>4.89679090721751</v>
      </c>
      <c r="F29" s="52" t="n">
        <f aca="false">IF(AVERAGEIF(Engine_Monthly!$D$7:$BK$7,F$4,Engine_Monthly!$D$49:$BK$49)&lt;3,"n.m.",IFERROR(F17/(F11/12),0))</f>
        <v>4.01940930292346</v>
      </c>
      <c r="G29" s="52" t="n">
        <f aca="false">IF(AVERAGEIF(Engine_Monthly!$D$7:$BK$7,G$4,Engine_Monthly!$D$49:$BK$49)&lt;3,"n.m.",IFERROR(G17/(G11/12),0))</f>
        <v>3.5580541119211</v>
      </c>
      <c r="H29" s="4" t="s">
        <v>826</v>
      </c>
    </row>
    <row r="31" customFormat="false" ht="15" hidden="false" customHeight="true" outlineLevel="0" collapsed="false">
      <c r="A31" s="10" t="s">
        <v>827</v>
      </c>
      <c r="B31" s="11"/>
      <c r="C31" s="11"/>
      <c r="D31" s="11"/>
      <c r="E31" s="11"/>
      <c r="F31" s="11"/>
      <c r="G31" s="11"/>
      <c r="H31" s="11"/>
    </row>
    <row r="32" customFormat="false" ht="15" hidden="false" customHeight="true" outlineLevel="0" collapsed="false">
      <c r="A32" s="12" t="s">
        <v>828</v>
      </c>
      <c r="B32" s="4" t="s">
        <v>46</v>
      </c>
      <c r="C32" s="17" t="n">
        <f aca="false">IFERROR((7_Financials!C14+7_Financials!C17)/7_Financials!C11,0)</f>
        <v>-3.10250337043746</v>
      </c>
      <c r="D32" s="17" t="n">
        <f aca="false">IFERROR((7_Financials!D14+7_Financials!D17)/7_Financials!D11,0)</f>
        <v>-0.186632706402566</v>
      </c>
      <c r="E32" s="17" t="n">
        <f aca="false">IFERROR((7_Financials!E14+7_Financials!E17)/7_Financials!E11,0)</f>
        <v>0.318518013864599</v>
      </c>
      <c r="F32" s="17" t="n">
        <f aca="false">IFERROR((7_Financials!F14+7_Financials!F17)/7_Financials!F11,0)</f>
        <v>0.518764506395632</v>
      </c>
      <c r="G32" s="17" t="n">
        <f aca="false">IFERROR((7_Financials!G14+7_Financials!G17)/7_Financials!G11,0)</f>
        <v>0.635514766233039</v>
      </c>
    </row>
    <row r="33" customFormat="false" ht="15" hidden="false" customHeight="true" outlineLevel="0" collapsed="false">
      <c r="A33" s="5" t="s">
        <v>829</v>
      </c>
      <c r="B33" s="4" t="s">
        <v>29</v>
      </c>
      <c r="C33" s="59" t="str">
        <f aca="false">IF(AVERAGEIF(Engine_Monthly!$D$7:$BK$7,C$4,Engine_Monthly!$D$49:$BK$49)&lt;3,"n.m.",IFERROR((SUMIF(Engine_Monthly!$D$7:$BK$7,C$4,Engine_Monthly!$D$137:$BK$137)+SUMIF(Engine_Monthly!$D$7:$BK$7,C$4,Engine_Monthly!$D$75:$BK$75)+SUMIF(Engine_Monthly!$D$7:$BK$7,C$4,Engine_Monthly!$D$83:$BK$83)-SUMIF(Engine_Monthly!$D$7:$BK$7,C$4,Engine_Monthly!$D$61:$BK$61)-SUMIF(Engine_Monthly!$D$7:$BK$7,C$4,Engine_Monthly!$D$62:$BK$62))/(C7-(C10-SUMIF(Engine_Monthly!$D$7:$BK$7,C$4,Engine_Monthly!$D$75:$BK$75)/MAX(1,AVERAGEIF(Engine_Monthly!$D$7:$BK$7,C$4,Engine_Monthly!$D$49:$BK$49)))),0))</f>
        <v>n.m.</v>
      </c>
      <c r="D33" s="59" t="n">
        <f aca="false">IF(AVERAGEIF(Engine_Monthly!$D$7:$BK$7,D$4,Engine_Monthly!$D$49:$BK$49)&lt;3,"n.m.",IFERROR((SUMIF(Engine_Monthly!$D$7:$BK$7,D$4,Engine_Monthly!$D$137:$BK$137)+SUMIF(Engine_Monthly!$D$7:$BK$7,D$4,Engine_Monthly!$D$75:$BK$75)+SUMIF(Engine_Monthly!$D$7:$BK$7,D$4,Engine_Monthly!$D$83:$BK$83)-SUMIF(Engine_Monthly!$D$7:$BK$7,D$4,Engine_Monthly!$D$61:$BK$61)-SUMIF(Engine_Monthly!$D$7:$BK$7,D$4,Engine_Monthly!$D$62:$BK$62))/(D7-(D10-SUMIF(Engine_Monthly!$D$7:$BK$7,D$4,Engine_Monthly!$D$75:$BK$75)/MAX(1,AVERAGEIF(Engine_Monthly!$D$7:$BK$7,D$4,Engine_Monthly!$D$49:$BK$49)))),0))</f>
        <v>25.5107057692406</v>
      </c>
      <c r="E33" s="59" t="n">
        <f aca="false">IF(AVERAGEIF(Engine_Monthly!$D$7:$BK$7,E$4,Engine_Monthly!$D$49:$BK$49)&lt;3,"n.m.",IFERROR((SUMIF(Engine_Monthly!$D$7:$BK$7,E$4,Engine_Monthly!$D$137:$BK$137)+SUMIF(Engine_Monthly!$D$7:$BK$7,E$4,Engine_Monthly!$D$75:$BK$75)+SUMIF(Engine_Monthly!$D$7:$BK$7,E$4,Engine_Monthly!$D$83:$BK$83)-SUMIF(Engine_Monthly!$D$7:$BK$7,E$4,Engine_Monthly!$D$61:$BK$61)-SUMIF(Engine_Monthly!$D$7:$BK$7,E$4,Engine_Monthly!$D$62:$BK$62))/(E7-(E10-SUMIF(Engine_Monthly!$D$7:$BK$7,E$4,Engine_Monthly!$D$75:$BK$75)/MAX(1,AVERAGEIF(Engine_Monthly!$D$7:$BK$7,E$4,Engine_Monthly!$D$49:$BK$49)))),0))</f>
        <v>34.2783067197632</v>
      </c>
      <c r="F33" s="59" t="n">
        <f aca="false">IF(AVERAGEIF(Engine_Monthly!$D$7:$BK$7,F$4,Engine_Monthly!$D$49:$BK$49)&lt;3,"n.m.",IFERROR((SUMIF(Engine_Monthly!$D$7:$BK$7,F$4,Engine_Monthly!$D$137:$BK$137)+SUMIF(Engine_Monthly!$D$7:$BK$7,F$4,Engine_Monthly!$D$75:$BK$75)+SUMIF(Engine_Monthly!$D$7:$BK$7,F$4,Engine_Monthly!$D$83:$BK$83)-SUMIF(Engine_Monthly!$D$7:$BK$7,F$4,Engine_Monthly!$D$61:$BK$61)-SUMIF(Engine_Monthly!$D$7:$BK$7,F$4,Engine_Monthly!$D$62:$BK$62))/(F7-(F10-SUMIF(Engine_Monthly!$D$7:$BK$7,F$4,Engine_Monthly!$D$75:$BK$75)/MAX(1,AVERAGEIF(Engine_Monthly!$D$7:$BK$7,F$4,Engine_Monthly!$D$49:$BK$49)))),0))</f>
        <v>48.3648060875994</v>
      </c>
      <c r="G33" s="59" t="n">
        <f aca="false">IF(AVERAGEIF(Engine_Monthly!$D$7:$BK$7,G$4,Engine_Monthly!$D$49:$BK$49)&lt;3,"n.m.",IFERROR((SUMIF(Engine_Monthly!$D$7:$BK$7,G$4,Engine_Monthly!$D$137:$BK$137)+SUMIF(Engine_Monthly!$D$7:$BK$7,G$4,Engine_Monthly!$D$75:$BK$75)+SUMIF(Engine_Monthly!$D$7:$BK$7,G$4,Engine_Monthly!$D$83:$BK$83)-SUMIF(Engine_Monthly!$D$7:$BK$7,G$4,Engine_Monthly!$D$61:$BK$61)-SUMIF(Engine_Monthly!$D$7:$BK$7,G$4,Engine_Monthly!$D$62:$BK$62))/(G7-(G10-SUMIF(Engine_Monthly!$D$7:$BK$7,G$4,Engine_Monthly!$D$75:$BK$75)/MAX(1,AVERAGEIF(Engine_Monthly!$D$7:$BK$7,G$4,Engine_Monthly!$D$49:$BK$49)))),0))</f>
        <v>62.8899470237341</v>
      </c>
      <c r="H33" s="4" t="s">
        <v>830</v>
      </c>
    </row>
    <row r="34" customFormat="false" ht="15" hidden="false" customHeight="true" outlineLevel="0" collapsed="false">
      <c r="A34" s="12" t="s">
        <v>831</v>
      </c>
      <c r="B34" s="4" t="s">
        <v>29</v>
      </c>
      <c r="C34" s="16" t="n">
        <f aca="false">INDEX(Engine_Monthly!$D$49:$BK$49,1,C$4*12)</f>
        <v>1.06093534837466</v>
      </c>
      <c r="D34" s="16" t="n">
        <f aca="false">INDEX(Engine_Monthly!$D$49:$BK$49,1,D$4*12)</f>
        <v>17.5985909615109</v>
      </c>
      <c r="E34" s="16" t="n">
        <f aca="false">INDEX(Engine_Monthly!$D$49:$BK$49,1,E$4*12)</f>
        <v>77.249595001917</v>
      </c>
      <c r="F34" s="16" t="n">
        <f aca="false">INDEX(Engine_Monthly!$D$49:$BK$49,1,F$4*12)</f>
        <v>203.400031810899</v>
      </c>
      <c r="G34" s="16" t="n">
        <f aca="false">INDEX(Engine_Monthly!$D$49:$BK$49,1,G$4*12)</f>
        <v>400.000009074275</v>
      </c>
    </row>
    <row r="35" customFormat="false" ht="15" hidden="false" customHeight="true" outlineLevel="0" collapsed="false">
      <c r="A35" s="12" t="s">
        <v>832</v>
      </c>
      <c r="B35" s="4" t="s">
        <v>62</v>
      </c>
      <c r="C35" s="16" t="str">
        <f aca="false">IF(AVERAGEIF(Engine_Monthly!$D$7:$BK$7,C$4,Engine_Monthly!$D$49:$BK$49)&lt;3,"n.m.",IFERROR(C18/(C11/12),0))</f>
        <v>n.m.</v>
      </c>
      <c r="D35" s="16" t="n">
        <f aca="false">IF(AVERAGEIF(Engine_Monthly!$D$7:$BK$7,D$4,Engine_Monthly!$D$49:$BK$49)&lt;3,"n.m.",IFERROR(D18/(D11/12),0))</f>
        <v>11.3402215182141</v>
      </c>
      <c r="E35" s="16" t="n">
        <f aca="false">IF(AVERAGEIF(Engine_Monthly!$D$7:$BK$7,E$4,Engine_Monthly!$D$49:$BK$49)&lt;3,"n.m.",IFERROR(E18/(E11/12),0))</f>
        <v>5.42772485344112</v>
      </c>
      <c r="F35" s="16" t="n">
        <f aca="false">IF(AVERAGEIF(Engine_Monthly!$D$7:$BK$7,F$4,Engine_Monthly!$D$49:$BK$49)&lt;3,"n.m.",IFERROR(F18/(F11/12),0))</f>
        <v>4.24269260379592</v>
      </c>
      <c r="G35" s="16" t="n">
        <f aca="false">IF(AVERAGEIF(Engine_Monthly!$D$7:$BK$7,G$4,Engine_Monthly!$D$49:$BK$49)&lt;3,"n.m.",IFERROR(G18/(G11/12),0))</f>
        <v>3.65902472077775</v>
      </c>
    </row>
    <row r="37" customFormat="false" ht="15" hidden="false" customHeight="true" outlineLevel="0" collapsed="false">
      <c r="A37" s="4" t="s">
        <v>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4"/>
    <col collapsed="false" customWidth="true" hidden="false" outlineLevel="0" max="5" min="3" style="1" width="13"/>
    <col collapsed="false" customWidth="true" hidden="false" outlineLevel="0" max="6" min="6" style="1" width="4"/>
    <col collapsed="false" customWidth="true" hidden="false" outlineLevel="0" max="7" min="7" style="1" width="70"/>
  </cols>
  <sheetData>
    <row r="1" customFormat="false" ht="17.25" hidden="false" customHeight="true" outlineLevel="0" collapsed="false">
      <c r="A1" s="2" t="s">
        <v>834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835</v>
      </c>
    </row>
    <row r="4" customFormat="false" ht="15" hidden="false" customHeight="true" outlineLevel="0" collapsed="false">
      <c r="A4" s="15" t="s">
        <v>836</v>
      </c>
      <c r="B4" s="15" t="s">
        <v>42</v>
      </c>
      <c r="C4" s="15" t="s">
        <v>568</v>
      </c>
      <c r="D4" s="15" t="s">
        <v>69</v>
      </c>
      <c r="E4" s="15" t="s">
        <v>577</v>
      </c>
      <c r="F4" s="15"/>
      <c r="G4" s="15" t="s">
        <v>837</v>
      </c>
    </row>
    <row r="6" customFormat="false" ht="15" hidden="false" customHeight="true" outlineLevel="0" collapsed="false">
      <c r="A6" s="10" t="s">
        <v>838</v>
      </c>
      <c r="B6" s="11"/>
      <c r="C6" s="11"/>
      <c r="D6" s="11"/>
      <c r="E6" s="11"/>
      <c r="F6" s="11"/>
      <c r="G6" s="11"/>
    </row>
    <row r="7" customFormat="false" ht="15" hidden="false" customHeight="true" outlineLevel="0" collapsed="false">
      <c r="A7" s="12" t="s">
        <v>839</v>
      </c>
      <c r="B7" s="4" t="s">
        <v>44</v>
      </c>
      <c r="C7" s="36" t="n">
        <v>20000</v>
      </c>
      <c r="D7" s="36" t="n">
        <v>40000</v>
      </c>
      <c r="E7" s="36" t="n">
        <v>60000</v>
      </c>
      <c r="G7" s="30" t="s">
        <v>840</v>
      </c>
    </row>
    <row r="8" customFormat="false" ht="15" hidden="false" customHeight="true" outlineLevel="0" collapsed="false">
      <c r="A8" s="12" t="s">
        <v>841</v>
      </c>
      <c r="B8" s="4" t="s">
        <v>842</v>
      </c>
      <c r="C8" s="36" t="n">
        <v>4800</v>
      </c>
      <c r="D8" s="36" t="n">
        <v>5000</v>
      </c>
      <c r="E8" s="36" t="n">
        <v>6000</v>
      </c>
      <c r="G8" s="30" t="s">
        <v>843</v>
      </c>
    </row>
    <row r="9" customFormat="false" ht="15" hidden="false" customHeight="true" outlineLevel="0" collapsed="false">
      <c r="A9" s="12" t="s">
        <v>844</v>
      </c>
      <c r="B9" s="4" t="s">
        <v>845</v>
      </c>
      <c r="C9" s="18" t="n">
        <f aca="false">C7/C8</f>
        <v>4.16666666666667</v>
      </c>
      <c r="D9" s="18" t="n">
        <f aca="false">D7/D8</f>
        <v>8</v>
      </c>
      <c r="E9" s="18" t="n">
        <f aca="false">E7/E8</f>
        <v>10</v>
      </c>
      <c r="G9" s="30"/>
    </row>
    <row r="10" customFormat="false" ht="21.75" hidden="false" customHeight="true" outlineLevel="0" collapsed="false">
      <c r="A10" s="12" t="s">
        <v>846</v>
      </c>
      <c r="B10" s="4" t="s">
        <v>842</v>
      </c>
      <c r="C10" s="36" t="n">
        <v>100</v>
      </c>
      <c r="D10" s="36" t="n">
        <v>150</v>
      </c>
      <c r="E10" s="36" t="n">
        <v>200</v>
      </c>
      <c r="G10" s="30" t="s">
        <v>847</v>
      </c>
    </row>
    <row r="11" customFormat="false" ht="15" hidden="false" customHeight="true" outlineLevel="0" collapsed="false">
      <c r="A11" s="12" t="s">
        <v>848</v>
      </c>
      <c r="B11" s="4" t="s">
        <v>46</v>
      </c>
      <c r="C11" s="34" t="n">
        <v>0.2</v>
      </c>
      <c r="D11" s="34" t="n">
        <v>0.25</v>
      </c>
      <c r="E11" s="34" t="n">
        <v>0.3</v>
      </c>
      <c r="G11" s="30" t="s">
        <v>849</v>
      </c>
    </row>
    <row r="12" customFormat="false" ht="15" hidden="false" customHeight="true" outlineLevel="0" collapsed="false">
      <c r="A12" s="12" t="s">
        <v>850</v>
      </c>
      <c r="B12" s="4" t="s">
        <v>46</v>
      </c>
      <c r="C12" s="34" t="n">
        <v>0.85</v>
      </c>
      <c r="D12" s="34" t="n">
        <v>0.88</v>
      </c>
      <c r="E12" s="34" t="n">
        <v>0.9</v>
      </c>
      <c r="G12" s="30" t="s">
        <v>851</v>
      </c>
    </row>
    <row r="14" customFormat="false" ht="15" hidden="false" customHeight="true" outlineLevel="0" collapsed="false">
      <c r="A14" s="10" t="s">
        <v>852</v>
      </c>
      <c r="B14" s="11"/>
      <c r="C14" s="11"/>
      <c r="D14" s="11"/>
      <c r="E14" s="11"/>
      <c r="F14" s="11"/>
      <c r="G14" s="11"/>
    </row>
    <row r="15" customFormat="false" ht="15" hidden="false" customHeight="true" outlineLevel="0" collapsed="false">
      <c r="A15" s="12" t="s">
        <v>853</v>
      </c>
      <c r="B15" s="4" t="s">
        <v>44</v>
      </c>
      <c r="C15" s="36" t="n">
        <v>60</v>
      </c>
      <c r="D15" s="36" t="n">
        <v>135</v>
      </c>
      <c r="E15" s="36" t="n">
        <v>240</v>
      </c>
      <c r="G15" s="30" t="s">
        <v>854</v>
      </c>
    </row>
    <row r="16" customFormat="false" ht="15" hidden="false" customHeight="true" outlineLevel="0" collapsed="false">
      <c r="A16" s="12" t="s">
        <v>855</v>
      </c>
      <c r="B16" s="4" t="s">
        <v>44</v>
      </c>
      <c r="C16" s="36" t="n">
        <v>40</v>
      </c>
      <c r="D16" s="36" t="n">
        <v>85</v>
      </c>
      <c r="E16" s="36" t="n">
        <v>160</v>
      </c>
      <c r="G16" s="30" t="s">
        <v>856</v>
      </c>
    </row>
    <row r="17" customFormat="false" ht="15" hidden="false" customHeight="true" outlineLevel="0" collapsed="false">
      <c r="A17" s="12" t="s">
        <v>857</v>
      </c>
      <c r="B17" s="4" t="s">
        <v>44</v>
      </c>
      <c r="C17" s="36" t="n">
        <v>50</v>
      </c>
      <c r="D17" s="36" t="n">
        <v>100</v>
      </c>
      <c r="E17" s="36" t="n">
        <v>180</v>
      </c>
      <c r="G17" s="30" t="s">
        <v>858</v>
      </c>
    </row>
    <row r="18" customFormat="false" ht="15" hidden="false" customHeight="true" outlineLevel="0" collapsed="false">
      <c r="A18" s="12" t="s">
        <v>859</v>
      </c>
      <c r="B18" s="4" t="s">
        <v>44</v>
      </c>
      <c r="C18" s="36" t="n">
        <v>25</v>
      </c>
      <c r="D18" s="36" t="n">
        <v>65</v>
      </c>
      <c r="E18" s="36" t="n">
        <v>120</v>
      </c>
      <c r="G18" s="30" t="s">
        <v>860</v>
      </c>
    </row>
    <row r="19" customFormat="false" ht="15" hidden="false" customHeight="true" outlineLevel="0" collapsed="false">
      <c r="A19" s="12" t="s">
        <v>861</v>
      </c>
      <c r="B19" s="4" t="s">
        <v>44</v>
      </c>
      <c r="C19" s="36" t="n">
        <v>75</v>
      </c>
      <c r="D19" s="36" t="n">
        <v>165</v>
      </c>
      <c r="E19" s="36" t="n">
        <v>280</v>
      </c>
      <c r="G19" s="30" t="s">
        <v>862</v>
      </c>
    </row>
    <row r="21" customFormat="false" ht="15" hidden="false" customHeight="true" outlineLevel="0" collapsed="false">
      <c r="A21" s="10" t="s">
        <v>863</v>
      </c>
      <c r="B21" s="11"/>
      <c r="C21" s="11"/>
      <c r="D21" s="11"/>
      <c r="E21" s="11"/>
      <c r="F21" s="11"/>
      <c r="G21" s="11"/>
    </row>
    <row r="22" customFormat="false" ht="15" hidden="false" customHeight="true" outlineLevel="0" collapsed="false">
      <c r="A22" s="12" t="s">
        <v>864</v>
      </c>
      <c r="B22" s="4" t="s">
        <v>46</v>
      </c>
      <c r="C22" s="34" t="n">
        <v>0.1</v>
      </c>
      <c r="D22" s="34" t="n">
        <v>0.2</v>
      </c>
      <c r="E22" s="34" t="n">
        <v>0.3</v>
      </c>
      <c r="G22" s="30" t="s">
        <v>865</v>
      </c>
    </row>
    <row r="23" customFormat="false" ht="15" hidden="false" customHeight="true" outlineLevel="0" collapsed="false">
      <c r="A23" s="12" t="s">
        <v>866</v>
      </c>
      <c r="B23" s="4" t="s">
        <v>46</v>
      </c>
      <c r="C23" s="34" t="n">
        <v>0.4</v>
      </c>
      <c r="D23" s="34" t="n">
        <v>0.6</v>
      </c>
      <c r="E23" s="34" t="n">
        <v>0.8</v>
      </c>
      <c r="G23" s="30" t="s">
        <v>867</v>
      </c>
    </row>
    <row r="24" customFormat="false" ht="15" hidden="false" customHeight="true" outlineLevel="0" collapsed="false">
      <c r="A24" s="12" t="s">
        <v>868</v>
      </c>
      <c r="B24" s="4" t="s">
        <v>46</v>
      </c>
      <c r="C24" s="34" t="n">
        <v>0.1</v>
      </c>
      <c r="D24" s="34" t="n">
        <v>0.2</v>
      </c>
      <c r="E24" s="34" t="n">
        <v>0.3</v>
      </c>
      <c r="G24" s="30"/>
    </row>
    <row r="25" customFormat="false" ht="15" hidden="false" customHeight="true" outlineLevel="0" collapsed="false">
      <c r="A25" s="12" t="s">
        <v>869</v>
      </c>
      <c r="B25" s="4" t="s">
        <v>46</v>
      </c>
      <c r="C25" s="34" t="n">
        <v>0.1</v>
      </c>
      <c r="D25" s="34" t="n">
        <v>0.2</v>
      </c>
      <c r="E25" s="34" t="n">
        <v>0.3</v>
      </c>
      <c r="G25" s="30"/>
    </row>
    <row r="26" customFormat="false" ht="15" hidden="false" customHeight="true" outlineLevel="0" collapsed="false">
      <c r="A26" s="12" t="s">
        <v>870</v>
      </c>
      <c r="B26" s="4" t="s">
        <v>46</v>
      </c>
      <c r="C26" s="34" t="n">
        <v>0.05</v>
      </c>
      <c r="D26" s="34" t="n">
        <v>0.1</v>
      </c>
      <c r="E26" s="34" t="n">
        <v>0.15</v>
      </c>
      <c r="G26" s="30"/>
    </row>
    <row r="27" customFormat="false" ht="15" hidden="false" customHeight="true" outlineLevel="0" collapsed="false">
      <c r="A27" s="12" t="s">
        <v>871</v>
      </c>
      <c r="B27" s="4" t="s">
        <v>46</v>
      </c>
      <c r="C27" s="34" t="n">
        <v>0.05</v>
      </c>
      <c r="D27" s="34" t="n">
        <v>0.15</v>
      </c>
      <c r="E27" s="34" t="n">
        <v>0.25</v>
      </c>
      <c r="G27" s="30"/>
    </row>
    <row r="28" customFormat="false" ht="15" hidden="false" customHeight="true" outlineLevel="0" collapsed="false">
      <c r="A28" s="12" t="s">
        <v>872</v>
      </c>
      <c r="B28" s="4" t="s">
        <v>46</v>
      </c>
      <c r="C28" s="34" t="n">
        <v>0.05</v>
      </c>
      <c r="D28" s="34" t="n">
        <v>0.1</v>
      </c>
      <c r="E28" s="34" t="n">
        <v>0.2</v>
      </c>
      <c r="G28" s="30" t="s">
        <v>873</v>
      </c>
    </row>
    <row r="29" customFormat="false" ht="15" hidden="false" customHeight="true" outlineLevel="0" collapsed="false">
      <c r="A29" s="12" t="s">
        <v>874</v>
      </c>
      <c r="B29" s="4" t="s">
        <v>46</v>
      </c>
      <c r="C29" s="34" t="n">
        <v>0.3</v>
      </c>
      <c r="D29" s="34" t="n">
        <v>0.5</v>
      </c>
      <c r="E29" s="34" t="n">
        <v>0.6</v>
      </c>
      <c r="G29" s="30" t="s">
        <v>875</v>
      </c>
    </row>
    <row r="31" customFormat="false" ht="15" hidden="false" customHeight="true" outlineLevel="0" collapsed="false">
      <c r="A31" s="10" t="s">
        <v>876</v>
      </c>
      <c r="B31" s="11"/>
      <c r="C31" s="11"/>
      <c r="D31" s="11"/>
      <c r="E31" s="11"/>
      <c r="F31" s="11"/>
      <c r="G31" s="11"/>
    </row>
    <row r="32" customFormat="false" ht="15" hidden="false" customHeight="true" outlineLevel="0" collapsed="false">
      <c r="A32" s="12" t="s">
        <v>877</v>
      </c>
      <c r="B32" s="4" t="s">
        <v>44</v>
      </c>
      <c r="C32" s="16" t="n">
        <f aca="false">C10*C22*C9*C23</f>
        <v>16.6666666666667</v>
      </c>
      <c r="D32" s="16" t="n">
        <f aca="false">D10*D22*D9*D23</f>
        <v>144</v>
      </c>
      <c r="E32" s="16" t="n">
        <f aca="false">E10*E22*E9*E23</f>
        <v>480</v>
      </c>
      <c r="G32" s="30" t="s">
        <v>878</v>
      </c>
    </row>
    <row r="33" customFormat="false" ht="15" hidden="false" customHeight="true" outlineLevel="0" collapsed="false">
      <c r="A33" s="12" t="s">
        <v>879</v>
      </c>
      <c r="B33" s="4" t="s">
        <v>44</v>
      </c>
      <c r="C33" s="16" t="n">
        <f aca="false">C32*C11</f>
        <v>3.33333333333333</v>
      </c>
      <c r="D33" s="16" t="n">
        <f aca="false">D32*D11</f>
        <v>36</v>
      </c>
      <c r="E33" s="16" t="n">
        <f aca="false">E32*E11</f>
        <v>144</v>
      </c>
      <c r="G33" s="30" t="s">
        <v>880</v>
      </c>
    </row>
    <row r="34" customFormat="false" ht="15" hidden="false" customHeight="true" outlineLevel="0" collapsed="false">
      <c r="A34" s="12" t="s">
        <v>881</v>
      </c>
      <c r="B34" s="4" t="s">
        <v>44</v>
      </c>
      <c r="C34" s="16" t="n">
        <f aca="false">C15*C24+C16*C25+C17*C26+C18*C27+C19*C28</f>
        <v>17.5</v>
      </c>
      <c r="D34" s="16" t="n">
        <f aca="false">D15*D24+D16*D25+D17*D26+D18*D27+D19*D28</f>
        <v>80.25</v>
      </c>
      <c r="E34" s="16" t="n">
        <f aca="false">E15*E24+E16*E25+E17*E26+E18*E27+E19*E28</f>
        <v>233</v>
      </c>
      <c r="G34" s="30" t="s">
        <v>882</v>
      </c>
    </row>
    <row r="35" customFormat="false" ht="15" hidden="false" customHeight="true" outlineLevel="0" collapsed="false">
      <c r="A35" s="12" t="s">
        <v>883</v>
      </c>
      <c r="B35" s="4" t="s">
        <v>44</v>
      </c>
      <c r="C35" s="39" t="n">
        <v>0</v>
      </c>
      <c r="D35" s="39" t="n">
        <v>0</v>
      </c>
      <c r="E35" s="39" t="n">
        <v>0</v>
      </c>
      <c r="G35" s="30" t="s">
        <v>884</v>
      </c>
    </row>
    <row r="36" customFormat="false" ht="15" hidden="false" customHeight="true" outlineLevel="0" collapsed="false">
      <c r="A36" s="12" t="s">
        <v>885</v>
      </c>
      <c r="B36" s="4" t="s">
        <v>886</v>
      </c>
      <c r="C36" s="60" t="s">
        <v>887</v>
      </c>
      <c r="D36" s="60"/>
      <c r="E36" s="60"/>
      <c r="G36" s="30" t="s">
        <v>888</v>
      </c>
    </row>
    <row r="37" customFormat="false" ht="15" hidden="false" customHeight="true" outlineLevel="0" collapsed="false">
      <c r="A37" s="5" t="s">
        <v>889</v>
      </c>
      <c r="B37" s="4" t="s">
        <v>44</v>
      </c>
      <c r="C37" s="61" t="n">
        <f aca="false">C33+C34+C35</f>
        <v>20.8333333333333</v>
      </c>
      <c r="D37" s="61" t="n">
        <f aca="false">D33+D34+D35</f>
        <v>116.25</v>
      </c>
      <c r="E37" s="61" t="n">
        <f aca="false">E33+E34+E35</f>
        <v>377</v>
      </c>
      <c r="G37" s="30"/>
    </row>
    <row r="39" customFormat="false" ht="15" hidden="false" customHeight="true" outlineLevel="0" collapsed="false">
      <c r="A39" s="10" t="s">
        <v>890</v>
      </c>
      <c r="B39" s="11"/>
      <c r="C39" s="11"/>
      <c r="D39" s="11"/>
      <c r="E39" s="11"/>
      <c r="F39" s="11"/>
      <c r="G39" s="11"/>
    </row>
    <row r="40" customFormat="false" ht="15" hidden="false" customHeight="true" outlineLevel="0" collapsed="false">
      <c r="A40" s="12" t="s">
        <v>891</v>
      </c>
      <c r="B40" s="4" t="s">
        <v>44</v>
      </c>
      <c r="C40" s="18" t="n">
        <f aca="false">3_Pricing!$D$8*Inputs!$C$47</f>
        <v>30</v>
      </c>
      <c r="D40" s="18" t="n">
        <f aca="false">3_Pricing!$D$8*Inputs!$C$47</f>
        <v>30</v>
      </c>
      <c r="E40" s="18" t="n">
        <f aca="false">3_Pricing!$D$8*Inputs!$C$47</f>
        <v>30</v>
      </c>
      <c r="G40" s="30" t="s">
        <v>892</v>
      </c>
    </row>
    <row r="41" customFormat="false" ht="15" hidden="false" customHeight="true" outlineLevel="0" collapsed="false">
      <c r="A41" s="12" t="s">
        <v>893</v>
      </c>
      <c r="B41" s="4" t="s">
        <v>44</v>
      </c>
      <c r="C41" s="18" t="n">
        <f aca="false">3_Pricing!$D$10</f>
        <v>6</v>
      </c>
      <c r="D41" s="18" t="n">
        <f aca="false">3_Pricing!$D$10</f>
        <v>6</v>
      </c>
      <c r="E41" s="18" t="n">
        <f aca="false">3_Pricing!$D$10</f>
        <v>6</v>
      </c>
      <c r="G41" s="30"/>
    </row>
    <row r="42" customFormat="false" ht="15" hidden="false" customHeight="true" outlineLevel="0" collapsed="false">
      <c r="A42" s="12" t="s">
        <v>894</v>
      </c>
      <c r="B42" s="4" t="s">
        <v>212</v>
      </c>
      <c r="C42" s="32" t="n">
        <v>3</v>
      </c>
      <c r="D42" s="32" t="n">
        <v>2</v>
      </c>
      <c r="E42" s="32" t="n">
        <v>1.5</v>
      </c>
      <c r="G42" s="30" t="s">
        <v>895</v>
      </c>
    </row>
    <row r="43" customFormat="false" ht="15" hidden="false" customHeight="true" outlineLevel="0" collapsed="false">
      <c r="A43" s="12" t="s">
        <v>896</v>
      </c>
      <c r="B43" s="4" t="s">
        <v>44</v>
      </c>
      <c r="C43" s="18" t="n">
        <f aca="false">Inputs!$C$43*(1+Inputs!$C$44)</f>
        <v>3.85</v>
      </c>
      <c r="D43" s="32" t="n">
        <v>0</v>
      </c>
      <c r="E43" s="32" t="n">
        <v>0</v>
      </c>
      <c r="G43" s="30" t="s">
        <v>897</v>
      </c>
    </row>
    <row r="45" customFormat="false" ht="15" hidden="false" customHeight="true" outlineLevel="0" collapsed="false">
      <c r="A45" s="10" t="s">
        <v>898</v>
      </c>
      <c r="B45" s="11"/>
      <c r="C45" s="11"/>
      <c r="D45" s="11"/>
      <c r="E45" s="11"/>
      <c r="F45" s="11"/>
      <c r="G45" s="11"/>
    </row>
    <row r="46" customFormat="false" ht="15" hidden="false" customHeight="true" outlineLevel="0" collapsed="false">
      <c r="A46" s="5" t="s">
        <v>899</v>
      </c>
      <c r="B46" s="4" t="s">
        <v>44</v>
      </c>
      <c r="C46" s="61" t="n">
        <f aca="false">C37-C40-C42</f>
        <v>-12.1666666666667</v>
      </c>
      <c r="D46" s="61" t="n">
        <f aca="false">D37-D40-D42</f>
        <v>84.25</v>
      </c>
      <c r="E46" s="61" t="n">
        <f aca="false">E37-E40-E42</f>
        <v>345.5</v>
      </c>
      <c r="G46" s="30"/>
    </row>
    <row r="47" customFormat="false" ht="15" hidden="false" customHeight="true" outlineLevel="0" collapsed="false">
      <c r="A47" s="12" t="s">
        <v>900</v>
      </c>
      <c r="B47" s="4" t="s">
        <v>44</v>
      </c>
      <c r="C47" s="16" t="n">
        <f aca="false">C37*C29</f>
        <v>6.25</v>
      </c>
      <c r="D47" s="16" t="n">
        <f aca="false">D37*D29</f>
        <v>58.125</v>
      </c>
      <c r="E47" s="16" t="n">
        <f aca="false">E37*E29</f>
        <v>226.2</v>
      </c>
      <c r="G47" s="30"/>
    </row>
    <row r="48" customFormat="false" ht="15" hidden="false" customHeight="true" outlineLevel="0" collapsed="false">
      <c r="A48" s="12" t="s">
        <v>901</v>
      </c>
      <c r="B48" s="4" t="s">
        <v>44</v>
      </c>
      <c r="C48" s="16" t="n">
        <f aca="false">C40+C41+C42+C43</f>
        <v>42.85</v>
      </c>
      <c r="D48" s="16" t="n">
        <f aca="false">D40+D41+D42+D43</f>
        <v>38</v>
      </c>
      <c r="E48" s="16" t="n">
        <f aca="false">E40+E41+E42+E43</f>
        <v>37.5</v>
      </c>
      <c r="G48" s="30"/>
    </row>
    <row r="49" customFormat="false" ht="15" hidden="false" customHeight="true" outlineLevel="0" collapsed="false">
      <c r="A49" s="5" t="s">
        <v>902</v>
      </c>
      <c r="B49" s="4" t="s">
        <v>46</v>
      </c>
      <c r="C49" s="62" t="n">
        <f aca="false">IFERROR(C47/C48-1,0)</f>
        <v>-0.85414235705951</v>
      </c>
      <c r="D49" s="62" t="n">
        <f aca="false">IFERROR(D47/D48-1,0)</f>
        <v>0.529605263157895</v>
      </c>
      <c r="E49" s="62" t="n">
        <f aca="false">IFERROR(E47/E48-1,0)</f>
        <v>5.032</v>
      </c>
      <c r="G49" s="30"/>
    </row>
    <row r="50" customFormat="false" ht="15" hidden="false" customHeight="true" outlineLevel="0" collapsed="false">
      <c r="A50" s="5" t="s">
        <v>903</v>
      </c>
      <c r="B50" s="4" t="s">
        <v>46</v>
      </c>
      <c r="C50" s="62" t="n">
        <f aca="false">IFERROR(C37/(C40+C42)-1,0)</f>
        <v>-0.368686868686869</v>
      </c>
      <c r="D50" s="62" t="n">
        <f aca="false">IFERROR(D37/(D40+D42)-1,0)</f>
        <v>2.6328125</v>
      </c>
      <c r="E50" s="62" t="n">
        <f aca="false">IFERROR(E37/(E40+E42)-1,0)</f>
        <v>10.968253968254</v>
      </c>
      <c r="G50" s="30"/>
    </row>
    <row r="51" customFormat="false" ht="15" hidden="false" customHeight="true" outlineLevel="0" collapsed="false">
      <c r="A51" s="5" t="s">
        <v>904</v>
      </c>
      <c r="B51" s="4" t="s">
        <v>62</v>
      </c>
      <c r="C51" s="61" t="str">
        <f aca="false">IFERROR(IF(C46&lt;=0,"No payback",IF(AND((C47-C40-C42)&gt;0,(C41+C43)/((C47-C40-C42)/12)&lt;=12),(C41+C43)/((C47-C40-C42)/12),12+((C41+C43)-MAX(0,C47-C40-C42))/(C46/12))),"No payback")</f>
        <v>No payback</v>
      </c>
      <c r="D51" s="61" t="n">
        <f aca="false">IFERROR(IF(D46&lt;=0,"No payback",IF(AND((D47-D40-D42)&gt;0,(D41+D43)/((D47-D40-D42)/12)&lt;=12),(D41+D43)/((D47-D40-D42)/12),12+((D41+D43)-MAX(0,D47-D40-D42))/(D46/12))),"No payback")</f>
        <v>2.75598086124402</v>
      </c>
      <c r="E51" s="61" t="n">
        <f aca="false">IFERROR(IF(E46&lt;=0,"No payback",IF(AND((E47-E40-E42)&gt;0,(E41+E43)/((E47-E40-E42)/12)&lt;=12),(E41+E43)/((E47-E40-E42)/12),12+((E41+E43)-MAX(0,E47-E40-E42))/(E46/12))),"No payback")</f>
        <v>0.36979969183359</v>
      </c>
      <c r="G51" s="30" t="s">
        <v>905</v>
      </c>
    </row>
    <row r="52" customFormat="false" ht="15" hidden="false" customHeight="true" outlineLevel="0" collapsed="false">
      <c r="A52" s="5" t="s">
        <v>906</v>
      </c>
      <c r="B52" s="4" t="s">
        <v>37</v>
      </c>
      <c r="C52" s="63" t="n">
        <f aca="false">IFERROR(C37/C40,0)</f>
        <v>0.694444444444445</v>
      </c>
      <c r="D52" s="63" t="n">
        <f aca="false">IFERROR(D37/D40,0)</f>
        <v>3.875</v>
      </c>
      <c r="E52" s="63" t="n">
        <f aca="false">IFERROR(E37/E40,0)</f>
        <v>12.5666666666667</v>
      </c>
      <c r="G52" s="30" t="s">
        <v>907</v>
      </c>
    </row>
    <row r="53" customFormat="false" ht="15" hidden="false" customHeight="true" outlineLevel="0" collapsed="false">
      <c r="A53" s="5" t="s">
        <v>908</v>
      </c>
      <c r="B53" s="4" t="s">
        <v>212</v>
      </c>
      <c r="C53" s="64" t="n">
        <f aca="false">C37/3</f>
        <v>6.94444444444445</v>
      </c>
      <c r="D53" s="64" t="n">
        <f aca="false">D37/3</f>
        <v>38.75</v>
      </c>
      <c r="E53" s="64" t="n">
        <f aca="false">E37/3</f>
        <v>125.666666666667</v>
      </c>
      <c r="G53" s="30"/>
    </row>
    <row r="54" customFormat="false" ht="15" hidden="false" customHeight="true" outlineLevel="0" collapsed="false">
      <c r="A54" s="5" t="s">
        <v>909</v>
      </c>
      <c r="B54" s="4"/>
      <c r="C54" s="40" t="str">
        <f aca="false">IF(C53&gt;=C40,"Price supportable","Price too high for this value")</f>
        <v>Price too high for this value</v>
      </c>
      <c r="D54" s="40" t="str">
        <f aca="false">IF(D53&gt;=D40,"Price supportable","Price too high for this value")</f>
        <v>Price supportable</v>
      </c>
      <c r="E54" s="40" t="str">
        <f aca="false">IF(E53&gt;=E40,"Price supportable","Price too high for this value")</f>
        <v>Price supportable</v>
      </c>
      <c r="G54" s="30"/>
    </row>
    <row r="55" customFormat="false" ht="15" hidden="false" customHeight="true" outlineLevel="0" collapsed="false">
      <c r="A55" s="12" t="s">
        <v>910</v>
      </c>
      <c r="B55" s="4"/>
      <c r="C55" s="12" t="str">
        <f aca="false">IF(ABS(C37-(C33+C34+C35))&lt;0.001,"OK","CHECK")</f>
        <v>OK</v>
      </c>
      <c r="D55" s="12" t="str">
        <f aca="false">IF(ABS(D37-(D33+D34+D35))&lt;0.001,"OK","CHECK")</f>
        <v>OK</v>
      </c>
      <c r="E55" s="12" t="str">
        <f aca="false">IF(ABS(E37-(E33+E34+E35))&lt;0.001,"OK","CHECK")</f>
        <v>OK</v>
      </c>
      <c r="G55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7" min="3" style="1" width="12"/>
    <col collapsed="false" customWidth="true" hidden="false" outlineLevel="0" max="8" min="8" style="1" width="55"/>
  </cols>
  <sheetData>
    <row r="1" customFormat="false" ht="17.25" hidden="false" customHeight="true" outlineLevel="0" collapsed="false">
      <c r="A1" s="2" t="s">
        <v>911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912</v>
      </c>
    </row>
    <row r="3" customFormat="false" ht="15" hidden="false" customHeight="true" outlineLevel="0" collapsed="false">
      <c r="A3" s="15" t="s">
        <v>44</v>
      </c>
      <c r="B3" s="15" t="s">
        <v>42</v>
      </c>
      <c r="C3" s="15" t="str">
        <f aca="false">INDEX(Engine_Monthly!$D$10:$BK$10,1,12)</f>
        <v>FY27</v>
      </c>
      <c r="D3" s="15" t="str">
        <f aca="false">INDEX(Engine_Monthly!$D$10:$BK$10,1,24)</f>
        <v>FY28</v>
      </c>
      <c r="E3" s="15" t="str">
        <f aca="false">INDEX(Engine_Monthly!$D$10:$BK$10,1,36)</f>
        <v>FY29</v>
      </c>
      <c r="F3" s="15" t="str">
        <f aca="false">INDEX(Engine_Monthly!$D$10:$BK$10,1,48)</f>
        <v>FY30</v>
      </c>
      <c r="G3" s="15" t="str">
        <f aca="false">INDEX(Engine_Monthly!$D$10:$BK$10,1,60)</f>
        <v>FY31</v>
      </c>
    </row>
    <row r="4" customFormat="false" ht="15" hidden="false" customHeight="true" outlineLevel="0" collapsed="false">
      <c r="A4" s="4" t="s">
        <v>635</v>
      </c>
      <c r="C4" s="53" t="n">
        <v>1</v>
      </c>
      <c r="D4" s="53" t="n">
        <v>2</v>
      </c>
      <c r="E4" s="53" t="n">
        <v>3</v>
      </c>
      <c r="F4" s="53" t="n">
        <v>4</v>
      </c>
      <c r="G4" s="53" t="n">
        <v>5</v>
      </c>
    </row>
    <row r="6" customFormat="false" ht="15" hidden="false" customHeight="true" outlineLevel="0" collapsed="false">
      <c r="A6" s="10" t="s">
        <v>913</v>
      </c>
      <c r="B6" s="11"/>
      <c r="C6" s="11"/>
      <c r="D6" s="11"/>
      <c r="E6" s="11"/>
      <c r="F6" s="11"/>
      <c r="G6" s="11"/>
      <c r="H6" s="11"/>
    </row>
    <row r="7" customFormat="false" ht="15" hidden="false" customHeight="true" outlineLevel="0" collapsed="false">
      <c r="A7" s="12" t="s">
        <v>914</v>
      </c>
      <c r="B7" s="4" t="s">
        <v>725</v>
      </c>
      <c r="C7" s="20" t="n">
        <f aca="false">INDEX(Engine_Monthly!$D$13:$BK$13,1,C$4*12)</f>
        <v>1</v>
      </c>
      <c r="D7" s="20" t="n">
        <f aca="false">INDEX(Engine_Monthly!$D$13:$BK$13,1,D$4*12)</f>
        <v>4</v>
      </c>
      <c r="E7" s="20" t="n">
        <f aca="false">INDEX(Engine_Monthly!$D$13:$BK$13,1,E$4*12)</f>
        <v>10</v>
      </c>
      <c r="F7" s="20" t="n">
        <f aca="false">INDEX(Engine_Monthly!$D$13:$BK$13,1,F$4*12)</f>
        <v>18</v>
      </c>
      <c r="G7" s="20" t="n">
        <f aca="false">INDEX(Engine_Monthly!$D$13:$BK$13,1,G$4*12)</f>
        <v>25</v>
      </c>
    </row>
    <row r="8" customFormat="false" ht="15" hidden="false" customHeight="true" outlineLevel="0" collapsed="false">
      <c r="A8" s="12" t="s">
        <v>915</v>
      </c>
      <c r="B8" s="4" t="s">
        <v>916</v>
      </c>
      <c r="C8" s="18" t="n">
        <f aca="false">AVERAGEIF(Engine_Monthly!$D$7:$BK$7,C$4,Engine_Monthly!$D$17:$BK$17)</f>
        <v>1.04166666666667</v>
      </c>
      <c r="D8" s="18" t="n">
        <f aca="false">AVERAGEIF(Engine_Monthly!$D$7:$BK$7,D$4,Engine_Monthly!$D$17:$BK$17)</f>
        <v>3.875</v>
      </c>
      <c r="E8" s="18" t="n">
        <f aca="false">AVERAGEIF(Engine_Monthly!$D$7:$BK$7,E$4,Engine_Monthly!$D$17:$BK$17)</f>
        <v>9</v>
      </c>
      <c r="F8" s="18" t="n">
        <f aca="false">AVERAGEIF(Engine_Monthly!$D$7:$BK$7,F$4,Engine_Monthly!$D$17:$BK$17)</f>
        <v>16.5833333333333</v>
      </c>
      <c r="G8" s="18" t="n">
        <f aca="false">AVERAGEIF(Engine_Monthly!$D$7:$BK$7,G$4,Engine_Monthly!$D$17:$BK$17)</f>
        <v>23.7916666666667</v>
      </c>
    </row>
    <row r="9" customFormat="false" ht="15" hidden="false" customHeight="true" outlineLevel="0" collapsed="false">
      <c r="A9" s="12" t="s">
        <v>917</v>
      </c>
      <c r="B9" s="4" t="s">
        <v>29</v>
      </c>
      <c r="C9" s="16" t="n">
        <f aca="false">IFERROR(SUMIF(Engine_Monthly!$D$7:$BK$7,C$4,Engine_Monthly!$D$21:$BK$21)*(SUMIF(Engine_Monthly!$D$7:$BK$7,C$4,Engine_Monthly!$D$18:$BK$18)/SUMIF(Engine_Monthly!$D$7:$BK$7,C$4,Engine_Monthly!$D$20:$BK$20))/C8/12,0)</f>
        <v>15</v>
      </c>
      <c r="D9" s="16" t="n">
        <f aca="false">IFERROR(SUMIF(Engine_Monthly!$D$7:$BK$7,D$4,Engine_Monthly!$D$21:$BK$21)*(SUMIF(Engine_Monthly!$D$7:$BK$7,D$4,Engine_Monthly!$D$18:$BK$18)/SUMIF(Engine_Monthly!$D$7:$BK$7,D$4,Engine_Monthly!$D$20:$BK$20))/D8/12,0)</f>
        <v>15</v>
      </c>
      <c r="E9" s="16" t="n">
        <f aca="false">IFERROR(SUMIF(Engine_Monthly!$D$7:$BK$7,E$4,Engine_Monthly!$D$21:$BK$21)*(SUMIF(Engine_Monthly!$D$7:$BK$7,E$4,Engine_Monthly!$D$18:$BK$18)/SUMIF(Engine_Monthly!$D$7:$BK$7,E$4,Engine_Monthly!$D$20:$BK$20))/E8/12,0)</f>
        <v>15</v>
      </c>
      <c r="F9" s="16" t="n">
        <f aca="false">IFERROR(SUMIF(Engine_Monthly!$D$7:$BK$7,F$4,Engine_Monthly!$D$21:$BK$21)*(SUMIF(Engine_Monthly!$D$7:$BK$7,F$4,Engine_Monthly!$D$18:$BK$18)/SUMIF(Engine_Monthly!$D$7:$BK$7,F$4,Engine_Monthly!$D$20:$BK$20))/F8/12,0)</f>
        <v>15</v>
      </c>
      <c r="G9" s="16" t="n">
        <f aca="false">IFERROR(SUMIF(Engine_Monthly!$D$7:$BK$7,G$4,Engine_Monthly!$D$21:$BK$21)*(SUMIF(Engine_Monthly!$D$7:$BK$7,G$4,Engine_Monthly!$D$18:$BK$18)/SUMIF(Engine_Monthly!$D$7:$BK$7,G$4,Engine_Monthly!$D$20:$BK$20))/G8/12,0)</f>
        <v>15</v>
      </c>
    </row>
    <row r="10" customFormat="false" ht="15" hidden="false" customHeight="true" outlineLevel="0" collapsed="false">
      <c r="A10" s="12" t="s">
        <v>918</v>
      </c>
      <c r="B10" s="4" t="s">
        <v>29</v>
      </c>
      <c r="C10" s="16" t="n">
        <f aca="false">IFERROR(SUMIF(Engine_Monthly!$D$7:$BK$7,C$4,Engine_Monthly!$D$18:$BK$18)/C8/12,0)</f>
        <v>3</v>
      </c>
      <c r="D10" s="16" t="n">
        <f aca="false">IFERROR(SUMIF(Engine_Monthly!$D$7:$BK$7,D$4,Engine_Monthly!$D$18:$BK$18)/D8/12,0)</f>
        <v>3</v>
      </c>
      <c r="E10" s="16" t="n">
        <f aca="false">IFERROR(SUMIF(Engine_Monthly!$D$7:$BK$7,E$4,Engine_Monthly!$D$18:$BK$18)/E8/12,0)</f>
        <v>3</v>
      </c>
      <c r="F10" s="16" t="n">
        <f aca="false">IFERROR(SUMIF(Engine_Monthly!$D$7:$BK$7,F$4,Engine_Monthly!$D$18:$BK$18)/F8/12,0)</f>
        <v>3</v>
      </c>
      <c r="G10" s="16" t="n">
        <f aca="false">IFERROR(SUMIF(Engine_Monthly!$D$7:$BK$7,G$4,Engine_Monthly!$D$18:$BK$18)/G8/12,0)</f>
        <v>3</v>
      </c>
    </row>
    <row r="11" customFormat="false" ht="15" hidden="false" customHeight="true" outlineLevel="0" collapsed="false">
      <c r="A11" s="12" t="s">
        <v>919</v>
      </c>
      <c r="B11" s="4" t="s">
        <v>29</v>
      </c>
      <c r="C11" s="16" t="n">
        <f aca="false">IFERROR(SUMIF(Engine_Monthly!$D$7:$BK$7,C$4,Engine_Monthly!$D$30:$BK$30)/C8,0)</f>
        <v>1.9008</v>
      </c>
      <c r="D11" s="16" t="n">
        <f aca="false">IFERROR(SUMIF(Engine_Monthly!$D$7:$BK$7,D$4,Engine_Monthly!$D$30:$BK$30)/D8,0)</f>
        <v>3.57677419354839</v>
      </c>
      <c r="E11" s="16" t="n">
        <f aca="false">IFERROR(SUMIF(Engine_Monthly!$D$7:$BK$7,E$4,Engine_Monthly!$D$30:$BK$30)/E8,0)</f>
        <v>4.0425</v>
      </c>
      <c r="F11" s="16" t="n">
        <f aca="false">IFERROR(SUMIF(Engine_Monthly!$D$7:$BK$7,F$4,Engine_Monthly!$D$30:$BK$30)/F8,0)</f>
        <v>4.50723618090452</v>
      </c>
      <c r="G11" s="16" t="n">
        <f aca="false">IFERROR(SUMIF(Engine_Monthly!$D$7:$BK$7,G$4,Engine_Monthly!$D$30:$BK$30)/G8,0)</f>
        <v>5.0661646234676</v>
      </c>
      <c r="H11" s="4" t="s">
        <v>920</v>
      </c>
    </row>
    <row r="13" customFormat="false" ht="15" hidden="false" customHeight="true" outlineLevel="0" collapsed="false">
      <c r="A13" s="10" t="s">
        <v>921</v>
      </c>
      <c r="B13" s="11"/>
      <c r="C13" s="11"/>
      <c r="D13" s="11"/>
      <c r="E13" s="11"/>
      <c r="F13" s="11"/>
      <c r="G13" s="11"/>
      <c r="H13" s="11"/>
    </row>
    <row r="14" customFormat="false" ht="15" hidden="false" customHeight="true" outlineLevel="0" collapsed="false">
      <c r="A14" s="12" t="s">
        <v>922</v>
      </c>
      <c r="B14" s="4" t="s">
        <v>29</v>
      </c>
      <c r="C14" s="16" t="n">
        <f aca="false">SUMIF(Engine_Monthly!$D$7:$BK$7,C$4,Engine_Monthly!$D$30:$BK$30)</f>
        <v>1.98</v>
      </c>
      <c r="D14" s="16" t="n">
        <f aca="false">SUMIF(Engine_Monthly!$D$7:$BK$7,D$4,Engine_Monthly!$D$30:$BK$30)</f>
        <v>13.86</v>
      </c>
      <c r="E14" s="16" t="n">
        <f aca="false">SUMIF(Engine_Monthly!$D$7:$BK$7,E$4,Engine_Monthly!$D$30:$BK$30)</f>
        <v>36.3825</v>
      </c>
      <c r="F14" s="16" t="n">
        <f aca="false">SUMIF(Engine_Monthly!$D$7:$BK$7,F$4,Engine_Monthly!$D$30:$BK$30)</f>
        <v>74.745</v>
      </c>
      <c r="G14" s="16" t="n">
        <f aca="false">SUMIF(Engine_Monthly!$D$7:$BK$7,G$4,Engine_Monthly!$D$30:$BK$30)</f>
        <v>120.5325</v>
      </c>
    </row>
    <row r="15" customFormat="false" ht="15" hidden="false" customHeight="true" outlineLevel="0" collapsed="false">
      <c r="A15" s="12" t="s">
        <v>923</v>
      </c>
      <c r="B15" s="4" t="s">
        <v>29</v>
      </c>
      <c r="C15" s="16" t="n">
        <f aca="false">SUMIF(Engine_Monthly!$D$7:$BK$7,C$4,Engine_Monthly!$D$31:$BK$31)</f>
        <v>0</v>
      </c>
      <c r="D15" s="16" t="n">
        <f aca="false">SUMIF(Engine_Monthly!$D$7:$BK$7,D$4,Engine_Monthly!$D$31:$BK$31)</f>
        <v>9.71938968</v>
      </c>
      <c r="E15" s="16" t="n">
        <f aca="false">SUMIF(Engine_Monthly!$D$7:$BK$7,E$4,Engine_Monthly!$D$31:$BK$31)</f>
        <v>38.87755872</v>
      </c>
      <c r="F15" s="16" t="n">
        <f aca="false">SUMIF(Engine_Monthly!$D$7:$BK$7,F$4,Engine_Monthly!$D$31:$BK$31)</f>
        <v>77.75511744</v>
      </c>
      <c r="G15" s="16" t="n">
        <f aca="false">SUMIF(Engine_Monthly!$D$7:$BK$7,G$4,Engine_Monthly!$D$31:$BK$31)</f>
        <v>116.63267616</v>
      </c>
    </row>
    <row r="16" customFormat="false" ht="15" hidden="false" customHeight="true" outlineLevel="0" collapsed="false">
      <c r="A16" s="12" t="s">
        <v>924</v>
      </c>
      <c r="B16" s="4" t="s">
        <v>46</v>
      </c>
      <c r="C16" s="17" t="n">
        <f aca="false">IFERROR(C15/(C14+C15),0)</f>
        <v>0</v>
      </c>
      <c r="D16" s="17" t="n">
        <f aca="false">IFERROR(D15/(D14+D15),0)</f>
        <v>0.412198526420893</v>
      </c>
      <c r="E16" s="17" t="n">
        <f aca="false">IFERROR(E15/(E14+E15),0)</f>
        <v>0.516576247497246</v>
      </c>
      <c r="F16" s="17" t="n">
        <f aca="false">IFERROR(F15/(F14+F15),0)</f>
        <v>0.509869229907919</v>
      </c>
      <c r="G16" s="17" t="n">
        <f aca="false">IFERROR(G15/(G14+G15),0)</f>
        <v>0.491778253656074</v>
      </c>
    </row>
    <row r="17" customFormat="false" ht="15" hidden="false" customHeight="true" outlineLevel="0" collapsed="false">
      <c r="A17" s="12" t="s">
        <v>925</v>
      </c>
      <c r="B17" s="4" t="s">
        <v>44</v>
      </c>
      <c r="C17" s="16" t="n">
        <f aca="false">SUMIF(Engine_Monthly!$D$7:$BK$7,C$4,Engine_Monthly!$D$129:$BK$129)-SUMIF(Engine_Monthly!$D$7:$BK$7,C$4,Engine_Monthly!$D$128:$BK$128)-SUMIF(Engine_Monthly!$D$7:$BK$7,C$4,Engine_Monthly!$D$31:$BK$31)*Inputs!$C$89*AVERAGEIF(Engine_Monthly!$D$7:$BK$7,C$4,Engine_Monthly!$D$50:$BK$50)</f>
        <v>72.354</v>
      </c>
      <c r="D17" s="16" t="n">
        <f aca="false">SUMIF(Engine_Monthly!$D$7:$BK$7,D$4,Engine_Monthly!$D$129:$BK$129)-SUMIF(Engine_Monthly!$D$7:$BK$7,D$4,Engine_Monthly!$D$128:$BK$128)-SUMIF(Engine_Monthly!$D$7:$BK$7,D$4,Engine_Monthly!$D$31:$BK$31)*Inputs!$C$89*AVERAGEIF(Engine_Monthly!$D$7:$BK$7,D$4,Engine_Monthly!$D$50:$BK$50)</f>
        <v>228.9327</v>
      </c>
      <c r="E17" s="16" t="n">
        <f aca="false">SUMIF(Engine_Monthly!$D$7:$BK$7,E$4,Engine_Monthly!$D$129:$BK$129)-SUMIF(Engine_Monthly!$D$7:$BK$7,E$4,Engine_Monthly!$D$128:$BK$128)-SUMIF(Engine_Monthly!$D$7:$BK$7,E$4,Engine_Monthly!$D$31:$BK$31)*Inputs!$C$89*AVERAGEIF(Engine_Monthly!$D$7:$BK$7,E$4,Engine_Monthly!$D$50:$BK$50)</f>
        <v>545.953356375</v>
      </c>
      <c r="F17" s="16" t="n">
        <f aca="false">SUMIF(Engine_Monthly!$D$7:$BK$7,F$4,Engine_Monthly!$D$129:$BK$129)-SUMIF(Engine_Monthly!$D$7:$BK$7,F$4,Engine_Monthly!$D$128:$BK$128)-SUMIF(Engine_Monthly!$D$7:$BK$7,F$4,Engine_Monthly!$D$31:$BK$31)*Inputs!$C$89*AVERAGEIF(Engine_Monthly!$D$7:$BK$7,F$4,Engine_Monthly!$D$50:$BK$50)</f>
        <v>1020.3174572775</v>
      </c>
      <c r="G17" s="16" t="n">
        <f aca="false">SUMIF(Engine_Monthly!$D$7:$BK$7,G$4,Engine_Monthly!$D$129:$BK$129)-SUMIF(Engine_Monthly!$D$7:$BK$7,G$4,Engine_Monthly!$D$128:$BK$128)-SUMIF(Engine_Monthly!$D$7:$BK$7,G$4,Engine_Monthly!$D$31:$BK$31)*Inputs!$C$89*AVERAGEIF(Engine_Monthly!$D$7:$BK$7,G$4,Engine_Monthly!$D$50:$BK$50)</f>
        <v>1548.37510692289</v>
      </c>
    </row>
    <row r="18" customFormat="false" ht="15" hidden="false" customHeight="true" outlineLevel="0" collapsed="false">
      <c r="A18" s="12" t="s">
        <v>926</v>
      </c>
      <c r="B18" s="4" t="s">
        <v>44</v>
      </c>
      <c r="C18" s="18" t="n">
        <f aca="false">IFERROR(C17/C14,0)</f>
        <v>36.5424242424242</v>
      </c>
      <c r="D18" s="18" t="n">
        <f aca="false">IFERROR(D17/D14,0)</f>
        <v>16.5175108225108</v>
      </c>
      <c r="E18" s="18" t="n">
        <f aca="false">IFERROR(E17/E14,0)</f>
        <v>15.005932972583</v>
      </c>
      <c r="F18" s="18" t="n">
        <f aca="false">IFERROR(F17/F14,0)</f>
        <v>13.6506449565523</v>
      </c>
      <c r="G18" s="18" t="n">
        <f aca="false">IFERROR(G17/G14,0)</f>
        <v>12.8461212280745</v>
      </c>
    </row>
    <row r="19" customFormat="false" ht="15" hidden="false" customHeight="true" outlineLevel="0" collapsed="false">
      <c r="A19" s="12" t="s">
        <v>927</v>
      </c>
      <c r="B19" s="4" t="s">
        <v>44</v>
      </c>
      <c r="C19" s="16" t="n">
        <f aca="false">SUMIF(Engine_Monthly!$D$7:$BK$7,C$4,Engine_Monthly!$D$128:$BK$128)+SUMIF(Engine_Monthly!$D$7:$BK$7,C$4,Engine_Monthly!$D$31:$BK$31)*Inputs!$C$89*AVERAGEIF(Engine_Monthly!$D$7:$BK$7,C$4,Engine_Monthly!$D$50:$BK$50)</f>
        <v>0</v>
      </c>
      <c r="D19" s="16" t="n">
        <f aca="false">SUMIF(Engine_Monthly!$D$7:$BK$7,D$4,Engine_Monthly!$D$128:$BK$128)+SUMIF(Engine_Monthly!$D$7:$BK$7,D$4,Engine_Monthly!$D$31:$BK$31)*Inputs!$C$89*AVERAGEIF(Engine_Monthly!$D$7:$BK$7,D$4,Engine_Monthly!$D$50:$BK$50)</f>
        <v>77.580815193</v>
      </c>
      <c r="E19" s="16" t="n">
        <f aca="false">SUMIF(Engine_Monthly!$D$7:$BK$7,E$4,Engine_Monthly!$D$128:$BK$128)+SUMIF(Engine_Monthly!$D$7:$BK$7,E$4,Engine_Monthly!$D$31:$BK$31)*Inputs!$C$89*AVERAGEIF(Engine_Monthly!$D$7:$BK$7,E$4,Engine_Monthly!$D$50:$BK$50)</f>
        <v>266.3044238106</v>
      </c>
      <c r="F19" s="16" t="n">
        <f aca="false">SUMIF(Engine_Monthly!$D$7:$BK$7,F$4,Engine_Monthly!$D$128:$BK$128)+SUMIF(Engine_Monthly!$D$7:$BK$7,F$4,Engine_Monthly!$D$31:$BK$31)*Inputs!$C$89*AVERAGEIF(Engine_Monthly!$D$7:$BK$7,F$4,Engine_Monthly!$D$50:$BK$50)</f>
        <v>538.40204000226</v>
      </c>
      <c r="G19" s="16" t="n">
        <f aca="false">SUMIF(Engine_Monthly!$D$7:$BK$7,G$4,Engine_Monthly!$D$128:$BK$128)+SUMIF(Engine_Monthly!$D$7:$BK$7,G$4,Engine_Monthly!$D$31:$BK$31)*Inputs!$C$89*AVERAGEIF(Engine_Monthly!$D$7:$BK$7,G$4,Engine_Monthly!$D$50:$BK$50)</f>
        <v>837.04365675356</v>
      </c>
    </row>
    <row r="20" customFormat="false" ht="15" hidden="false" customHeight="true" outlineLevel="0" collapsed="false">
      <c r="A20" s="12" t="s">
        <v>928</v>
      </c>
      <c r="B20" s="4" t="s">
        <v>44</v>
      </c>
      <c r="C20" s="18" t="n">
        <f aca="false">IFERROR(C19/C15,0)</f>
        <v>0</v>
      </c>
      <c r="D20" s="18" t="n">
        <f aca="false">IFERROR(D19/D15,0)</f>
        <v>7.98206654401781</v>
      </c>
      <c r="E20" s="18" t="n">
        <f aca="false">IFERROR(E19/E15,0)</f>
        <v>6.84982371780468</v>
      </c>
      <c r="F20" s="18" t="n">
        <f aca="false">IFERROR(F19/F15,0)</f>
        <v>6.92432932684746</v>
      </c>
      <c r="G20" s="18" t="n">
        <f aca="false">IFERROR(G19/G15,0)</f>
        <v>7.17675084129322</v>
      </c>
      <c r="H20" s="4" t="s">
        <v>929</v>
      </c>
    </row>
    <row r="21" customFormat="false" ht="15" hidden="false" customHeight="true" outlineLevel="0" collapsed="false">
      <c r="A21" s="12" t="s">
        <v>930</v>
      </c>
      <c r="B21" s="4" t="s">
        <v>44</v>
      </c>
      <c r="C21" s="16" t="n">
        <f aca="false">C15*AVERAGEIF(Engine_Monthly!$D$7:$BK$7,C$4,Engine_Monthly!$D$50:$BK$50)</f>
        <v>0</v>
      </c>
      <c r="D21" s="16" t="n">
        <f aca="false">D15*AVERAGEIF(Engine_Monthly!$D$7:$BK$7,D$4,Engine_Monthly!$D$50:$BK$50)</f>
        <v>293.404075965</v>
      </c>
      <c r="E21" s="16" t="n">
        <f aca="false">E15*AVERAGEIF(Engine_Monthly!$D$7:$BK$7,E$4,Engine_Monthly!$D$50:$BK$50)</f>
        <v>1232.297119053</v>
      </c>
      <c r="F21" s="16" t="n">
        <f aca="false">F15*AVERAGEIF(Engine_Monthly!$D$7:$BK$7,F$4,Engine_Monthly!$D$50:$BK$50)</f>
        <v>2587.8239500113</v>
      </c>
      <c r="G21" s="16" t="n">
        <f aca="false">G15*AVERAGEIF(Engine_Monthly!$D$7:$BK$7,G$4,Engine_Monthly!$D$50:$BK$50)</f>
        <v>4075.8227212678</v>
      </c>
    </row>
    <row r="23" customFormat="false" ht="15" hidden="false" customHeight="true" outlineLevel="0" collapsed="false">
      <c r="A23" s="10" t="s">
        <v>931</v>
      </c>
      <c r="B23" s="11"/>
      <c r="C23" s="11"/>
      <c r="D23" s="11"/>
      <c r="E23" s="11"/>
      <c r="F23" s="11"/>
      <c r="G23" s="11"/>
      <c r="H23" s="11"/>
    </row>
    <row r="24" customFormat="false" ht="15" hidden="false" customHeight="true" outlineLevel="0" collapsed="false">
      <c r="A24" s="12" t="s">
        <v>47</v>
      </c>
      <c r="B24" s="4" t="s">
        <v>44</v>
      </c>
      <c r="C24" s="16" t="n">
        <f aca="false">INDEX(Engine_Monthly!$D$56:$BK$56,1,C$4*12)</f>
        <v>30.9967989601111</v>
      </c>
      <c r="D24" s="16" t="n">
        <f aca="false">INDEX(Engine_Monthly!$D$56:$BK$56,1,D$4*12)</f>
        <v>552.944981798989</v>
      </c>
      <c r="E24" s="16" t="n">
        <f aca="false">INDEX(Engine_Monthly!$D$56:$BK$56,1,E$4*12)</f>
        <v>2619.64347232039</v>
      </c>
      <c r="F24" s="16" t="n">
        <f aca="false">INDEX(Engine_Monthly!$D$56:$BK$56,1,F$4*12)</f>
        <v>7429.62436790497</v>
      </c>
      <c r="G24" s="16" t="n">
        <f aca="false">INDEX(Engine_Monthly!$D$56:$BK$56,1,G$4*12)</f>
        <v>15745.7780317478</v>
      </c>
    </row>
    <row r="25" customFormat="false" ht="15" hidden="false" customHeight="true" outlineLevel="0" collapsed="false">
      <c r="A25" s="12" t="s">
        <v>932</v>
      </c>
      <c r="B25" s="4" t="s">
        <v>148</v>
      </c>
      <c r="C25" s="20" t="n">
        <f aca="false">IF(COUNT(Engine_Monthly!$D$179:$BK$179)=0,"Not in 5 yrs",MIN(Engine_Monthly!$D$179:$BK$179))</f>
        <v>28</v>
      </c>
    </row>
    <row r="28" customFormat="false" ht="15" hidden="false" customHeight="true" outlineLevel="0" collapsed="false">
      <c r="A28" s="10" t="s">
        <v>933</v>
      </c>
      <c r="B28" s="11"/>
      <c r="C28" s="11"/>
      <c r="D28" s="11"/>
      <c r="E28" s="11"/>
      <c r="F28" s="11"/>
      <c r="G28" s="11"/>
      <c r="H28" s="11"/>
    </row>
    <row r="29" customFormat="false" ht="23.25" hidden="false" customHeight="true" outlineLevel="0" collapsed="false">
      <c r="A29" s="15" t="s">
        <v>934</v>
      </c>
      <c r="B29" s="15" t="s">
        <v>935</v>
      </c>
      <c r="C29" s="15" t="s">
        <v>936</v>
      </c>
      <c r="D29" s="15" t="s">
        <v>937</v>
      </c>
      <c r="E29" s="15" t="s">
        <v>938</v>
      </c>
      <c r="F29" s="15" t="s">
        <v>939</v>
      </c>
      <c r="G29" s="15"/>
      <c r="H29" s="15" t="s">
        <v>559</v>
      </c>
    </row>
    <row r="30" customFormat="false" ht="30" hidden="false" customHeight="true" outlineLevel="0" collapsed="false">
      <c r="A30" s="65" t="s">
        <v>940</v>
      </c>
      <c r="B30" s="30" t="s">
        <v>941</v>
      </c>
      <c r="C30" s="30" t="s">
        <v>563</v>
      </c>
      <c r="D30" s="30" t="s">
        <v>577</v>
      </c>
      <c r="E30" s="30" t="s">
        <v>942</v>
      </c>
      <c r="F30" s="30" t="s">
        <v>943</v>
      </c>
      <c r="H30" s="30" t="s">
        <v>944</v>
      </c>
    </row>
    <row r="31" customFormat="false" ht="30" hidden="false" customHeight="true" outlineLevel="0" collapsed="false">
      <c r="A31" s="65" t="s">
        <v>945</v>
      </c>
      <c r="B31" s="30" t="s">
        <v>563</v>
      </c>
      <c r="C31" s="30" t="s">
        <v>946</v>
      </c>
      <c r="D31" s="30" t="s">
        <v>943</v>
      </c>
      <c r="E31" s="30" t="s">
        <v>947</v>
      </c>
      <c r="F31" s="30" t="s">
        <v>577</v>
      </c>
      <c r="H31" s="30" t="s">
        <v>948</v>
      </c>
    </row>
    <row r="32" customFormat="false" ht="30" hidden="false" customHeight="true" outlineLevel="0" collapsed="false">
      <c r="A32" s="65" t="s">
        <v>949</v>
      </c>
      <c r="B32" s="30" t="s">
        <v>950</v>
      </c>
      <c r="C32" s="30" t="s">
        <v>943</v>
      </c>
      <c r="D32" s="30" t="s">
        <v>951</v>
      </c>
      <c r="E32" s="30" t="s">
        <v>952</v>
      </c>
      <c r="F32" s="30" t="s">
        <v>953</v>
      </c>
      <c r="H32" s="30" t="s">
        <v>954</v>
      </c>
    </row>
    <row r="33" customFormat="false" ht="30" hidden="false" customHeight="true" outlineLevel="0" collapsed="false">
      <c r="A33" s="65" t="s">
        <v>955</v>
      </c>
      <c r="B33" s="30" t="s">
        <v>563</v>
      </c>
      <c r="C33" s="30" t="s">
        <v>563</v>
      </c>
      <c r="D33" s="30" t="s">
        <v>563</v>
      </c>
      <c r="E33" s="30" t="s">
        <v>956</v>
      </c>
      <c r="F33" s="30" t="s">
        <v>563</v>
      </c>
      <c r="H33" s="30" t="s">
        <v>957</v>
      </c>
    </row>
    <row r="34" customFormat="false" ht="30" hidden="false" customHeight="true" outlineLevel="0" collapsed="false">
      <c r="A34" s="65" t="s">
        <v>958</v>
      </c>
      <c r="B34" s="30" t="s">
        <v>959</v>
      </c>
      <c r="C34" s="30" t="s">
        <v>568</v>
      </c>
      <c r="D34" s="30" t="s">
        <v>568</v>
      </c>
      <c r="E34" s="30" t="s">
        <v>960</v>
      </c>
      <c r="F34" s="30" t="s">
        <v>563</v>
      </c>
      <c r="H34" s="30" t="s">
        <v>961</v>
      </c>
    </row>
    <row r="35" customFormat="false" ht="30" hidden="false" customHeight="true" outlineLevel="0" collapsed="false">
      <c r="A35" s="65" t="s">
        <v>962</v>
      </c>
      <c r="B35" s="30" t="s">
        <v>563</v>
      </c>
      <c r="C35" s="30" t="s">
        <v>568</v>
      </c>
      <c r="D35" s="30" t="s">
        <v>568</v>
      </c>
      <c r="E35" s="30" t="s">
        <v>963</v>
      </c>
      <c r="F35" s="30" t="s">
        <v>563</v>
      </c>
      <c r="H35" s="30" t="s">
        <v>964</v>
      </c>
    </row>
    <row r="37" customFormat="false" ht="15" hidden="false" customHeight="true" outlineLevel="0" collapsed="false">
      <c r="A37" s="5" t="s">
        <v>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2"/>
    <col collapsed="false" customWidth="true" hidden="false" outlineLevel="0" max="7" min="3" style="1" width="13"/>
    <col collapsed="false" customWidth="true" hidden="false" outlineLevel="0" max="8" min="8" style="1" width="55"/>
  </cols>
  <sheetData>
    <row r="1" customFormat="false" ht="17.25" hidden="false" customHeight="true" outlineLevel="0" collapsed="false">
      <c r="A1" s="2" t="s">
        <v>966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967</v>
      </c>
    </row>
    <row r="4" customFormat="false" ht="15" hidden="false" customHeight="true" outlineLevel="0" collapsed="false">
      <c r="A4" s="10" t="s">
        <v>968</v>
      </c>
      <c r="B4" s="11"/>
      <c r="C4" s="11"/>
      <c r="D4" s="11"/>
      <c r="E4" s="11"/>
      <c r="F4" s="11"/>
      <c r="G4" s="11"/>
      <c r="H4" s="11"/>
    </row>
    <row r="5" customFormat="false" ht="15" hidden="false" customHeight="true" outlineLevel="0" collapsed="false">
      <c r="A5" s="5" t="s">
        <v>969</v>
      </c>
      <c r="B5" s="4" t="s">
        <v>44</v>
      </c>
      <c r="C5" s="66" t="n">
        <f aca="false">-MIN(0,MIN(Engine_Monthly!$D$166:$BK$166))</f>
        <v>692.949528528841</v>
      </c>
      <c r="H5" s="4"/>
    </row>
    <row r="6" customFormat="false" ht="15" hidden="false" customHeight="true" outlineLevel="0" collapsed="false">
      <c r="A6" s="12" t="s">
        <v>970</v>
      </c>
      <c r="B6" s="4" t="s">
        <v>148</v>
      </c>
      <c r="C6" s="20" t="n">
        <f aca="false">MATCH(MIN(Engine_Monthly!$D$166:$BK$166),Engine_Monthly!$D$166:$BK$166,0)</f>
        <v>28</v>
      </c>
      <c r="H6" s="4"/>
    </row>
    <row r="7" customFormat="false" ht="15" hidden="false" customHeight="true" outlineLevel="0" collapsed="false">
      <c r="A7" s="12" t="s">
        <v>971</v>
      </c>
      <c r="B7" s="4" t="s">
        <v>44</v>
      </c>
      <c r="C7" s="16" t="n">
        <f aca="false">MAX(Engine_Monthly!$D$167:$BK$167)</f>
        <v>51.0032524796781</v>
      </c>
      <c r="H7" s="4"/>
    </row>
    <row r="8" customFormat="false" ht="15" hidden="false" customHeight="true" outlineLevel="0" collapsed="false">
      <c r="A8" s="12" t="s">
        <v>972</v>
      </c>
      <c r="B8" s="4" t="s">
        <v>44</v>
      </c>
      <c r="C8" s="16" t="n">
        <f aca="false">SUMIF(Engine_Monthly!$D$6:$BK$6,"&lt;=12",Engine_Monthly!$D$167:$BK$167)/12</f>
        <v>18.6505094003824</v>
      </c>
      <c r="H8" s="4"/>
    </row>
    <row r="9" customFormat="false" ht="15" hidden="false" customHeight="true" outlineLevel="0" collapsed="false">
      <c r="A9" s="12" t="s">
        <v>281</v>
      </c>
      <c r="B9" s="4" t="s">
        <v>44</v>
      </c>
      <c r="C9" s="16" t="n">
        <f aca="false">Inputs!$C$118*C7</f>
        <v>306.019514878069</v>
      </c>
      <c r="H9" s="4" t="s">
        <v>973</v>
      </c>
    </row>
    <row r="10" customFormat="false" ht="15" hidden="false" customHeight="true" outlineLevel="0" collapsed="false">
      <c r="A10" s="12" t="s">
        <v>974</v>
      </c>
      <c r="B10" s="4" t="s">
        <v>44</v>
      </c>
      <c r="C10" s="16" t="n">
        <f aca="false">C5*Inputs!$C$119</f>
        <v>103.942429279326</v>
      </c>
      <c r="H10" s="4"/>
    </row>
    <row r="11" customFormat="false" ht="15" hidden="false" customHeight="true" outlineLevel="0" collapsed="false">
      <c r="A11" s="5" t="s">
        <v>975</v>
      </c>
      <c r="B11" s="4" t="s">
        <v>44</v>
      </c>
      <c r="C11" s="66" t="n">
        <f aca="false">C5+C9+C10</f>
        <v>1102.91147268624</v>
      </c>
      <c r="H11" s="4"/>
    </row>
    <row r="12" customFormat="false" ht="15" hidden="false" customHeight="true" outlineLevel="0" collapsed="false">
      <c r="A12" s="5" t="s">
        <v>976</v>
      </c>
      <c r="B12" s="4" t="s">
        <v>27</v>
      </c>
      <c r="C12" s="13" t="n">
        <f aca="false">C11/100</f>
        <v>11.0291147268624</v>
      </c>
      <c r="H12" s="4"/>
    </row>
    <row r="14" customFormat="false" ht="15" hidden="false" customHeight="true" outlineLevel="0" collapsed="false">
      <c r="A14" s="10" t="s">
        <v>977</v>
      </c>
      <c r="B14" s="11"/>
      <c r="C14" s="11"/>
      <c r="D14" s="11"/>
      <c r="E14" s="11"/>
      <c r="F14" s="11"/>
      <c r="G14" s="11"/>
      <c r="H14" s="11"/>
    </row>
    <row r="15" customFormat="false" ht="15" hidden="false" customHeight="true" outlineLevel="0" collapsed="false">
      <c r="A15" s="5" t="s">
        <v>978</v>
      </c>
      <c r="B15" s="4" t="s">
        <v>44</v>
      </c>
      <c r="C15" s="66" t="n">
        <f aca="true">-MIN(0,MIN(OFFSET(Engine_Monthly!$D$166,0,0,1,Inputs!$C$120)))*(1+Inputs!$C$119)+Inputs!$C$118*MAX(OFFSET(Engine_Monthly!$D$167,0,0,1,Inputs!$C$120))</f>
        <v>971.575858872754</v>
      </c>
      <c r="H15" s="4" t="s">
        <v>979</v>
      </c>
    </row>
    <row r="16" customFormat="false" ht="15" hidden="false" customHeight="true" outlineLevel="0" collapsed="false">
      <c r="A16" s="12" t="s">
        <v>980</v>
      </c>
      <c r="B16" s="4" t="s">
        <v>44</v>
      </c>
      <c r="C16" s="16" t="n">
        <f aca="false">Inputs!$C$108</f>
        <v>900</v>
      </c>
      <c r="H16" s="4"/>
    </row>
    <row r="17" customFormat="false" ht="15" hidden="false" customHeight="true" outlineLevel="0" collapsed="false">
      <c r="A17" s="5" t="s">
        <v>981</v>
      </c>
      <c r="B17" s="4" t="s">
        <v>62</v>
      </c>
      <c r="C17" s="14" t="n">
        <f aca="false">IF(COUNT(Engine_Monthly!$D$177:$BK$177)=0,60,MIN(Engine_Monthly!$D$177:$BK$177)-1)</f>
        <v>60</v>
      </c>
      <c r="H17" s="4" t="s">
        <v>982</v>
      </c>
    </row>
    <row r="18" customFormat="false" ht="15" hidden="false" customHeight="true" outlineLevel="0" collapsed="false">
      <c r="A18" s="5" t="s">
        <v>983</v>
      </c>
      <c r="B18" s="4" t="s">
        <v>44</v>
      </c>
      <c r="C18" s="66" t="n">
        <f aca="false">MAX(0,C11-C16)</f>
        <v>202.911472686235</v>
      </c>
      <c r="H18" s="4"/>
    </row>
    <row r="19" customFormat="false" ht="15" hidden="false" customHeight="true" outlineLevel="0" collapsed="false">
      <c r="A19" s="12" t="s">
        <v>984</v>
      </c>
      <c r="B19" s="4" t="s">
        <v>44</v>
      </c>
      <c r="C19" s="16" t="n">
        <f aca="false">Inputs!$C$110</f>
        <v>900</v>
      </c>
      <c r="H19" s="4"/>
    </row>
    <row r="20" customFormat="false" ht="15" hidden="false" customHeight="true" outlineLevel="0" collapsed="false">
      <c r="A20" s="12" t="s">
        <v>985</v>
      </c>
      <c r="B20" s="4" t="s">
        <v>44</v>
      </c>
      <c r="C20" s="16" t="n">
        <f aca="false">Inputs!$C$108+Inputs!$C$110+Inputs!$C$112</f>
        <v>1800</v>
      </c>
      <c r="H20" s="4"/>
    </row>
    <row r="21" customFormat="false" ht="15" hidden="false" customHeight="true" outlineLevel="0" collapsed="false">
      <c r="A21" s="5" t="s">
        <v>986</v>
      </c>
      <c r="B21" s="4" t="s">
        <v>44</v>
      </c>
      <c r="C21" s="66" t="n">
        <f aca="false">MIN(Engine_Monthly!$D$165:$BK$165)</f>
        <v>321.2553530481</v>
      </c>
      <c r="H21" s="4"/>
    </row>
    <row r="22" customFormat="false" ht="15" hidden="false" customHeight="true" outlineLevel="0" collapsed="false">
      <c r="A22" s="5" t="s">
        <v>987</v>
      </c>
      <c r="B22" s="4"/>
      <c r="C22" s="9" t="str">
        <f aca="false">IF(C21&gt;=0,"OK","SHORTFALL")</f>
        <v>OK</v>
      </c>
      <c r="H22" s="4"/>
    </row>
    <row r="23" customFormat="false" ht="15" hidden="false" customHeight="true" outlineLevel="0" collapsed="false">
      <c r="A23" s="12" t="s">
        <v>988</v>
      </c>
      <c r="B23" s="4"/>
      <c r="C23" s="12" t="str">
        <f aca="false">IF(C21&gt;=3*C7,"OK","THIN")</f>
        <v>OK</v>
      </c>
      <c r="H23" s="4"/>
    </row>
    <row r="25" customFormat="false" ht="15" hidden="false" customHeight="true" outlineLevel="0" collapsed="false">
      <c r="A25" s="10" t="s">
        <v>989</v>
      </c>
      <c r="B25" s="11"/>
      <c r="C25" s="11"/>
      <c r="D25" s="11"/>
      <c r="E25" s="11"/>
      <c r="F25" s="11"/>
      <c r="G25" s="11"/>
      <c r="H25" s="11"/>
    </row>
    <row r="26" customFormat="false" ht="15" hidden="false" customHeight="true" outlineLevel="0" collapsed="false">
      <c r="A26" s="12" t="s">
        <v>990</v>
      </c>
      <c r="B26" s="4" t="s">
        <v>44</v>
      </c>
      <c r="C26" s="16" t="n">
        <f aca="false">1*(SUMIF(Engine_Monthly!$D$6:$BK$6,"&lt;="&amp;Inputs!$C$120,Engine_Monthly!$D$131:$BK$131))</f>
        <v>203.448566666667</v>
      </c>
      <c r="H26" s="4"/>
    </row>
    <row r="27" customFormat="false" ht="15" hidden="false" customHeight="true" outlineLevel="0" collapsed="false">
      <c r="A27" s="12" t="s">
        <v>991</v>
      </c>
      <c r="B27" s="4" t="s">
        <v>44</v>
      </c>
      <c r="C27" s="16" t="n">
        <f aca="false">1*(SUMIF(Engine_Monthly!$D$6:$BK$6,"&lt;="&amp;Inputs!$C$120,Engine_Monthly!$D$83:$BK$83))</f>
        <v>109.959639798333</v>
      </c>
      <c r="H27" s="4"/>
    </row>
    <row r="28" customFormat="false" ht="15" hidden="false" customHeight="true" outlineLevel="0" collapsed="false">
      <c r="A28" s="12" t="s">
        <v>992</v>
      </c>
      <c r="B28" s="4" t="s">
        <v>44</v>
      </c>
      <c r="C28" s="16" t="n">
        <f aca="false">1*(SUMIF(Engine_Monthly!$D$6:$BK$6,"&lt;="&amp;Inputs!$C$120,Engine_Monthly!$D$80:$BK$80))</f>
        <v>74.1967931717841</v>
      </c>
      <c r="H28" s="4"/>
    </row>
    <row r="29" customFormat="false" ht="15" hidden="false" customHeight="true" outlineLevel="0" collapsed="false">
      <c r="A29" s="12" t="s">
        <v>739</v>
      </c>
      <c r="B29" s="4" t="s">
        <v>44</v>
      </c>
      <c r="C29" s="16" t="n">
        <f aca="false">1*(SUMIF(Engine_Monthly!$D$6:$BK$6,"&lt;="&amp;Inputs!$C$120,Engine_Monthly!$D$129:$BK$129))</f>
        <v>281.5918075965</v>
      </c>
      <c r="H29" s="4"/>
    </row>
    <row r="30" customFormat="false" ht="15" hidden="false" customHeight="true" outlineLevel="0" collapsed="false">
      <c r="A30" s="12" t="s">
        <v>993</v>
      </c>
      <c r="B30" s="4" t="s">
        <v>44</v>
      </c>
      <c r="C30" s="16" t="n">
        <f aca="false">1*(SUMIF(Engine_Monthly!$D$6:$BK$6,"&lt;="&amp;Inputs!$C$120,Engine_Monthly!$D$136:$BK$136))</f>
        <v>107.974</v>
      </c>
      <c r="H30" s="4"/>
    </row>
    <row r="31" customFormat="false" ht="15" hidden="false" customHeight="true" outlineLevel="0" collapsed="false">
      <c r="A31" s="12" t="s">
        <v>994</v>
      </c>
      <c r="B31" s="4" t="s">
        <v>44</v>
      </c>
      <c r="C31" s="16" t="n">
        <f aca="false">1*(SUMIF(Engine_Monthly!$D$6:$BK$6,"&lt;="&amp;Inputs!$C$120,Engine_Monthly!$D$141:$BK$141))</f>
        <v>40</v>
      </c>
      <c r="H31" s="4"/>
    </row>
    <row r="32" customFormat="false" ht="15" hidden="false" customHeight="true" outlineLevel="0" collapsed="false">
      <c r="A32" s="12" t="s">
        <v>995</v>
      </c>
      <c r="B32" s="4" t="s">
        <v>44</v>
      </c>
      <c r="C32" s="16" t="n">
        <f aca="false">1*(SUMIF(Engine_Monthly!$D$6:$BK$6,"&lt;="&amp;Inputs!$C$120,Engine_Monthly!$D$159:$BK$159))</f>
        <v>-538.7446469519</v>
      </c>
      <c r="H32" s="4" t="s">
        <v>996</v>
      </c>
    </row>
    <row r="33" customFormat="false" ht="15" hidden="false" customHeight="true" outlineLevel="0" collapsed="false">
      <c r="A33" s="12" t="s">
        <v>997</v>
      </c>
      <c r="B33" s="4" t="s">
        <v>44</v>
      </c>
      <c r="C33" s="16" t="n">
        <f aca="false">INDEX(Engine_Monthly!$D$157:$BK$157,1,Inputs!$C$120)-INDEX(Engine_Monthly!$D$158:$BK$158,1,Inputs!$C$120)-INDEX(Engine_Monthly!$D$155:$BK$155,1,Inputs!$C$120)</f>
        <v>15.9230147455454</v>
      </c>
      <c r="H33" s="4"/>
    </row>
    <row r="35" customFormat="false" ht="15" hidden="false" customHeight="true" outlineLevel="0" collapsed="false">
      <c r="A35" s="10" t="s">
        <v>998</v>
      </c>
      <c r="B35" s="11"/>
      <c r="C35" s="11"/>
      <c r="D35" s="11"/>
      <c r="E35" s="11"/>
      <c r="F35" s="11"/>
      <c r="G35" s="11"/>
      <c r="H35" s="11"/>
    </row>
    <row r="36" customFormat="false" ht="15" hidden="false" customHeight="true" outlineLevel="0" collapsed="false">
      <c r="A36" s="15" t="s">
        <v>44</v>
      </c>
      <c r="B36" s="15"/>
      <c r="C36" s="15" t="str">
        <f aca="false">INDEX(Engine_Monthly!$D$10:$BK$10,1,12)</f>
        <v>FY27</v>
      </c>
      <c r="D36" s="15" t="str">
        <f aca="false">INDEX(Engine_Monthly!$D$10:$BK$10,1,24)</f>
        <v>FY28</v>
      </c>
      <c r="E36" s="15" t="str">
        <f aca="false">INDEX(Engine_Monthly!$D$10:$BK$10,1,36)</f>
        <v>FY29</v>
      </c>
      <c r="F36" s="15" t="str">
        <f aca="false">INDEX(Engine_Monthly!$D$10:$BK$10,1,48)</f>
        <v>FY30</v>
      </c>
      <c r="G36" s="15" t="str">
        <f aca="false">INDEX(Engine_Monthly!$D$10:$BK$10,1,60)</f>
        <v>FY31</v>
      </c>
    </row>
    <row r="37" customFormat="false" ht="15" hidden="false" customHeight="true" outlineLevel="0" collapsed="false">
      <c r="A37" s="12" t="s">
        <v>999</v>
      </c>
      <c r="C37" s="16" t="n">
        <f aca="false">AVERAGEIF(Engine_Monthly!$D$7:$BK$7,1,Engine_Monthly!$D$167:$BK$167)</f>
        <v>18.6505094003824</v>
      </c>
      <c r="D37" s="16" t="n">
        <f aca="false">AVERAGEIF(Engine_Monthly!$D$7:$BK$7,2,Engine_Monthly!$D$167:$BK$167)</f>
        <v>32.9084985917983</v>
      </c>
      <c r="E37" s="16" t="n">
        <f aca="false">AVERAGEIF(Engine_Monthly!$D$7:$BK$7,3,Engine_Monthly!$D$167:$BK$167)</f>
        <v>6.18678605188928</v>
      </c>
      <c r="F37" s="16" t="n">
        <f aca="false">AVERAGEIF(Engine_Monthly!$D$7:$BK$7,4,Engine_Monthly!$D$167:$BK$167)</f>
        <v>0</v>
      </c>
      <c r="G37" s="16" t="n">
        <f aca="false">AVERAGEIF(Engine_Monthly!$D$7:$BK$7,5,Engine_Monthly!$D$167:$BK$167)</f>
        <v>0</v>
      </c>
    </row>
    <row r="38" customFormat="false" ht="15" hidden="false" customHeight="true" outlineLevel="0" collapsed="false">
      <c r="A38" s="12" t="s">
        <v>775</v>
      </c>
      <c r="C38" s="16" t="n">
        <f aca="false">SUMIF(Engine_Monthly!$D$7:$BK$7,1,Engine_Monthly!$D$161:$BK$161)</f>
        <v>900</v>
      </c>
      <c r="D38" s="16" t="n">
        <f aca="false">SUMIF(Engine_Monthly!$D$7:$BK$7,2,Engine_Monthly!$D$161:$BK$161)</f>
        <v>900</v>
      </c>
      <c r="E38" s="16" t="n">
        <f aca="false">SUMIF(Engine_Monthly!$D$7:$BK$7,3,Engine_Monthly!$D$161:$BK$161)</f>
        <v>0</v>
      </c>
      <c r="F38" s="16" t="n">
        <f aca="false">SUMIF(Engine_Monthly!$D$7:$BK$7,4,Engine_Monthly!$D$161:$BK$161)</f>
        <v>0</v>
      </c>
      <c r="G38" s="16" t="n">
        <f aca="false">SUMIF(Engine_Monthly!$D$7:$BK$7,5,Engine_Monthly!$D$161:$BK$161)</f>
        <v>0</v>
      </c>
    </row>
    <row r="39" customFormat="false" ht="15" hidden="false" customHeight="true" outlineLevel="0" collapsed="false">
      <c r="A39" s="12" t="s">
        <v>57</v>
      </c>
      <c r="C39" s="16" t="n">
        <f aca="false">INDEX(Engine_Monthly!$D$165:$BK$165,1,1*12)</f>
        <v>676.193887195411</v>
      </c>
      <c r="D39" s="16" t="n">
        <f aca="false">INDEX(Engine_Monthly!$D$165:$BK$165,1,2*12)</f>
        <v>1181.29190409383</v>
      </c>
      <c r="E39" s="16" t="n">
        <f aca="false">INDEX(Engine_Monthly!$D$165:$BK$165,1,3*12)</f>
        <v>1443.51274436118</v>
      </c>
      <c r="F39" s="16" t="n">
        <f aca="false">INDEX(Engine_Monthly!$D$165:$BK$165,1,4*12)</f>
        <v>3674.91022835464</v>
      </c>
      <c r="G39" s="16" t="n">
        <f aca="false">INDEX(Engine_Monthly!$D$165:$BK$165,1,5*12)</f>
        <v>10114.9702518239</v>
      </c>
    </row>
    <row r="41" customFormat="false" ht="15" hidden="false" customHeight="true" outlineLevel="0" collapsed="false">
      <c r="A41" s="10" t="s">
        <v>1000</v>
      </c>
      <c r="B41" s="11"/>
      <c r="C41" s="11"/>
      <c r="D41" s="11"/>
      <c r="E41" s="11"/>
      <c r="F41" s="11"/>
      <c r="G41" s="11"/>
      <c r="H41" s="11"/>
    </row>
    <row r="42" customFormat="false" ht="15" hidden="false" customHeight="true" outlineLevel="0" collapsed="false">
      <c r="A42" s="15" t="s">
        <v>1001</v>
      </c>
      <c r="B42" s="15"/>
      <c r="C42" s="15" t="s">
        <v>558</v>
      </c>
      <c r="D42" s="15"/>
      <c r="E42" s="15"/>
      <c r="F42" s="15"/>
      <c r="G42" s="15"/>
      <c r="H42" s="15" t="s">
        <v>1002</v>
      </c>
    </row>
    <row r="43" customFormat="false" ht="27.75" hidden="false" customHeight="true" outlineLevel="0" collapsed="false">
      <c r="A43" s="12" t="s">
        <v>1003</v>
      </c>
      <c r="C43" s="5" t="s">
        <v>568</v>
      </c>
      <c r="H43" s="51" t="s">
        <v>1004</v>
      </c>
    </row>
    <row r="44" customFormat="false" ht="27.75" hidden="false" customHeight="true" outlineLevel="0" collapsed="false">
      <c r="A44" s="12" t="s">
        <v>1005</v>
      </c>
      <c r="C44" s="5" t="s">
        <v>577</v>
      </c>
      <c r="H44" s="51" t="s">
        <v>1006</v>
      </c>
    </row>
    <row r="45" customFormat="false" ht="27.75" hidden="false" customHeight="true" outlineLevel="0" collapsed="false">
      <c r="A45" s="12" t="s">
        <v>1007</v>
      </c>
      <c r="C45" s="5" t="s">
        <v>563</v>
      </c>
      <c r="H45" s="51" t="s">
        <v>1008</v>
      </c>
    </row>
    <row r="46" customFormat="false" ht="27.75" hidden="false" customHeight="true" outlineLevel="0" collapsed="false">
      <c r="A46" s="12" t="s">
        <v>1009</v>
      </c>
      <c r="C46" s="5" t="s">
        <v>1010</v>
      </c>
      <c r="H46" s="51" t="s">
        <v>1011</v>
      </c>
    </row>
    <row r="47" customFormat="false" ht="27.75" hidden="false" customHeight="true" outlineLevel="0" collapsed="false">
      <c r="A47" s="12" t="s">
        <v>1012</v>
      </c>
      <c r="C47" s="5" t="s">
        <v>1013</v>
      </c>
      <c r="H47" s="51" t="s">
        <v>1014</v>
      </c>
    </row>
    <row r="49" customFormat="false" ht="15" hidden="false" customHeight="true" outlineLevel="0" collapsed="false">
      <c r="A49" s="4" t="s">
        <v>1015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L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37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2"/>
    <col collapsed="false" customWidth="true" hidden="false" outlineLevel="0" max="9" min="2" style="1" width="14"/>
    <col collapsed="false" customWidth="true" hidden="false" outlineLevel="0" max="10" min="10" style="1" width="30"/>
    <col collapsed="false" customWidth="true" hidden="false" outlineLevel="0" max="12" min="11" style="1" width="13"/>
  </cols>
  <sheetData>
    <row r="1" customFormat="false" ht="17.25" hidden="false" customHeight="true" outlineLevel="0" collapsed="false">
      <c r="A1" s="2" t="s">
        <v>1016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1017</v>
      </c>
    </row>
    <row r="4" customFormat="false" ht="15" hidden="false" customHeight="true" outlineLevel="0" collapsed="false">
      <c r="A4" s="10" t="s">
        <v>1018</v>
      </c>
      <c r="B4" s="11"/>
      <c r="C4" s="11"/>
      <c r="D4" s="11"/>
      <c r="E4" s="11"/>
      <c r="F4" s="11"/>
      <c r="G4" s="11"/>
      <c r="H4" s="11"/>
      <c r="I4" s="11"/>
      <c r="J4" s="11"/>
    </row>
    <row r="5" customFormat="false" ht="15" hidden="false" customHeight="true" outlineLevel="0" collapsed="false">
      <c r="A5" s="15" t="s">
        <v>1019</v>
      </c>
      <c r="B5" s="15" t="s">
        <v>42</v>
      </c>
      <c r="C5" s="15" t="s">
        <v>68</v>
      </c>
      <c r="D5" s="15" t="s">
        <v>69</v>
      </c>
      <c r="E5" s="15" t="s">
        <v>70</v>
      </c>
    </row>
    <row r="6" customFormat="false" ht="15" hidden="false" customHeight="true" outlineLevel="0" collapsed="false">
      <c r="A6" s="12" t="str">
        <f aca="false">Inputs!A22</f>
        <v>Qualified opportunities per ramped AE per month</v>
      </c>
      <c r="B6" s="4" t="str">
        <f aca="false">Inputs!B22</f>
        <v>#</v>
      </c>
      <c r="C6" s="25" t="n">
        <f aca="false">Inputs!D22</f>
        <v>2</v>
      </c>
      <c r="D6" s="25" t="n">
        <f aca="false">Inputs!E22</f>
        <v>3</v>
      </c>
      <c r="E6" s="25" t="n">
        <f aca="false">Inputs!F22</f>
        <v>4</v>
      </c>
    </row>
    <row r="7" customFormat="false" ht="15" hidden="false" customHeight="true" outlineLevel="0" collapsed="false">
      <c r="A7" s="12" t="str">
        <f aca="false">Inputs!A19</f>
        <v>AE ramp to full productivity</v>
      </c>
      <c r="B7" s="4" t="str">
        <f aca="false">Inputs!B19</f>
        <v>months</v>
      </c>
      <c r="C7" s="23" t="n">
        <f aca="false">Inputs!D19</f>
        <v>6</v>
      </c>
      <c r="D7" s="23" t="n">
        <f aca="false">Inputs!E19</f>
        <v>6</v>
      </c>
      <c r="E7" s="23" t="n">
        <f aca="false">Inputs!F19</f>
        <v>4</v>
      </c>
    </row>
    <row r="8" customFormat="false" ht="15" hidden="false" customHeight="true" outlineLevel="0" collapsed="false">
      <c r="A8" s="12" t="str">
        <f aca="false">Inputs!A25</f>
        <v>Opportunity to pilot (direct)</v>
      </c>
      <c r="B8" s="4" t="str">
        <f aca="false">Inputs!B25</f>
        <v>%</v>
      </c>
      <c r="C8" s="37" t="n">
        <f aca="false">Inputs!D25</f>
        <v>0.25</v>
      </c>
      <c r="D8" s="37" t="n">
        <f aca="false">Inputs!E25</f>
        <v>0.3</v>
      </c>
      <c r="E8" s="37" t="n">
        <f aca="false">Inputs!F25</f>
        <v>0.35</v>
      </c>
    </row>
    <row r="9" customFormat="false" ht="15" hidden="false" customHeight="true" outlineLevel="0" collapsed="false">
      <c r="A9" s="12" t="str">
        <f aca="false">Inputs!A27</f>
        <v>Sales cycle: qualified opportunity to pilot start</v>
      </c>
      <c r="B9" s="4" t="str">
        <f aca="false">Inputs!B27</f>
        <v>months</v>
      </c>
      <c r="C9" s="23" t="n">
        <f aca="false">Inputs!D27</f>
        <v>4</v>
      </c>
      <c r="D9" s="23" t="n">
        <f aca="false">Inputs!E27</f>
        <v>3</v>
      </c>
      <c r="E9" s="23" t="n">
        <f aca="false">Inputs!F27</f>
        <v>2</v>
      </c>
    </row>
    <row r="10" customFormat="false" ht="15" hidden="false" customHeight="true" outlineLevel="0" collapsed="false">
      <c r="A10" s="12" t="str">
        <f aca="false">Inputs!A29</f>
        <v>Pilot to paid annual contract</v>
      </c>
      <c r="B10" s="4" t="str">
        <f aca="false">Inputs!B29</f>
        <v>%</v>
      </c>
      <c r="C10" s="37" t="n">
        <f aca="false">Inputs!D29</f>
        <v>0.4</v>
      </c>
      <c r="D10" s="37" t="n">
        <f aca="false">Inputs!E29</f>
        <v>0.55</v>
      </c>
      <c r="E10" s="37" t="n">
        <f aca="false">Inputs!F29</f>
        <v>0.65</v>
      </c>
    </row>
    <row r="11" customFormat="false" ht="15" hidden="false" customHeight="true" outlineLevel="0" collapsed="false">
      <c r="A11" s="12" t="str">
        <f aca="false">Inputs!A33</f>
        <v>Contract signature to go-live (implementation time)</v>
      </c>
      <c r="B11" s="4" t="str">
        <f aca="false">Inputs!B33</f>
        <v>months</v>
      </c>
      <c r="C11" s="23" t="n">
        <f aca="false">Inputs!D33</f>
        <v>3</v>
      </c>
      <c r="D11" s="23" t="n">
        <f aca="false">Inputs!E33</f>
        <v>2</v>
      </c>
      <c r="E11" s="23" t="n">
        <f aca="false">Inputs!F33</f>
        <v>2</v>
      </c>
    </row>
    <row r="12" customFormat="false" ht="15" hidden="false" customHeight="true" outlineLevel="0" collapsed="false">
      <c r="A12" s="12" t="str">
        <f aca="false">Inputs!A34</f>
        <v>Concurrent implementations per implementation engineer</v>
      </c>
      <c r="B12" s="4" t="str">
        <f aca="false">Inputs!B34</f>
        <v>#</v>
      </c>
      <c r="C12" s="25" t="n">
        <f aca="false">Inputs!D34</f>
        <v>2</v>
      </c>
      <c r="D12" s="25" t="n">
        <f aca="false">Inputs!E34</f>
        <v>3</v>
      </c>
      <c r="E12" s="25" t="n">
        <f aca="false">Inputs!F34</f>
        <v>3.5</v>
      </c>
    </row>
    <row r="13" customFormat="false" ht="15" hidden="false" customHeight="true" outlineLevel="0" collapsed="false">
      <c r="A13" s="12" t="str">
        <f aca="false">Inputs!A39</f>
        <v>Implementation direct-cost multiplier</v>
      </c>
      <c r="B13" s="4" t="str">
        <f aca="false">Inputs!B39</f>
        <v>x</v>
      </c>
      <c r="C13" s="25" t="n">
        <f aca="false">Inputs!D39</f>
        <v>1.3</v>
      </c>
      <c r="D13" s="25" t="n">
        <f aca="false">Inputs!E39</f>
        <v>1</v>
      </c>
      <c r="E13" s="25" t="n">
        <f aca="false">Inputs!F39</f>
        <v>0.85</v>
      </c>
    </row>
    <row r="14" customFormat="false" ht="15" hidden="false" customHeight="true" outlineLevel="0" collapsed="false">
      <c r="A14" s="12" t="str">
        <f aca="false">Inputs!A47</f>
        <v>Scenario price multiplier on tier list prices</v>
      </c>
      <c r="B14" s="4" t="str">
        <f aca="false">Inputs!B47</f>
        <v>x</v>
      </c>
      <c r="C14" s="25" t="n">
        <f aca="false">Inputs!D47</f>
        <v>1</v>
      </c>
      <c r="D14" s="25" t="n">
        <f aca="false">Inputs!E47</f>
        <v>1</v>
      </c>
      <c r="E14" s="25" t="n">
        <f aca="false">Inputs!F47</f>
        <v>1</v>
      </c>
    </row>
    <row r="15" customFormat="false" ht="15" hidden="false" customHeight="true" outlineLevel="0" collapsed="false">
      <c r="A15" s="12" t="str">
        <f aca="false">Inputs!A48</f>
        <v>Annual list-price escalation</v>
      </c>
      <c r="B15" s="4" t="str">
        <f aca="false">Inputs!B48</f>
        <v>% p.a.</v>
      </c>
      <c r="C15" s="37" t="n">
        <f aca="false">Inputs!D48</f>
        <v>0.03</v>
      </c>
      <c r="D15" s="37" t="n">
        <f aca="false">Inputs!E48</f>
        <v>0.05</v>
      </c>
      <c r="E15" s="37" t="n">
        <f aca="false">Inputs!F48</f>
        <v>0.05</v>
      </c>
    </row>
    <row r="16" customFormat="false" ht="15" hidden="false" customHeight="true" outlineLevel="0" collapsed="false">
      <c r="A16" s="12" t="str">
        <f aca="false">Inputs!A49</f>
        <v>Expansion ARR from existing plants (upsell, lines, modules)</v>
      </c>
      <c r="B16" s="4" t="str">
        <f aca="false">Inputs!B49</f>
        <v>% of ARR p.a.</v>
      </c>
      <c r="C16" s="37" t="n">
        <f aca="false">Inputs!D49</f>
        <v>0.05</v>
      </c>
      <c r="D16" s="37" t="n">
        <f aca="false">Inputs!E49</f>
        <v>0.1</v>
      </c>
      <c r="E16" s="37" t="n">
        <f aca="false">Inputs!F49</f>
        <v>0.15</v>
      </c>
    </row>
    <row r="17" customFormat="false" ht="15" hidden="false" customHeight="true" outlineLevel="0" collapsed="false">
      <c r="A17" s="12" t="str">
        <f aca="false">Inputs!A50</f>
        <v>Annual logo churn</v>
      </c>
      <c r="B17" s="4" t="str">
        <f aca="false">Inputs!B50</f>
        <v>% p.a.</v>
      </c>
      <c r="C17" s="37" t="n">
        <f aca="false">Inputs!D50</f>
        <v>0.15</v>
      </c>
      <c r="D17" s="37" t="n">
        <f aca="false">Inputs!E50</f>
        <v>0.09</v>
      </c>
      <c r="E17" s="37" t="n">
        <f aca="false">Inputs!F50</f>
        <v>0.06</v>
      </c>
    </row>
    <row r="18" customFormat="false" ht="15" hidden="false" customHeight="true" outlineLevel="0" collapsed="false">
      <c r="A18" s="12" t="str">
        <f aca="false">Inputs!A51</f>
        <v>Paid pilot fee (whole pilot)</v>
      </c>
      <c r="B18" s="4" t="str">
        <f aca="false">Inputs!B51</f>
        <v>₹ lakh</v>
      </c>
      <c r="C18" s="25" t="n">
        <f aca="false">Inputs!D51</f>
        <v>1.5</v>
      </c>
      <c r="D18" s="25" t="n">
        <f aca="false">Inputs!E51</f>
        <v>2.5</v>
      </c>
      <c r="E18" s="25" t="n">
        <f aca="false">Inputs!F51</f>
        <v>3</v>
      </c>
    </row>
    <row r="19" customFormat="false" ht="15" hidden="false" customHeight="true" outlineLevel="0" collapsed="false">
      <c r="A19" s="12" t="str">
        <f aca="false">Inputs!A60</f>
        <v>Cloud &amp; AI cost multiplier</v>
      </c>
      <c r="B19" s="4" t="str">
        <f aca="false">Inputs!B60</f>
        <v>x</v>
      </c>
      <c r="C19" s="25" t="n">
        <f aca="false">Inputs!D60</f>
        <v>1.25</v>
      </c>
      <c r="D19" s="25" t="n">
        <f aca="false">Inputs!E60</f>
        <v>1</v>
      </c>
      <c r="E19" s="25" t="n">
        <f aca="false">Inputs!F60</f>
        <v>0.9</v>
      </c>
    </row>
    <row r="20" customFormat="false" ht="15" hidden="false" customHeight="true" outlineLevel="0" collapsed="false">
      <c r="A20" s="12" t="str">
        <f aca="false">Inputs!A61</f>
        <v>Change in cloud/AI cost per plant each year</v>
      </c>
      <c r="B20" s="4" t="str">
        <f aca="false">Inputs!B61</f>
        <v>% p.a.</v>
      </c>
      <c r="C20" s="37" t="n">
        <f aca="false">Inputs!D61</f>
        <v>0</v>
      </c>
      <c r="D20" s="37" t="n">
        <f aca="false">Inputs!E61</f>
        <v>-0.05</v>
      </c>
      <c r="E20" s="37" t="n">
        <f aca="false">Inputs!F61</f>
        <v>-0.1</v>
      </c>
    </row>
    <row r="21" customFormat="false" ht="15" hidden="false" customHeight="true" outlineLevel="0" collapsed="false">
      <c r="A21" s="12" t="str">
        <f aca="false">Inputs!A64</f>
        <v>Live plants per customer success manager</v>
      </c>
      <c r="B21" s="4" t="str">
        <f aca="false">Inputs!B64</f>
        <v>#</v>
      </c>
      <c r="C21" s="23" t="n">
        <f aca="false">Inputs!D64</f>
        <v>20</v>
      </c>
      <c r="D21" s="23" t="n">
        <f aca="false">Inputs!E64</f>
        <v>25</v>
      </c>
      <c r="E21" s="23" t="n">
        <f aca="false">Inputs!F64</f>
        <v>30</v>
      </c>
    </row>
    <row r="22" customFormat="false" ht="15" hidden="false" customHeight="true" outlineLevel="0" collapsed="false">
      <c r="A22" s="12" t="str">
        <f aca="false">Inputs!A41</f>
        <v>Share of new plants needing the optional IoT kit</v>
      </c>
      <c r="B22" s="4" t="str">
        <f aca="false">Inputs!B41</f>
        <v>%</v>
      </c>
      <c r="C22" s="37" t="n">
        <f aca="false">Inputs!D41</f>
        <v>0.6</v>
      </c>
      <c r="D22" s="37" t="n">
        <f aca="false">Inputs!E41</f>
        <v>0.5</v>
      </c>
      <c r="E22" s="37" t="n">
        <f aca="false">Inputs!F41</f>
        <v>0.4</v>
      </c>
    </row>
    <row r="23" customFormat="false" ht="15" hidden="false" customHeight="true" outlineLevel="0" collapsed="false">
      <c r="A23" s="12" t="str">
        <f aca="false">Inputs!A30</f>
        <v>Partner channel productivity multiplier</v>
      </c>
      <c r="B23" s="4" t="str">
        <f aca="false">Inputs!B30</f>
        <v>x plan</v>
      </c>
      <c r="C23" s="25" t="n">
        <f aca="false">Inputs!D30</f>
        <v>0.5</v>
      </c>
      <c r="D23" s="25" t="n">
        <f aca="false">Inputs!E30</f>
        <v>1</v>
      </c>
      <c r="E23" s="25" t="n">
        <f aca="false">Inputs!F30</f>
        <v>1.5</v>
      </c>
    </row>
    <row r="24" customFormat="false" ht="15" hidden="false" customHeight="true" outlineLevel="0" collapsed="false">
      <c r="A24" s="12" t="str">
        <f aca="false">Inputs!A102</f>
        <v>Receivable days (DSO)</v>
      </c>
      <c r="B24" s="4" t="str">
        <f aca="false">Inputs!B102</f>
        <v>days</v>
      </c>
      <c r="C24" s="23" t="n">
        <f aca="false">Inputs!D102</f>
        <v>75</v>
      </c>
      <c r="D24" s="23" t="n">
        <f aca="false">Inputs!E102</f>
        <v>45</v>
      </c>
      <c r="E24" s="23" t="n">
        <f aca="false">Inputs!F102</f>
        <v>30</v>
      </c>
    </row>
    <row r="26" customFormat="false" ht="15" hidden="false" customHeight="true" outlineLevel="0" collapsed="false">
      <c r="A26" s="10" t="s">
        <v>1020</v>
      </c>
      <c r="B26" s="11"/>
      <c r="C26" s="11"/>
      <c r="D26" s="11"/>
      <c r="E26" s="11"/>
      <c r="F26" s="11"/>
      <c r="G26" s="11"/>
      <c r="H26" s="11"/>
      <c r="I26" s="11"/>
      <c r="J26" s="11"/>
    </row>
    <row r="27" customFormat="false" ht="23.25" hidden="false" customHeight="true" outlineLevel="0" collapsed="false">
      <c r="A27" s="15" t="s">
        <v>67</v>
      </c>
      <c r="B27" s="15" t="s">
        <v>42</v>
      </c>
      <c r="C27" s="15" t="s">
        <v>1021</v>
      </c>
      <c r="D27" s="15" t="s">
        <v>1022</v>
      </c>
      <c r="E27" s="15" t="s">
        <v>1023</v>
      </c>
      <c r="F27" s="15" t="s">
        <v>1024</v>
      </c>
    </row>
    <row r="28" customFormat="false" ht="15" hidden="false" customHeight="true" outlineLevel="0" collapsed="false">
      <c r="A28" s="12" t="s">
        <v>26</v>
      </c>
      <c r="B28" s="4" t="s">
        <v>44</v>
      </c>
      <c r="C28" s="16" t="n">
        <v>4938.48991599909</v>
      </c>
      <c r="D28" s="16" t="n">
        <v>15092.9719681828</v>
      </c>
      <c r="E28" s="16" t="n">
        <v>31192.8444787127</v>
      </c>
      <c r="F28" s="66" t="n">
        <f aca="false">7_Financials!$G$11</f>
        <v>15092.9719681828</v>
      </c>
    </row>
    <row r="29" customFormat="false" ht="15" hidden="false" customHeight="true" outlineLevel="0" collapsed="false">
      <c r="A29" s="12" t="s">
        <v>28</v>
      </c>
      <c r="B29" s="4" t="s">
        <v>44</v>
      </c>
      <c r="C29" s="16" t="n">
        <v>4678.53257211694</v>
      </c>
      <c r="D29" s="16" t="n">
        <v>15745.7780317477</v>
      </c>
      <c r="E29" s="16" t="n">
        <v>33677.8881742944</v>
      </c>
      <c r="F29" s="66" t="n">
        <f aca="false">4_Revenue_Build!G30</f>
        <v>15745.7780317477</v>
      </c>
    </row>
    <row r="30" customFormat="false" ht="15" hidden="false" customHeight="true" outlineLevel="0" collapsed="false">
      <c r="A30" s="12" t="s">
        <v>1025</v>
      </c>
      <c r="B30" s="4" t="s">
        <v>29</v>
      </c>
      <c r="C30" s="16" t="n">
        <v>199.999999841988</v>
      </c>
      <c r="D30" s="16" t="n">
        <v>400.000009074275</v>
      </c>
      <c r="E30" s="16" t="n">
        <v>600.000011642617</v>
      </c>
      <c r="F30" s="66" t="n">
        <f aca="false">4_Revenue_Build!G21</f>
        <v>400.000009074275</v>
      </c>
    </row>
    <row r="31" customFormat="false" ht="15" hidden="false" customHeight="true" outlineLevel="0" collapsed="false">
      <c r="A31" s="12" t="s">
        <v>1026</v>
      </c>
      <c r="B31" s="4" t="s">
        <v>44</v>
      </c>
      <c r="C31" s="16" t="n">
        <v>-160.229558026852</v>
      </c>
      <c r="D31" s="16" t="n">
        <v>8786.09553021468</v>
      </c>
      <c r="E31" s="16" t="n">
        <v>23770.2690890305</v>
      </c>
      <c r="F31" s="66" t="n">
        <f aca="false">7_Financials!$G$19</f>
        <v>8786.09553021468</v>
      </c>
    </row>
    <row r="32" customFormat="false" ht="15" hidden="false" customHeight="true" outlineLevel="0" collapsed="false">
      <c r="A32" s="12" t="s">
        <v>1027</v>
      </c>
      <c r="B32" s="4" t="s">
        <v>46</v>
      </c>
      <c r="C32" s="17" t="n">
        <v>-0.0324450511699459</v>
      </c>
      <c r="D32" s="17" t="n">
        <v>0.582131574135068</v>
      </c>
      <c r="E32" s="17" t="n">
        <v>0.762042368571172</v>
      </c>
      <c r="F32" s="67" t="n">
        <f aca="false">7_Financials!$G$20</f>
        <v>0.582131574135068</v>
      </c>
    </row>
    <row r="33" customFormat="false" ht="15" hidden="false" customHeight="true" outlineLevel="0" collapsed="false">
      <c r="A33" s="12" t="s">
        <v>1028</v>
      </c>
      <c r="B33" s="4" t="s">
        <v>44</v>
      </c>
      <c r="C33" s="16" t="n">
        <v>-2660.60513055878</v>
      </c>
      <c r="D33" s="16" t="n">
        <v>11649.3977554798</v>
      </c>
      <c r="E33" s="16" t="n">
        <v>36128.1713126672</v>
      </c>
      <c r="F33" s="66" t="n">
        <f aca="false">SUM(Engine_Monthly!$D$138:$BK$138)</f>
        <v>11649.3977554798</v>
      </c>
    </row>
    <row r="34" customFormat="false" ht="15" hidden="false" customHeight="true" outlineLevel="0" collapsed="false">
      <c r="A34" s="12" t="s">
        <v>1029</v>
      </c>
      <c r="B34" s="4" t="s">
        <v>46</v>
      </c>
      <c r="C34" s="17" t="n">
        <v>0.475054981751424</v>
      </c>
      <c r="D34" s="17" t="n">
        <v>0.793563079627187</v>
      </c>
      <c r="E34" s="17" t="n">
        <v>0.88601109377469</v>
      </c>
      <c r="F34" s="67" t="n">
        <f aca="false">7_Financials!$G$15</f>
        <v>0.793563079627187</v>
      </c>
    </row>
    <row r="35" customFormat="false" ht="15" hidden="false" customHeight="true" outlineLevel="0" collapsed="false">
      <c r="A35" s="12" t="s">
        <v>32</v>
      </c>
      <c r="B35" s="4" t="s">
        <v>44</v>
      </c>
      <c r="C35" s="16" t="n">
        <v>3391.86255148631</v>
      </c>
      <c r="D35" s="16" t="n">
        <v>692.949528528841</v>
      </c>
      <c r="E35" s="16" t="n">
        <v>285.760471449417</v>
      </c>
      <c r="F35" s="66" t="n">
        <f aca="false">11_Funding!C5</f>
        <v>692.949528528841</v>
      </c>
    </row>
    <row r="36" customFormat="false" ht="15" hidden="false" customHeight="true" outlineLevel="0" collapsed="false">
      <c r="A36" s="12" t="s">
        <v>1030</v>
      </c>
      <c r="B36" s="4" t="s">
        <v>44</v>
      </c>
      <c r="C36" s="16" t="n">
        <v>4666.73944099613</v>
      </c>
      <c r="D36" s="16" t="n">
        <v>1102.91147268624</v>
      </c>
      <c r="E36" s="16" t="n">
        <v>508.942751029139</v>
      </c>
      <c r="F36" s="66" t="n">
        <f aca="false">11_Funding!C11</f>
        <v>1102.91147268624</v>
      </c>
    </row>
    <row r="37" customFormat="false" ht="15" hidden="false" customHeight="true" outlineLevel="0" collapsed="false">
      <c r="A37" s="12" t="s">
        <v>1031</v>
      </c>
      <c r="B37" s="4" t="s">
        <v>148</v>
      </c>
      <c r="C37" s="20" t="n">
        <v>57</v>
      </c>
      <c r="D37" s="20" t="n">
        <v>29</v>
      </c>
      <c r="E37" s="20" t="n">
        <v>20</v>
      </c>
      <c r="F37" s="14" t="n">
        <f aca="false">IF(COUNT(Engine_Monthly!$D$176:$BK$176)=0,"None",MIN(Engine_Monthly!$D$176:$BK$176))</f>
        <v>29</v>
      </c>
    </row>
    <row r="38" customFormat="false" ht="15" hidden="false" customHeight="true" outlineLevel="0" collapsed="false">
      <c r="A38" s="12" t="s">
        <v>1032</v>
      </c>
      <c r="B38" s="4" t="s">
        <v>44</v>
      </c>
      <c r="C38" s="16" t="n">
        <v>-1591.86255148631</v>
      </c>
      <c r="D38" s="16" t="n">
        <v>321.2553530481</v>
      </c>
      <c r="E38" s="16" t="n">
        <v>614.239528550584</v>
      </c>
      <c r="F38" s="66" t="n">
        <f aca="false">11_Funding!C21</f>
        <v>321.2553530481</v>
      </c>
    </row>
    <row r="39" customFormat="false" ht="15" hidden="false" customHeight="true" outlineLevel="0" collapsed="false">
      <c r="A39" s="12" t="s">
        <v>981</v>
      </c>
      <c r="B39" s="4" t="s">
        <v>62</v>
      </c>
      <c r="C39" s="20" t="n">
        <v>24</v>
      </c>
      <c r="D39" s="20" t="n">
        <v>60</v>
      </c>
      <c r="E39" s="20" t="n">
        <v>60</v>
      </c>
      <c r="F39" s="14" t="n">
        <f aca="false">11_Funding!C17</f>
        <v>60</v>
      </c>
    </row>
    <row r="40" customFormat="false" ht="15" hidden="false" customHeight="true" outlineLevel="0" collapsed="false">
      <c r="A40" s="12" t="s">
        <v>1033</v>
      </c>
      <c r="B40" s="4" t="s">
        <v>37</v>
      </c>
      <c r="C40" s="19" t="n">
        <v>3.01969869301211</v>
      </c>
      <c r="D40" s="19" t="n">
        <v>9.92415401036011</v>
      </c>
      <c r="E40" s="19" t="n">
        <v>17.583291885846</v>
      </c>
      <c r="F40" s="68" t="n">
        <f aca="false">8_Unit_Economics!G28</f>
        <v>9.92415401036011</v>
      </c>
    </row>
    <row r="41" customFormat="false" ht="15" hidden="false" customHeight="true" outlineLevel="0" collapsed="false">
      <c r="A41" s="12" t="s">
        <v>1034</v>
      </c>
      <c r="B41" s="4" t="s">
        <v>62</v>
      </c>
      <c r="C41" s="16" t="n">
        <v>8.8029791315392</v>
      </c>
      <c r="D41" s="16" t="n">
        <v>3.5580541119211</v>
      </c>
      <c r="E41" s="16" t="n">
        <v>2.17904836477308</v>
      </c>
      <c r="F41" s="66" t="n">
        <f aca="false">8_Unit_Economics!G29</f>
        <v>3.5580541119211</v>
      </c>
    </row>
    <row r="42" customFormat="false" ht="15" hidden="false" customHeight="true" outlineLevel="0" collapsed="false">
      <c r="A42" s="12" t="s">
        <v>1035</v>
      </c>
      <c r="B42" s="4" t="s">
        <v>27</v>
      </c>
      <c r="C42" s="18" t="n">
        <v>41.5972724242349</v>
      </c>
      <c r="D42" s="18" t="n">
        <v>367.698339337244</v>
      </c>
      <c r="E42" s="18" t="n">
        <v>2140.16833381844</v>
      </c>
      <c r="F42" s="69" t="n">
        <f aca="false">14_Valuation!C75</f>
        <v>367.698339337244</v>
      </c>
      <c r="G42" s="12"/>
      <c r="H42" s="12"/>
      <c r="I42" s="12"/>
      <c r="J42" s="12"/>
      <c r="K42" s="12"/>
      <c r="L42" s="12"/>
    </row>
    <row r="43" customFormat="false" ht="15" hidden="false" customHeight="true" outlineLevel="0" collapsed="false">
      <c r="A43" s="12" t="s">
        <v>1036</v>
      </c>
      <c r="B43" s="4" t="s">
        <v>27</v>
      </c>
      <c r="C43" s="18" t="n">
        <v>-23.4006258789366</v>
      </c>
      <c r="D43" s="18" t="n">
        <v>465.384209857741</v>
      </c>
      <c r="E43" s="18" t="n">
        <v>1299.80310827195</v>
      </c>
      <c r="F43" s="69" t="n">
        <f aca="false">14_Valuation!C84</f>
        <v>465.384209857741</v>
      </c>
      <c r="G43" s="12"/>
      <c r="H43" s="12"/>
      <c r="I43" s="12"/>
      <c r="J43" s="12"/>
      <c r="K43" s="12"/>
      <c r="L43" s="12"/>
    </row>
    <row r="44" customFormat="false" ht="15" hidden="false" customHeight="true" outlineLevel="0" collapsed="false">
      <c r="A44" s="12" t="s">
        <v>1037</v>
      </c>
      <c r="B44" s="4" t="s">
        <v>27</v>
      </c>
      <c r="C44" s="18" t="n">
        <v>-16.4607971996859</v>
      </c>
      <c r="D44" s="18" t="n">
        <v>198.494943160078</v>
      </c>
      <c r="E44" s="18" t="n">
        <v>1080.36303508503</v>
      </c>
      <c r="F44" s="69" t="n">
        <f aca="false">14_Valuation!C85</f>
        <v>198.494943160078</v>
      </c>
      <c r="G44" s="12"/>
      <c r="H44" s="12"/>
      <c r="I44" s="12"/>
      <c r="J44" s="12"/>
      <c r="K44" s="12"/>
      <c r="L44" s="12"/>
    </row>
    <row r="45" customFormat="false" ht="15" hidden="false" customHeight="true" outlineLevel="0" collapsed="false">
      <c r="A45" s="12" t="s">
        <v>1038</v>
      </c>
      <c r="B45" s="4" t="s">
        <v>44</v>
      </c>
      <c r="C45" s="16" t="n">
        <v>-449.550568888744</v>
      </c>
      <c r="D45" s="16" t="n">
        <v>6440.06002346929</v>
      </c>
      <c r="E45" s="16" t="n">
        <v>18322.4321976876</v>
      </c>
      <c r="F45" s="43" t="n">
        <f aca="false">14_Valuation!G33</f>
        <v>6440.06002346929</v>
      </c>
      <c r="G45" s="12"/>
      <c r="H45" s="12"/>
      <c r="I45" s="12"/>
      <c r="J45" s="12"/>
      <c r="K45" s="12"/>
      <c r="L45" s="12"/>
    </row>
    <row r="46" customFormat="false" ht="15" hidden="false" customHeight="true" outlineLevel="0" collapsed="false">
      <c r="A46" s="4" t="s">
        <v>1039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customFormat="false" ht="1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customFormat="false" ht="15" hidden="false" customHeight="true" outlineLevel="0" collapsed="false">
      <c r="A48" s="10" t="s">
        <v>1040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customFormat="false" ht="30" hidden="false" customHeight="true" outlineLevel="0" collapsed="false">
      <c r="A49" s="15" t="s">
        <v>1019</v>
      </c>
      <c r="B49" s="15" t="s">
        <v>1041</v>
      </c>
      <c r="C49" s="15" t="s">
        <v>1042</v>
      </c>
      <c r="D49" s="15" t="s">
        <v>1043</v>
      </c>
      <c r="E49" s="15" t="s">
        <v>1044</v>
      </c>
      <c r="F49" s="15" t="s">
        <v>1045</v>
      </c>
      <c r="G49" s="15" t="s">
        <v>1046</v>
      </c>
      <c r="H49" s="15" t="s">
        <v>1047</v>
      </c>
      <c r="I49" s="15" t="s">
        <v>1048</v>
      </c>
      <c r="J49" s="15" t="s">
        <v>1049</v>
      </c>
      <c r="K49" s="15" t="s">
        <v>1050</v>
      </c>
      <c r="L49" s="15" t="s">
        <v>1051</v>
      </c>
    </row>
    <row r="50" customFormat="false" ht="15" hidden="false" customHeight="true" outlineLevel="0" collapsed="false">
      <c r="A50" s="12" t="s">
        <v>1052</v>
      </c>
      <c r="B50" s="70" t="n">
        <v>0.85</v>
      </c>
      <c r="C50" s="70" t="n">
        <v>1.15</v>
      </c>
      <c r="D50" s="16" t="n">
        <v>13383.9113269856</v>
      </c>
      <c r="E50" s="16" t="n">
        <v>18107.6447365099</v>
      </c>
      <c r="F50" s="16" t="n">
        <v>7010.06733526506</v>
      </c>
      <c r="G50" s="16" t="n">
        <v>10562.1237251643</v>
      </c>
      <c r="H50" s="16" t="n">
        <v>1197.18612554645</v>
      </c>
      <c r="I50" s="16" t="n">
        <v>1040.1439646837</v>
      </c>
      <c r="J50" s="71" t="s">
        <v>1053</v>
      </c>
      <c r="K50" s="18" t="n">
        <v>638.586886673435</v>
      </c>
      <c r="L50" s="18" t="n">
        <v>906.148225647234</v>
      </c>
    </row>
    <row r="51" customFormat="false" ht="15" hidden="false" customHeight="true" outlineLevel="0" collapsed="false">
      <c r="A51" s="12" t="s">
        <v>1054</v>
      </c>
      <c r="B51" s="70" t="n">
        <v>0.75</v>
      </c>
      <c r="C51" s="70" t="n">
        <v>1.25</v>
      </c>
      <c r="D51" s="16" t="n">
        <v>11809.3335238108</v>
      </c>
      <c r="E51" s="16" t="n">
        <v>19682.2225396847</v>
      </c>
      <c r="F51" s="16" t="n">
        <v>6093.01013390151</v>
      </c>
      <c r="G51" s="16" t="n">
        <v>11469.2832472235</v>
      </c>
      <c r="H51" s="16" t="n">
        <v>1221.00880967395</v>
      </c>
      <c r="I51" s="16" t="n">
        <v>1043.26228650869</v>
      </c>
      <c r="J51" s="71" t="s">
        <v>1055</v>
      </c>
      <c r="K51" s="18" t="n">
        <v>551.639892175966</v>
      </c>
      <c r="L51" s="18" t="n">
        <v>992.626907612926</v>
      </c>
    </row>
    <row r="52" customFormat="false" ht="15" hidden="false" customHeight="true" outlineLevel="0" collapsed="false">
      <c r="A52" s="12" t="s">
        <v>1056</v>
      </c>
      <c r="B52" s="70" t="n">
        <v>0.8</v>
      </c>
      <c r="C52" s="70" t="n">
        <v>1.2</v>
      </c>
      <c r="D52" s="16" t="n">
        <v>12596.6224253982</v>
      </c>
      <c r="E52" s="16" t="n">
        <v>18894.9336380973</v>
      </c>
      <c r="F52" s="16" t="n">
        <v>6649.11673021464</v>
      </c>
      <c r="G52" s="16" t="n">
        <v>10921.5317007991</v>
      </c>
      <c r="H52" s="16" t="n">
        <v>1181.00360906824</v>
      </c>
      <c r="I52" s="16" t="n">
        <v>1052.69785139099</v>
      </c>
      <c r="J52" s="71" t="s">
        <v>1057</v>
      </c>
      <c r="K52" s="18" t="n">
        <v>601.551744997029</v>
      </c>
      <c r="L52" s="18" t="n">
        <v>943.102372557034</v>
      </c>
    </row>
    <row r="53" customFormat="false" ht="15" hidden="false" customHeight="true" outlineLevel="0" collapsed="false">
      <c r="A53" s="12" t="s">
        <v>1058</v>
      </c>
      <c r="B53" s="70" t="n">
        <v>2</v>
      </c>
      <c r="C53" s="70" t="n">
        <v>-1</v>
      </c>
      <c r="D53" s="16" t="n">
        <v>14166.4100004838</v>
      </c>
      <c r="E53" s="16" t="n">
        <v>16566.3800257551</v>
      </c>
      <c r="F53" s="16" t="n">
        <v>7578.28661323382</v>
      </c>
      <c r="G53" s="16" t="n">
        <v>9417.42297962786</v>
      </c>
      <c r="H53" s="16" t="n">
        <v>1278.09910931108</v>
      </c>
      <c r="I53" s="16" t="n">
        <v>1021.05082533594</v>
      </c>
      <c r="J53" s="71" t="s">
        <v>1053</v>
      </c>
      <c r="K53" s="18" t="n">
        <v>675.521037910368</v>
      </c>
      <c r="L53" s="18" t="n">
        <v>823.118926763721</v>
      </c>
    </row>
    <row r="54" customFormat="false" ht="15" hidden="false" customHeight="true" outlineLevel="0" collapsed="false">
      <c r="A54" s="12" t="s">
        <v>1059</v>
      </c>
      <c r="B54" s="70" t="n">
        <v>1.5</v>
      </c>
      <c r="C54" s="70" t="n">
        <v>0.5</v>
      </c>
      <c r="D54" s="16" t="n">
        <v>14885.1518377833</v>
      </c>
      <c r="E54" s="16" t="n">
        <v>16641.4397898647</v>
      </c>
      <c r="F54" s="16" t="n">
        <v>8249.96266766535</v>
      </c>
      <c r="G54" s="16" t="n">
        <v>9338.69729114</v>
      </c>
      <c r="H54" s="16" t="n">
        <v>1112.55982455393</v>
      </c>
      <c r="I54" s="16" t="n">
        <v>1094.72932511397</v>
      </c>
      <c r="J54" s="71" t="s">
        <v>1060</v>
      </c>
      <c r="K54" s="18" t="n">
        <v>732.779564487473</v>
      </c>
      <c r="L54" s="18" t="n">
        <v>813.121781513635</v>
      </c>
    </row>
    <row r="55" customFormat="false" ht="15" hidden="false" customHeight="true" outlineLevel="0" collapsed="false">
      <c r="A55" s="12" t="s">
        <v>1061</v>
      </c>
      <c r="B55" s="70" t="n">
        <v>1.5</v>
      </c>
      <c r="C55" s="70" t="n">
        <v>0.5</v>
      </c>
      <c r="D55" s="16" t="n">
        <v>15745.7780317477</v>
      </c>
      <c r="E55" s="16" t="n">
        <v>15745.7780317477</v>
      </c>
      <c r="F55" s="16" t="n">
        <v>8592.56592021468</v>
      </c>
      <c r="G55" s="16" t="n">
        <v>8979.62514021468</v>
      </c>
      <c r="H55" s="16" t="n">
        <v>1210.5553539508</v>
      </c>
      <c r="I55" s="16" t="n">
        <v>1003.35207668219</v>
      </c>
      <c r="J55" s="71" t="s">
        <v>1062</v>
      </c>
      <c r="K55" s="18" t="n">
        <v>762.000816641248</v>
      </c>
      <c r="L55" s="18" t="n">
        <v>782.737216948389</v>
      </c>
    </row>
    <row r="56" customFormat="false" ht="15" hidden="false" customHeight="true" outlineLevel="0" collapsed="false">
      <c r="A56" s="12" t="s">
        <v>1063</v>
      </c>
      <c r="B56" s="70" t="n">
        <v>1.5</v>
      </c>
      <c r="C56" s="70" t="n">
        <v>0.7</v>
      </c>
      <c r="D56" s="16" t="n">
        <v>15745.7780317477</v>
      </c>
      <c r="E56" s="16" t="n">
        <v>15745.7780317477</v>
      </c>
      <c r="F56" s="16" t="n">
        <v>8438.42928915584</v>
      </c>
      <c r="G56" s="16" t="n">
        <v>8994.69527484999</v>
      </c>
      <c r="H56" s="16" t="n">
        <v>1152.759756945</v>
      </c>
      <c r="I56" s="16" t="n">
        <v>1073.79369707034</v>
      </c>
      <c r="J56" s="71" t="s">
        <v>1062</v>
      </c>
      <c r="K56" s="18" t="n">
        <v>755.042847289936</v>
      </c>
      <c r="L56" s="18" t="n">
        <v>782.764718497748</v>
      </c>
    </row>
    <row r="57" customFormat="false" ht="15" hidden="false" customHeight="true" outlineLevel="0" collapsed="false">
      <c r="A57" s="12" t="s">
        <v>1064</v>
      </c>
      <c r="B57" s="70" t="n">
        <v>1.3</v>
      </c>
      <c r="C57" s="70" t="n">
        <v>0.8</v>
      </c>
      <c r="D57" s="16" t="n">
        <v>15745.7780317477</v>
      </c>
      <c r="E57" s="16" t="n">
        <v>15745.7780317477</v>
      </c>
      <c r="F57" s="16" t="n">
        <v>8245.81147688942</v>
      </c>
      <c r="G57" s="16" t="n">
        <v>9143.42548168819</v>
      </c>
      <c r="H57" s="16" t="n">
        <v>1223.44318163361</v>
      </c>
      <c r="I57" s="16" t="n">
        <v>1022.48364012374</v>
      </c>
      <c r="J57" s="71" t="s">
        <v>1062</v>
      </c>
      <c r="K57" s="18" t="n">
        <v>744.531372286679</v>
      </c>
      <c r="L57" s="18" t="n">
        <v>790.825068595965</v>
      </c>
    </row>
    <row r="58" customFormat="false" ht="1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customFormat="false" ht="15" hidden="false" customHeight="true" outlineLevel="0" collapsed="false">
      <c r="A59" s="10" t="s">
        <v>1065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customFormat="false" ht="30" hidden="false" customHeight="true" outlineLevel="0" collapsed="false">
      <c r="A60" s="15" t="s">
        <v>1019</v>
      </c>
      <c r="B60" s="15" t="s">
        <v>1066</v>
      </c>
      <c r="C60" s="15" t="s">
        <v>1067</v>
      </c>
      <c r="D60" s="15" t="s">
        <v>1068</v>
      </c>
      <c r="E60" s="12"/>
      <c r="F60" s="12"/>
      <c r="G60" s="12"/>
      <c r="H60" s="12"/>
      <c r="I60" s="12"/>
      <c r="J60" s="12"/>
      <c r="K60" s="12"/>
      <c r="L60" s="12"/>
    </row>
    <row r="61" customFormat="false" ht="15" hidden="false" customHeight="true" outlineLevel="0" collapsed="false">
      <c r="A61" s="72" t="s">
        <v>1069</v>
      </c>
      <c r="B61" s="73" t="n">
        <v>216.676800813217</v>
      </c>
      <c r="C61" s="74" t="n">
        <v>5376.27311332199</v>
      </c>
      <c r="D61" s="74" t="n">
        <v>177.74652316526</v>
      </c>
      <c r="E61" s="12"/>
      <c r="F61" s="12"/>
      <c r="G61" s="12"/>
      <c r="H61" s="12"/>
      <c r="I61" s="12"/>
      <c r="J61" s="12"/>
      <c r="K61" s="12"/>
      <c r="L61" s="12"/>
    </row>
    <row r="62" customFormat="false" ht="15" hidden="false" customHeight="true" outlineLevel="0" collapsed="false">
      <c r="A62" s="72" t="s">
        <v>1070</v>
      </c>
      <c r="B62" s="73" t="n">
        <v>168.656786855909</v>
      </c>
      <c r="C62" s="74" t="n">
        <v>4272.41497058446</v>
      </c>
      <c r="D62" s="74" t="n">
        <v>128.30575767725</v>
      </c>
      <c r="E62" s="12"/>
      <c r="F62" s="12"/>
      <c r="G62" s="12"/>
      <c r="H62" s="12"/>
      <c r="I62" s="12"/>
      <c r="J62" s="12"/>
      <c r="K62" s="12"/>
      <c r="L62" s="12"/>
    </row>
    <row r="63" customFormat="false" ht="15" hidden="false" customHeight="true" outlineLevel="0" collapsed="false">
      <c r="A63" s="72" t="s">
        <v>1071</v>
      </c>
      <c r="B63" s="73" t="n">
        <v>134.091622648559</v>
      </c>
      <c r="C63" s="74" t="n">
        <v>3552.05638989924</v>
      </c>
      <c r="D63" s="74" t="n">
        <v>157.04216086275</v>
      </c>
      <c r="E63" s="12"/>
      <c r="F63" s="12"/>
      <c r="G63" s="12"/>
      <c r="H63" s="12"/>
      <c r="I63" s="12"/>
      <c r="J63" s="12"/>
      <c r="K63" s="12"/>
      <c r="L63" s="12"/>
    </row>
    <row r="64" customFormat="false" ht="15" hidden="false" customHeight="true" outlineLevel="0" collapsed="false">
      <c r="A64" s="72" t="s">
        <v>1072</v>
      </c>
      <c r="B64" s="73" t="n">
        <v>74.8742709714903</v>
      </c>
      <c r="C64" s="74" t="n">
        <v>1839.13636639404</v>
      </c>
      <c r="D64" s="74" t="n">
        <v>257.04828397514</v>
      </c>
      <c r="E64" s="12"/>
      <c r="F64" s="12"/>
      <c r="G64" s="12"/>
      <c r="H64" s="12"/>
      <c r="I64" s="12"/>
      <c r="J64" s="12"/>
      <c r="K64" s="12"/>
      <c r="L64" s="12"/>
    </row>
    <row r="65" customFormat="false" ht="15" hidden="false" customHeight="true" outlineLevel="0" collapsed="false">
      <c r="A65" s="72" t="s">
        <v>1073</v>
      </c>
      <c r="B65" s="73" t="n">
        <v>39.7784680630082</v>
      </c>
      <c r="C65" s="74" t="n">
        <v>1088.73462347465</v>
      </c>
      <c r="D65" s="74" t="n">
        <v>17.83049943996</v>
      </c>
      <c r="E65" s="12"/>
      <c r="F65" s="12"/>
      <c r="G65" s="12"/>
      <c r="H65" s="12"/>
      <c r="I65" s="12"/>
      <c r="J65" s="12"/>
      <c r="K65" s="12"/>
      <c r="L65" s="12"/>
    </row>
    <row r="66" customFormat="false" ht="15" hidden="false" customHeight="true" outlineLevel="0" collapsed="false">
      <c r="A66" s="72" t="s">
        <v>1074</v>
      </c>
      <c r="B66" s="73" t="n">
        <v>26.6662157718114</v>
      </c>
      <c r="C66" s="74" t="n">
        <v>897.61400479877</v>
      </c>
      <c r="D66" s="74" t="n">
        <v>200.95954150987</v>
      </c>
      <c r="E66" s="12"/>
      <c r="F66" s="12"/>
      <c r="G66" s="12"/>
      <c r="H66" s="12"/>
      <c r="I66" s="12"/>
      <c r="J66" s="12"/>
      <c r="K66" s="12"/>
      <c r="L66" s="12"/>
    </row>
    <row r="67" customFormat="false" ht="15" hidden="false" customHeight="true" outlineLevel="0" collapsed="false">
      <c r="A67" s="72" t="s">
        <v>1075</v>
      </c>
      <c r="B67" s="73" t="n">
        <v>15.7562663469513</v>
      </c>
      <c r="C67" s="74" t="n">
        <v>556.26598569415</v>
      </c>
      <c r="D67" s="74" t="n">
        <v>78.96605987466</v>
      </c>
      <c r="E67" s="12"/>
      <c r="F67" s="12"/>
      <c r="G67" s="12"/>
      <c r="H67" s="12"/>
      <c r="I67" s="12"/>
      <c r="J67" s="12"/>
      <c r="K67" s="12"/>
      <c r="L67" s="12"/>
    </row>
    <row r="68" customFormat="false" ht="15" hidden="false" customHeight="true" outlineLevel="0" collapsed="false">
      <c r="A68" s="72" t="s">
        <v>1076</v>
      </c>
      <c r="B68" s="73" t="n">
        <v>12.3202694794083</v>
      </c>
      <c r="C68" s="74" t="n">
        <v>387.059220000001</v>
      </c>
      <c r="D68" s="74" t="n">
        <v>207.20327726861</v>
      </c>
      <c r="E68" s="12"/>
      <c r="F68" s="12"/>
      <c r="G68" s="12"/>
      <c r="H68" s="12"/>
      <c r="I68" s="12"/>
      <c r="J68" s="12"/>
      <c r="K68" s="12"/>
      <c r="L68" s="12"/>
    </row>
    <row r="69" customFormat="false" ht="1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customFormat="false" ht="15" hidden="false" customHeight="true" outlineLevel="0" collapsed="false">
      <c r="A70" s="5" t="s">
        <v>1077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customFormat="false" ht="15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customFormat="false" ht="15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customFormat="false" ht="15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customFormat="false" ht="15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customFormat="false" ht="1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38"/>
    <col collapsed="false" customWidth="true" hidden="false" outlineLevel="0" max="5" min="5" style="1" width="46"/>
    <col collapsed="false" customWidth="true" hidden="false" outlineLevel="0" max="6" min="6" style="1" width="14"/>
    <col collapsed="false" customWidth="true" hidden="false" outlineLevel="0" max="7" min="7" style="1" width="34"/>
    <col collapsed="false" customWidth="true" hidden="false" outlineLevel="0" max="8" min="8" style="1" width="4"/>
  </cols>
  <sheetData>
    <row r="1" customFormat="false" ht="17.25" hidden="false" customHeight="true" outlineLevel="0" collapsed="false">
      <c r="A1" s="2" t="s">
        <v>1078</v>
      </c>
      <c r="B1" s="3"/>
      <c r="C1" s="3"/>
      <c r="D1" s="3"/>
      <c r="E1" s="3"/>
      <c r="F1" s="3"/>
      <c r="G1" s="3"/>
      <c r="H1" s="3"/>
    </row>
    <row r="3" customFormat="false" ht="15" hidden="false" customHeight="true" outlineLevel="0" collapsed="false">
      <c r="A3" s="10" t="s">
        <v>1079</v>
      </c>
      <c r="B3" s="11"/>
      <c r="C3" s="11"/>
      <c r="D3" s="11"/>
      <c r="E3" s="11"/>
      <c r="F3" s="11"/>
      <c r="G3" s="11"/>
      <c r="H3" s="11"/>
    </row>
    <row r="4" customFormat="false" ht="15" hidden="false" customHeight="true" outlineLevel="0" collapsed="false">
      <c r="A4" s="15" t="s">
        <v>1080</v>
      </c>
      <c r="B4" s="15" t="s">
        <v>1081</v>
      </c>
      <c r="C4" s="15" t="s">
        <v>1082</v>
      </c>
    </row>
    <row r="5" customFormat="false" ht="15" hidden="false" customHeight="true" outlineLevel="0" collapsed="false">
      <c r="A5" s="12" t="s">
        <v>1083</v>
      </c>
      <c r="B5" s="75" t="b">
        <f aca="false">SUMPRODUCT(ABS(Engine_Monthly!$D$173:$BK$173))&lt;0.01</f>
        <v>1</v>
      </c>
      <c r="C5" s="4" t="s">
        <v>1084</v>
      </c>
    </row>
    <row r="6" customFormat="false" ht="15" hidden="false" customHeight="true" outlineLevel="0" collapsed="false">
      <c r="A6" s="12" t="s">
        <v>1085</v>
      </c>
      <c r="B6" s="75" t="b">
        <f aca="false">SUMPRODUCT(ABS(7_Financials!C61:G61))&lt;0.01</f>
        <v>1</v>
      </c>
      <c r="C6" s="4" t="s">
        <v>1086</v>
      </c>
    </row>
    <row r="7" customFormat="false" ht="15" hidden="false" customHeight="true" outlineLevel="0" collapsed="false">
      <c r="A7" s="12" t="s">
        <v>1087</v>
      </c>
      <c r="B7" s="75" t="b">
        <f aca="false">SUMPRODUCT(ABS(7_Financials!C44:G44))&lt;0.01</f>
        <v>1</v>
      </c>
      <c r="C7" s="4" t="s">
        <v>1088</v>
      </c>
    </row>
    <row r="8" customFormat="false" ht="15" hidden="false" customHeight="true" outlineLevel="0" collapsed="false">
      <c r="A8" s="12" t="s">
        <v>1089</v>
      </c>
      <c r="B8" s="75" t="b">
        <f aca="false">SUMPRODUCT(ABS(4_Revenue_Build!C44:G44))&lt;0.01</f>
        <v>1</v>
      </c>
      <c r="C8" s="4" t="s">
        <v>1090</v>
      </c>
    </row>
    <row r="9" customFormat="false" ht="15" hidden="false" customHeight="true" outlineLevel="0" collapsed="false">
      <c r="A9" s="12" t="s">
        <v>1091</v>
      </c>
      <c r="B9" s="75" t="b">
        <f aca="false">SUMPRODUCT(ABS(Engine_Monthly!$D$180:$BK$180))&lt;0.0001</f>
        <v>1</v>
      </c>
      <c r="C9" s="4" t="s">
        <v>1092</v>
      </c>
    </row>
    <row r="10" customFormat="false" ht="15" hidden="false" customHeight="true" outlineLevel="0" collapsed="false">
      <c r="A10" s="12" t="s">
        <v>1093</v>
      </c>
      <c r="B10" s="75" t="b">
        <f aca="false">SUMPRODUCT(ABS(4_Revenue_Build!C31:G31))&lt;0.01</f>
        <v>1</v>
      </c>
      <c r="C10" s="4" t="s">
        <v>1094</v>
      </c>
    </row>
    <row r="11" customFormat="false" ht="15" hidden="false" customHeight="true" outlineLevel="0" collapsed="false">
      <c r="A11" s="12" t="s">
        <v>1095</v>
      </c>
      <c r="B11" s="75" t="b">
        <f aca="false">MAX(Engine_Monthly!$D$178:$BK$178)&lt;=0.0001</f>
        <v>1</v>
      </c>
      <c r="C11" s="4" t="s">
        <v>1096</v>
      </c>
    </row>
    <row r="12" customFormat="false" ht="15" hidden="false" customHeight="true" outlineLevel="0" collapsed="false">
      <c r="A12" s="12" t="s">
        <v>1097</v>
      </c>
      <c r="B12" s="75" t="b">
        <f aca="false">SUMPRODUCT(ABS(5_Cost_of_Service!C38:G38))&lt;0.01</f>
        <v>1</v>
      </c>
      <c r="C12" s="4" t="s">
        <v>1098</v>
      </c>
    </row>
    <row r="13" customFormat="false" ht="15" hidden="false" customHeight="true" outlineLevel="0" collapsed="false">
      <c r="A13" s="12" t="s">
        <v>1099</v>
      </c>
      <c r="B13" s="75" t="b">
        <f aca="false">11_Funding!C21&gt;=0</f>
        <v>1</v>
      </c>
      <c r="C13" s="4" t="s">
        <v>1100</v>
      </c>
    </row>
    <row r="14" customFormat="false" ht="15" hidden="false" customHeight="true" outlineLevel="0" collapsed="false">
      <c r="A14" s="12" t="s">
        <v>1101</v>
      </c>
      <c r="B14" s="75" t="b">
        <f aca="false">AND(9_Customer_ROI!C55="OK",9_Customer_ROI!D55="OK",9_Customer_ROI!E55="OK")</f>
        <v>1</v>
      </c>
      <c r="C14" s="4" t="s">
        <v>1102</v>
      </c>
    </row>
    <row r="15" customFormat="false" ht="15" hidden="false" customHeight="true" outlineLevel="0" collapsed="false">
      <c r="A15" s="12" t="s">
        <v>1103</v>
      </c>
      <c r="B15" s="75" t="b">
        <f aca="false">3_Pricing!C18="OK"</f>
        <v>1</v>
      </c>
      <c r="C15" s="4"/>
    </row>
    <row r="16" customFormat="false" ht="15" hidden="false" customHeight="true" outlineLevel="0" collapsed="false">
      <c r="A16" s="12" t="s">
        <v>1104</v>
      </c>
      <c r="B16" s="75" t="b">
        <f aca="false">AND(ABS(12_Scenarios!F28-INDEX(12_Scenarios!C28:E28,1,Inputs!$C$3))&lt;1,ABS(12_Scenarios!F42-INDEX(12_Scenarios!C42:E42,1,Inputs!$C$3))&lt;0.05)</f>
        <v>1</v>
      </c>
      <c r="C16" s="4" t="s">
        <v>1105</v>
      </c>
    </row>
    <row r="17" customFormat="false" ht="15" hidden="false" customHeight="true" outlineLevel="0" collapsed="false">
      <c r="A17" s="12" t="s">
        <v>1106</v>
      </c>
      <c r="B17" s="76" t="b">
        <f aca="false">AND(14_Valuation!C90,IF(Inputs!$C$3=2,15_Change_Log!B20,TRUE()))</f>
        <v>1</v>
      </c>
      <c r="C17" s="4" t="s">
        <v>1107</v>
      </c>
    </row>
    <row r="18" customFormat="false" ht="15" hidden="false" customHeight="true" outlineLevel="0" collapsed="false">
      <c r="A18" s="12" t="s">
        <v>1108</v>
      </c>
      <c r="B18" s="76" t="b">
        <f aca="false">ABS(INDEX(Engine_Monthly!$D$49:$BK$49,1,60)-Inputs!C151)&lt;0.5</f>
        <v>1</v>
      </c>
      <c r="C18" s="4" t="s">
        <v>1109</v>
      </c>
    </row>
    <row r="19" customFormat="false" ht="15" hidden="false" customHeight="true" outlineLevel="0" collapsed="false">
      <c r="A19" s="12" t="s">
        <v>1110</v>
      </c>
      <c r="B19" s="76" t="b">
        <f aca="false">3_Pricing!C57="OK"</f>
        <v>1</v>
      </c>
      <c r="C19" s="4" t="s">
        <v>1111</v>
      </c>
    </row>
    <row r="20" customFormat="false" ht="15" hidden="false" customHeight="true" outlineLevel="0" collapsed="false">
      <c r="A20" s="12" t="s">
        <v>1112</v>
      </c>
      <c r="B20" s="76" t="b">
        <f aca="false">AND(Inputs!D153=0,SUMPRODUCT(ABS(4_Revenue_Build!C31:G31))&lt;0.01)</f>
        <v>1</v>
      </c>
      <c r="C20" s="4" t="s">
        <v>1113</v>
      </c>
    </row>
    <row r="21" customFormat="false" ht="30" hidden="false" customHeight="true" outlineLevel="0" collapsed="false">
      <c r="A21" s="12" t="s">
        <v>1114</v>
      </c>
      <c r="B21" s="76" t="b">
        <f aca="false">AND(16_SOM_Scenarios!F104,16_SOM_Scenarios!F105)</f>
        <v>1</v>
      </c>
      <c r="C21" s="4" t="s">
        <v>1115</v>
      </c>
    </row>
    <row r="22" customFormat="false" ht="30" hidden="false" customHeight="true" outlineLevel="0" collapsed="false">
      <c r="A22" s="40" t="s">
        <v>1116</v>
      </c>
      <c r="B22" s="77" t="b">
        <f aca="false">AND(B5:B21)</f>
        <v>1</v>
      </c>
    </row>
    <row r="23" customFormat="false" ht="30" hidden="false" customHeight="true" outlineLevel="0" collapsed="false">
      <c r="A23" s="10" t="s">
        <v>1117</v>
      </c>
      <c r="B23" s="11"/>
      <c r="C23" s="11"/>
      <c r="D23" s="11"/>
      <c r="E23" s="11"/>
      <c r="F23" s="11"/>
      <c r="G23" s="11"/>
      <c r="H23" s="11"/>
    </row>
    <row r="24" customFormat="false" ht="30" hidden="false" customHeight="true" outlineLevel="0" collapsed="false">
      <c r="A24" s="15" t="s">
        <v>1118</v>
      </c>
      <c r="B24" s="15" t="s">
        <v>1119</v>
      </c>
      <c r="C24" s="15" t="s">
        <v>1120</v>
      </c>
      <c r="D24" s="15" t="s">
        <v>1121</v>
      </c>
      <c r="E24" s="15" t="s">
        <v>1122</v>
      </c>
      <c r="F24" s="15" t="s">
        <v>1123</v>
      </c>
      <c r="G24" s="15" t="s">
        <v>1124</v>
      </c>
    </row>
    <row r="25" customFormat="false" ht="30" hidden="false" customHeight="true" outlineLevel="0" collapsed="false">
      <c r="A25" s="6" t="s">
        <v>1125</v>
      </c>
      <c r="B25" s="30" t="s">
        <v>577</v>
      </c>
      <c r="C25" s="30" t="s">
        <v>1126</v>
      </c>
      <c r="D25" s="30" t="s">
        <v>1127</v>
      </c>
      <c r="E25" s="30" t="s">
        <v>1128</v>
      </c>
      <c r="F25" s="30" t="s">
        <v>1129</v>
      </c>
      <c r="G25" s="30" t="s">
        <v>1130</v>
      </c>
    </row>
    <row r="26" customFormat="false" ht="30" hidden="false" customHeight="true" outlineLevel="0" collapsed="false">
      <c r="A26" s="6" t="s">
        <v>1131</v>
      </c>
      <c r="B26" s="30" t="s">
        <v>563</v>
      </c>
      <c r="C26" s="30" t="s">
        <v>1132</v>
      </c>
      <c r="D26" s="30" t="s">
        <v>1133</v>
      </c>
      <c r="E26" s="30" t="s">
        <v>1134</v>
      </c>
      <c r="F26" s="30" t="s">
        <v>1135</v>
      </c>
      <c r="G26" s="30" t="s">
        <v>1136</v>
      </c>
    </row>
    <row r="27" customFormat="false" ht="30" hidden="false" customHeight="true" outlineLevel="0" collapsed="false">
      <c r="A27" s="6" t="s">
        <v>1137</v>
      </c>
      <c r="B27" s="30" t="s">
        <v>577</v>
      </c>
      <c r="C27" s="30" t="s">
        <v>1138</v>
      </c>
      <c r="D27" s="30" t="s">
        <v>1139</v>
      </c>
      <c r="E27" s="30" t="s">
        <v>1140</v>
      </c>
      <c r="F27" s="30" t="s">
        <v>1141</v>
      </c>
      <c r="G27" s="30" t="s">
        <v>1142</v>
      </c>
    </row>
    <row r="28" customFormat="false" ht="30" hidden="false" customHeight="true" outlineLevel="0" collapsed="false">
      <c r="A28" s="6" t="s">
        <v>1143</v>
      </c>
      <c r="B28" s="30" t="s">
        <v>577</v>
      </c>
      <c r="C28" s="30" t="s">
        <v>1144</v>
      </c>
      <c r="D28" s="30" t="s">
        <v>1145</v>
      </c>
      <c r="E28" s="30" t="s">
        <v>1146</v>
      </c>
      <c r="F28" s="30" t="s">
        <v>1135</v>
      </c>
      <c r="G28" s="30" t="s">
        <v>1147</v>
      </c>
    </row>
    <row r="29" customFormat="false" ht="30" hidden="false" customHeight="true" outlineLevel="0" collapsed="false">
      <c r="A29" s="6" t="s">
        <v>1148</v>
      </c>
      <c r="B29" s="30" t="s">
        <v>577</v>
      </c>
      <c r="C29" s="30" t="s">
        <v>1149</v>
      </c>
      <c r="D29" s="30" t="s">
        <v>1150</v>
      </c>
      <c r="E29" s="30" t="s">
        <v>1151</v>
      </c>
      <c r="F29" s="30" t="s">
        <v>1152</v>
      </c>
      <c r="G29" s="30" t="s">
        <v>1153</v>
      </c>
    </row>
    <row r="30" customFormat="false" ht="30" hidden="false" customHeight="true" outlineLevel="0" collapsed="false">
      <c r="A30" s="6" t="s">
        <v>1154</v>
      </c>
      <c r="B30" s="30" t="s">
        <v>563</v>
      </c>
      <c r="C30" s="30" t="s">
        <v>1155</v>
      </c>
      <c r="D30" s="30" t="s">
        <v>1156</v>
      </c>
      <c r="E30" s="30" t="s">
        <v>1157</v>
      </c>
      <c r="F30" s="30" t="s">
        <v>1158</v>
      </c>
      <c r="G30" s="30" t="s">
        <v>1159</v>
      </c>
    </row>
    <row r="31" customFormat="false" ht="30" hidden="false" customHeight="true" outlineLevel="0" collapsed="false">
      <c r="A31" s="6" t="s">
        <v>1160</v>
      </c>
      <c r="B31" s="30" t="s">
        <v>577</v>
      </c>
      <c r="C31" s="30" t="s">
        <v>1161</v>
      </c>
      <c r="D31" s="30" t="s">
        <v>1162</v>
      </c>
      <c r="E31" s="30" t="s">
        <v>1163</v>
      </c>
      <c r="F31" s="30" t="s">
        <v>1164</v>
      </c>
      <c r="G31" s="30" t="s">
        <v>1165</v>
      </c>
    </row>
    <row r="32" customFormat="false" ht="30" hidden="false" customHeight="true" outlineLevel="0" collapsed="false">
      <c r="A32" s="6" t="s">
        <v>1166</v>
      </c>
      <c r="B32" s="30" t="s">
        <v>563</v>
      </c>
      <c r="C32" s="30" t="s">
        <v>1167</v>
      </c>
      <c r="D32" s="30" t="s">
        <v>1168</v>
      </c>
      <c r="E32" s="30" t="s">
        <v>1169</v>
      </c>
      <c r="F32" s="30" t="s">
        <v>1170</v>
      </c>
      <c r="G32" s="30" t="s">
        <v>1171</v>
      </c>
    </row>
    <row r="33" customFormat="false" ht="30" hidden="false" customHeight="true" outlineLevel="0" collapsed="false">
      <c r="A33" s="6" t="s">
        <v>1172</v>
      </c>
      <c r="B33" s="30" t="s">
        <v>577</v>
      </c>
      <c r="C33" s="30" t="s">
        <v>1173</v>
      </c>
      <c r="D33" s="30" t="s">
        <v>1174</v>
      </c>
      <c r="E33" s="30" t="s">
        <v>1175</v>
      </c>
      <c r="F33" s="30" t="s">
        <v>1129</v>
      </c>
      <c r="G33" s="30" t="s">
        <v>1176</v>
      </c>
    </row>
    <row r="34" customFormat="false" ht="30" hidden="false" customHeight="true" outlineLevel="0" collapsed="false">
      <c r="A34" s="6" t="s">
        <v>1177</v>
      </c>
      <c r="B34" s="30" t="s">
        <v>563</v>
      </c>
      <c r="C34" s="30" t="s">
        <v>1178</v>
      </c>
      <c r="D34" s="30" t="s">
        <v>1179</v>
      </c>
      <c r="E34" s="30" t="s">
        <v>1180</v>
      </c>
      <c r="F34" s="30" t="s">
        <v>1181</v>
      </c>
      <c r="G34" s="30" t="s">
        <v>1182</v>
      </c>
    </row>
    <row r="35" customFormat="false" ht="21.75" hidden="false" customHeight="true" outlineLevel="0" collapsed="false">
      <c r="A35" s="6" t="s">
        <v>1183</v>
      </c>
      <c r="B35" s="30" t="s">
        <v>1184</v>
      </c>
      <c r="C35" s="30" t="s">
        <v>1185</v>
      </c>
      <c r="D35" s="30" t="s">
        <v>1186</v>
      </c>
      <c r="E35" s="30" t="s">
        <v>1187</v>
      </c>
      <c r="F35" s="30" t="s">
        <v>1129</v>
      </c>
      <c r="G35" s="30" t="s">
        <v>1188</v>
      </c>
    </row>
    <row r="36" customFormat="false" ht="15" hidden="false" customHeight="true" outlineLevel="0" collapsed="false">
      <c r="A36" s="6" t="s">
        <v>1189</v>
      </c>
      <c r="B36" s="30" t="s">
        <v>563</v>
      </c>
      <c r="C36" s="30" t="s">
        <v>1190</v>
      </c>
      <c r="D36" s="30" t="s">
        <v>1191</v>
      </c>
      <c r="E36" s="30" t="s">
        <v>1192</v>
      </c>
      <c r="F36" s="30" t="s">
        <v>1135</v>
      </c>
      <c r="G36" s="30" t="s">
        <v>1193</v>
      </c>
    </row>
    <row r="37" customFormat="false" ht="15" hidden="false" customHeight="true" outlineLevel="0" collapsed="false">
      <c r="A37" s="6" t="s">
        <v>1194</v>
      </c>
      <c r="B37" s="30" t="s">
        <v>563</v>
      </c>
      <c r="C37" s="30" t="s">
        <v>1195</v>
      </c>
      <c r="D37" s="30" t="s">
        <v>1196</v>
      </c>
      <c r="E37" s="30" t="s">
        <v>1197</v>
      </c>
      <c r="F37" s="30" t="s">
        <v>1129</v>
      </c>
      <c r="G37" s="30" t="s">
        <v>1198</v>
      </c>
    </row>
    <row r="38" customFormat="false" ht="15" hidden="false" customHeight="true" outlineLevel="0" collapsed="false">
      <c r="A38" s="6" t="s">
        <v>1199</v>
      </c>
      <c r="B38" s="30" t="s">
        <v>563</v>
      </c>
      <c r="C38" s="30" t="s">
        <v>1200</v>
      </c>
      <c r="D38" s="30" t="s">
        <v>1201</v>
      </c>
      <c r="E38" s="30" t="s">
        <v>1202</v>
      </c>
      <c r="F38" s="30" t="s">
        <v>1164</v>
      </c>
      <c r="G38" s="30" t="s">
        <v>1203</v>
      </c>
    </row>
    <row r="39" customFormat="false" ht="32.25" hidden="false" customHeight="true" outlineLevel="0" collapsed="false">
      <c r="A39" s="6" t="s">
        <v>1204</v>
      </c>
      <c r="B39" s="30" t="s">
        <v>563</v>
      </c>
      <c r="C39" s="30" t="s">
        <v>1205</v>
      </c>
      <c r="D39" s="30" t="s">
        <v>1206</v>
      </c>
      <c r="E39" s="30" t="s">
        <v>1207</v>
      </c>
      <c r="F39" s="30" t="s">
        <v>1208</v>
      </c>
      <c r="G39" s="30" t="s">
        <v>1209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8" topLeftCell="C105" activePane="bottomRight" state="frozen"/>
      <selection pane="topLeft" activeCell="A1" activeCellId="0" sqref="A1"/>
      <selection pane="topRight" activeCell="C1" activeCellId="0" sqref="C1"/>
      <selection pane="bottomLeft" activeCell="A105" activeCellId="0" sqref="A105"/>
      <selection pane="bottomRight" activeCell="I112" activeCellId="0" sqref="I11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8"/>
    <col collapsed="false" customWidth="true" hidden="false" outlineLevel="0" max="12" min="2" style="1" width="12"/>
    <col collapsed="false" customWidth="true" hidden="false" outlineLevel="0" max="13" min="13" style="1" width="70"/>
  </cols>
  <sheetData>
    <row r="1" customFormat="false" ht="17.25" hidden="false" customHeight="true" outlineLevel="0" collapsed="false">
      <c r="A1" s="2" t="s">
        <v>1210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4" t="s">
        <v>1211</v>
      </c>
    </row>
    <row r="4" customFormat="false" ht="15" hidden="false" customHeight="true" outlineLevel="0" collapsed="false">
      <c r="A4" s="10" t="s">
        <v>1212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customFormat="false" ht="23.25" hidden="false" customHeight="true" outlineLevel="0" collapsed="false">
      <c r="A5" s="15" t="s">
        <v>75</v>
      </c>
      <c r="B5" s="15" t="s">
        <v>42</v>
      </c>
      <c r="C5" s="15" t="s">
        <v>393</v>
      </c>
      <c r="D5" s="15" t="s">
        <v>77</v>
      </c>
      <c r="E5" s="15" t="s">
        <v>78</v>
      </c>
    </row>
    <row r="6" customFormat="false" ht="15" hidden="false" customHeight="true" outlineLevel="0" collapsed="false">
      <c r="A6" s="12" t="s">
        <v>1213</v>
      </c>
      <c r="B6" s="4" t="s">
        <v>46</v>
      </c>
      <c r="C6" s="34" t="n">
        <v>0.12</v>
      </c>
      <c r="D6" s="4" t="s">
        <v>1214</v>
      </c>
      <c r="E6" s="4" t="s">
        <v>1215</v>
      </c>
    </row>
    <row r="7" customFormat="false" ht="15" hidden="false" customHeight="true" outlineLevel="0" collapsed="false">
      <c r="A7" s="12" t="s">
        <v>1216</v>
      </c>
      <c r="B7" s="4" t="s">
        <v>46</v>
      </c>
      <c r="C7" s="34" t="n">
        <v>0.05</v>
      </c>
      <c r="D7" s="4" t="s">
        <v>83</v>
      </c>
      <c r="E7" s="4" t="s">
        <v>1217</v>
      </c>
    </row>
    <row r="8" customFormat="false" ht="12" hidden="false" customHeight="true" outlineLevel="0" collapsed="false">
      <c r="A8" s="12" t="s">
        <v>1218</v>
      </c>
      <c r="B8" s="4" t="s">
        <v>46</v>
      </c>
      <c r="C8" s="37" t="n">
        <f aca="false">INDEX($C$120:$E$120,1,Inputs!$C$3)</f>
        <v>0.11</v>
      </c>
      <c r="D8" s="4" t="s">
        <v>1219</v>
      </c>
      <c r="E8" s="4" t="s">
        <v>1220</v>
      </c>
    </row>
    <row r="9" customFormat="false" ht="15" hidden="true" customHeight="true" outlineLevel="0" collapsed="false">
      <c r="A9" s="12" t="s">
        <v>1221</v>
      </c>
      <c r="B9" s="4" t="s">
        <v>46</v>
      </c>
      <c r="C9" s="37" t="n">
        <f aca="false">INDEX($C$121:$E$121,1,Inputs!$C$3)</f>
        <v>0.12</v>
      </c>
      <c r="D9" s="4" t="s">
        <v>1219</v>
      </c>
      <c r="E9" s="4" t="s">
        <v>1222</v>
      </c>
    </row>
    <row r="10" customFormat="false" ht="15" hidden="true" customHeight="true" outlineLevel="0" collapsed="false">
      <c r="A10" s="12" t="s">
        <v>1223</v>
      </c>
      <c r="B10" s="4" t="s">
        <v>46</v>
      </c>
      <c r="C10" s="37" t="n">
        <f aca="false">INDEX($C$122:$E$122,1,Inputs!$C$3)</f>
        <v>0.25</v>
      </c>
      <c r="D10" s="4" t="s">
        <v>1219</v>
      </c>
      <c r="E10" s="4" t="s">
        <v>1224</v>
      </c>
    </row>
    <row r="11" customFormat="false" ht="15" hidden="true" customHeight="true" outlineLevel="0" collapsed="false">
      <c r="A11" s="12" t="s">
        <v>1225</v>
      </c>
      <c r="B11" s="4" t="s">
        <v>1226</v>
      </c>
      <c r="C11" s="37" t="n">
        <f aca="false">INDEX($C$123:$E$123,1,Inputs!$C$3)</f>
        <v>0.03</v>
      </c>
      <c r="D11" s="4" t="s">
        <v>1219</v>
      </c>
      <c r="E11" s="4" t="s">
        <v>1227</v>
      </c>
    </row>
    <row r="12" customFormat="false" ht="15" hidden="true" customHeight="true" outlineLevel="0" collapsed="false">
      <c r="A12" s="12" t="s">
        <v>1228</v>
      </c>
      <c r="B12" s="4" t="s">
        <v>1229</v>
      </c>
      <c r="C12" s="34" t="n">
        <v>0.01</v>
      </c>
      <c r="D12" s="4" t="s">
        <v>83</v>
      </c>
      <c r="E12" s="4" t="s">
        <v>1230</v>
      </c>
    </row>
    <row r="13" customFormat="false" ht="15" hidden="true" customHeight="true" outlineLevel="0" collapsed="false">
      <c r="A13" s="12" t="s">
        <v>1231</v>
      </c>
      <c r="B13" s="4" t="s">
        <v>46</v>
      </c>
      <c r="C13" s="37" t="n">
        <f aca="false">Inputs!C10</f>
        <v>0.25168</v>
      </c>
      <c r="D13" s="4" t="s">
        <v>348</v>
      </c>
      <c r="E13" s="4" t="s">
        <v>1232</v>
      </c>
    </row>
    <row r="14" customFormat="false" ht="15" hidden="true" customHeight="true" outlineLevel="0" collapsed="false">
      <c r="A14" s="12" t="s">
        <v>1233</v>
      </c>
      <c r="B14" s="4" t="s">
        <v>1229</v>
      </c>
      <c r="C14" s="17" t="n">
        <f aca="false">IFERROR((7_Financials!G48-7_Financials!G53-7_Financials!G54)/7_Financials!G11,0)</f>
        <v>0.017580491532707</v>
      </c>
      <c r="D14" s="4" t="s">
        <v>183</v>
      </c>
      <c r="E14" s="4" t="s">
        <v>1234</v>
      </c>
    </row>
    <row r="15" customFormat="false" ht="15" hidden="true" customHeight="true" outlineLevel="0" collapsed="false">
      <c r="A15" s="12" t="s">
        <v>1235</v>
      </c>
      <c r="B15" s="4" t="s">
        <v>27</v>
      </c>
      <c r="C15" s="39" t="n">
        <v>10</v>
      </c>
      <c r="D15" s="4" t="s">
        <v>1214</v>
      </c>
      <c r="E15" s="4" t="s">
        <v>1236</v>
      </c>
    </row>
    <row r="16" customFormat="false" ht="14.25" hidden="true" customHeight="false" outlineLevel="0" collapsed="false"/>
    <row r="17" customFormat="false" ht="15" hidden="false" customHeight="true" outlineLevel="0" collapsed="false">
      <c r="A17" s="10" t="s">
        <v>1237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15" hidden="false" customHeight="true" outlineLevel="0" collapsed="false">
      <c r="A18" s="15" t="s">
        <v>44</v>
      </c>
      <c r="B18" s="15" t="s">
        <v>42</v>
      </c>
      <c r="C18" s="15" t="str">
        <f aca="false">"FY"&amp;TEXT(MOD(YEAR(Inputs!$C$8)+C19,100),"00")</f>
        <v>FY27</v>
      </c>
      <c r="D18" s="15" t="str">
        <f aca="false">"FY"&amp;TEXT(MOD(YEAR(Inputs!$C$8)+D19,100),"00")</f>
        <v>FY28</v>
      </c>
      <c r="E18" s="15" t="str">
        <f aca="false">"FY"&amp;TEXT(MOD(YEAR(Inputs!$C$8)+E19,100),"00")</f>
        <v>FY29</v>
      </c>
      <c r="F18" s="15" t="str">
        <f aca="false">"FY"&amp;TEXT(MOD(YEAR(Inputs!$C$8)+F19,100),"00")</f>
        <v>FY30</v>
      </c>
      <c r="G18" s="15" t="str">
        <f aca="false">"FY"&amp;TEXT(MOD(YEAR(Inputs!$C$8)+G19,100),"00")</f>
        <v>FY31</v>
      </c>
      <c r="H18" s="15" t="str">
        <f aca="false">"FY"&amp;TEXT(MOD(YEAR(Inputs!$C$8)+H19,100),"00")</f>
        <v>FY32</v>
      </c>
      <c r="I18" s="15" t="str">
        <f aca="false">"FY"&amp;TEXT(MOD(YEAR(Inputs!$C$8)+I19,100),"00")</f>
        <v>FY33</v>
      </c>
      <c r="J18" s="15" t="str">
        <f aca="false">"FY"&amp;TEXT(MOD(YEAR(Inputs!$C$8)+J19,100),"00")</f>
        <v>FY34</v>
      </c>
      <c r="K18" s="15" t="str">
        <f aca="false">"FY"&amp;TEXT(MOD(YEAR(Inputs!$C$8)+K19,100),"00")</f>
        <v>FY35</v>
      </c>
      <c r="L18" s="15" t="str">
        <f aca="false">"FY"&amp;TEXT(MOD(YEAR(Inputs!$C$8)+L19,100),"00")</f>
        <v>FY36</v>
      </c>
      <c r="M18" s="15" t="s">
        <v>369</v>
      </c>
    </row>
    <row r="19" customFormat="false" ht="15" hidden="false" customHeight="true" outlineLevel="0" collapsed="false">
      <c r="A19" s="12" t="s">
        <v>1238</v>
      </c>
      <c r="B19" s="4" t="s">
        <v>29</v>
      </c>
      <c r="C19" s="78" t="n">
        <v>1</v>
      </c>
      <c r="D19" s="78" t="n">
        <v>2</v>
      </c>
      <c r="E19" s="78" t="n">
        <v>3</v>
      </c>
      <c r="F19" s="78" t="n">
        <v>4</v>
      </c>
      <c r="G19" s="78" t="n">
        <v>5</v>
      </c>
      <c r="H19" s="78" t="n">
        <v>6</v>
      </c>
      <c r="I19" s="78" t="n">
        <v>7</v>
      </c>
      <c r="J19" s="78" t="n">
        <v>8</v>
      </c>
      <c r="K19" s="78" t="n">
        <v>9</v>
      </c>
      <c r="L19" s="78" t="n">
        <v>10</v>
      </c>
    </row>
    <row r="20" customFormat="false" ht="15" hidden="false" customHeight="true" outlineLevel="0" collapsed="false">
      <c r="A20" s="12" t="s">
        <v>1239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1240</v>
      </c>
      <c r="I20" s="4" t="s">
        <v>1240</v>
      </c>
      <c r="J20" s="4" t="s">
        <v>1240</v>
      </c>
      <c r="K20" s="4" t="s">
        <v>1240</v>
      </c>
      <c r="L20" s="4" t="s">
        <v>1240</v>
      </c>
    </row>
    <row r="21" customFormat="false" ht="15" hidden="false" customHeight="true" outlineLevel="0" collapsed="false">
      <c r="A21" s="40" t="s">
        <v>43</v>
      </c>
      <c r="B21" s="4" t="s">
        <v>44</v>
      </c>
      <c r="C21" s="21" t="n">
        <f aca="false">7_Financials!C11</f>
        <v>28.6376248328144</v>
      </c>
      <c r="D21" s="21" t="n">
        <f aca="false">7_Financials!D11</f>
        <v>478.845035099508</v>
      </c>
      <c r="E21" s="21" t="n">
        <f aca="false">7_Financials!E11</f>
        <v>2411.14780337274</v>
      </c>
      <c r="F21" s="21" t="n">
        <f aca="false">7_Financials!F11</f>
        <v>7026.31622245338</v>
      </c>
      <c r="G21" s="21" t="n">
        <f aca="false">7_Financials!G11</f>
        <v>15092.9719681828</v>
      </c>
      <c r="H21" s="16" t="n">
        <f aca="false">G21*(1+H22)</f>
        <v>16753.1988846829</v>
      </c>
      <c r="I21" s="16" t="n">
        <f aca="false">H21*(1+I22)</f>
        <v>18637.9337592097</v>
      </c>
      <c r="J21" s="16" t="n">
        <f aca="false">I21*(1+J22)</f>
        <v>20781.2961415188</v>
      </c>
      <c r="K21" s="16" t="n">
        <f aca="false">J21*(1+K22)</f>
        <v>23223.0984381473</v>
      </c>
      <c r="L21" s="16" t="n">
        <f aca="false">K21*(1+L22)</f>
        <v>26009.8702507249</v>
      </c>
      <c r="M21" s="4" t="s">
        <v>1241</v>
      </c>
    </row>
    <row r="22" customFormat="false" ht="15" hidden="false" customHeight="true" outlineLevel="0" collapsed="false">
      <c r="A22" s="12" t="s">
        <v>45</v>
      </c>
      <c r="B22" s="4" t="s">
        <v>46</v>
      </c>
      <c r="C22" s="17"/>
      <c r="D22" s="17" t="n">
        <f aca="false">IFERROR(D21/C21-1,0)</f>
        <v>15.7208362388638</v>
      </c>
      <c r="E22" s="17" t="n">
        <f aca="false">IFERROR(E21/D21-1,0)</f>
        <v>4.03534051025857</v>
      </c>
      <c r="F22" s="17" t="n">
        <f aca="false">IFERROR(F21/E21-1,0)</f>
        <v>1.91409602207915</v>
      </c>
      <c r="G22" s="17" t="n">
        <f aca="false">IFERROR(G21/F21-1,0)</f>
        <v>1.14806329381412</v>
      </c>
      <c r="H22" s="17" t="n">
        <f aca="false">$C$8+($C$9-$C$8)*(H$19-6)/4</f>
        <v>0.11</v>
      </c>
      <c r="I22" s="17" t="n">
        <f aca="false">$C$8+($C$9-$C$8)*(I$19-6)/4</f>
        <v>0.1125</v>
      </c>
      <c r="J22" s="17" t="n">
        <f aca="false">$C$8+($C$9-$C$8)*(J$19-6)/4</f>
        <v>0.115</v>
      </c>
      <c r="K22" s="17" t="n">
        <f aca="false">$C$8+($C$9-$C$8)*(K$19-6)/4</f>
        <v>0.1175</v>
      </c>
      <c r="L22" s="17" t="n">
        <f aca="false">$C$8+($C$9-$C$8)*(L$19-6)/4</f>
        <v>0.12</v>
      </c>
      <c r="M22" s="4" t="s">
        <v>1242</v>
      </c>
    </row>
    <row r="23" customFormat="false" ht="15" hidden="false" customHeight="true" outlineLevel="0" collapsed="false">
      <c r="A23" s="40" t="s">
        <v>54</v>
      </c>
      <c r="B23" s="4" t="s">
        <v>44</v>
      </c>
      <c r="C23" s="21" t="n">
        <f aca="false">7_Financials!C19</f>
        <v>-203.334994231797</v>
      </c>
      <c r="D23" s="21" t="n">
        <f aca="false">7_Financials!D19</f>
        <v>-349.499344848053</v>
      </c>
      <c r="E23" s="21" t="n">
        <f aca="false">7_Financials!E19</f>
        <v>354.794061464275</v>
      </c>
      <c r="F23" s="21" t="n">
        <f aca="false">7_Financials!F19</f>
        <v>3061.34250288065</v>
      </c>
      <c r="G23" s="21" t="n">
        <f aca="false">7_Financials!G19</f>
        <v>8786.09553021468</v>
      </c>
      <c r="H23" s="16" t="n">
        <f aca="false">H21*H24</f>
        <v>9249.97007199781</v>
      </c>
      <c r="I23" s="16" t="n">
        <f aca="false">I21*I24</f>
        <v>9731.45369232128</v>
      </c>
      <c r="J23" s="16" t="n">
        <f aca="false">J21*J24</f>
        <v>10227.1319826927</v>
      </c>
      <c r="K23" s="16" t="n">
        <f aca="false">K21*K24</f>
        <v>10732.1270375146</v>
      </c>
      <c r="L23" s="16" t="n">
        <f aca="false">L21*L24</f>
        <v>11239.6861744946</v>
      </c>
    </row>
    <row r="24" customFormat="false" ht="15" hidden="false" customHeight="true" outlineLevel="0" collapsed="false">
      <c r="A24" s="12" t="s">
        <v>55</v>
      </c>
      <c r="B24" s="4" t="s">
        <v>46</v>
      </c>
      <c r="C24" s="17" t="n">
        <f aca="false">IFERROR(C23/C21,0)</f>
        <v>-7.10027439142948</v>
      </c>
      <c r="D24" s="17" t="n">
        <f aca="false">IFERROR(D23/D21,0)</f>
        <v>-0.7298798551298</v>
      </c>
      <c r="E24" s="17" t="n">
        <f aca="false">IFERROR(E23/E21,0)</f>
        <v>0.147147371458517</v>
      </c>
      <c r="F24" s="17" t="n">
        <f aca="false">IFERROR(F23/F21,0)</f>
        <v>0.435696658954487</v>
      </c>
      <c r="G24" s="17" t="n">
        <f aca="false">IFERROR(G23/G21,0)</f>
        <v>0.582131574135068</v>
      </c>
      <c r="H24" s="17" t="n">
        <f aca="false">G24+MAX(-$C$11,MIN($C$11,$C$10-G24))</f>
        <v>0.552131574135068</v>
      </c>
      <c r="I24" s="17" t="n">
        <f aca="false">H24+MAX(-$C$11,MIN($C$11,$C$10-H24))</f>
        <v>0.522131574135068</v>
      </c>
      <c r="J24" s="17" t="n">
        <f aca="false">I24+MAX(-$C$11,MIN($C$11,$C$10-I24))</f>
        <v>0.492131574135068</v>
      </c>
      <c r="K24" s="17" t="n">
        <f aca="false">J24+MAX(-$C$11,MIN($C$11,$C$10-J24))</f>
        <v>0.462131574135067</v>
      </c>
      <c r="L24" s="17" t="n">
        <f aca="false">K24+MAX(-$C$11,MIN($C$11,$C$10-K24))</f>
        <v>0.432131574135067</v>
      </c>
      <c r="M24" s="4" t="s">
        <v>1243</v>
      </c>
    </row>
    <row r="25" customFormat="false" ht="15" hidden="false" customHeight="true" outlineLevel="0" collapsed="false">
      <c r="A25" s="12" t="s">
        <v>759</v>
      </c>
      <c r="B25" s="4" t="s">
        <v>44</v>
      </c>
      <c r="C25" s="21" t="n">
        <f aca="false">7_Financials!C21</f>
        <v>-6.17777777777778</v>
      </c>
      <c r="D25" s="21" t="n">
        <f aca="false">7_Financials!D21</f>
        <v>-12.5</v>
      </c>
      <c r="E25" s="21" t="n">
        <f aca="false">7_Financials!E21</f>
        <v>-21.3666666666667</v>
      </c>
      <c r="F25" s="21" t="n">
        <f aca="false">7_Financials!F21</f>
        <v>-28.0222222222222</v>
      </c>
      <c r="G25" s="21" t="n">
        <f aca="false">7_Financials!G21</f>
        <v>-36.9666666666667</v>
      </c>
      <c r="H25" s="16" t="n">
        <f aca="false">H27</f>
        <v>-167.531988846829</v>
      </c>
      <c r="I25" s="16" t="n">
        <f aca="false">I27</f>
        <v>-186.379337592097</v>
      </c>
      <c r="J25" s="16" t="n">
        <f aca="false">J27</f>
        <v>-207.812961415188</v>
      </c>
      <c r="K25" s="16" t="n">
        <f aca="false">K27</f>
        <v>-232.230984381473</v>
      </c>
      <c r="L25" s="16" t="n">
        <f aca="false">L27</f>
        <v>-260.098702507249</v>
      </c>
      <c r="M25" s="4" t="s">
        <v>1244</v>
      </c>
    </row>
    <row r="26" customFormat="false" ht="15" hidden="false" customHeight="true" outlineLevel="0" collapsed="false">
      <c r="A26" s="12" t="s">
        <v>760</v>
      </c>
      <c r="B26" s="4" t="s">
        <v>44</v>
      </c>
      <c r="C26" s="16" t="n">
        <f aca="false">C23+C25</f>
        <v>-209.512772009575</v>
      </c>
      <c r="D26" s="16" t="n">
        <f aca="false">D23+D25</f>
        <v>-361.999344848053</v>
      </c>
      <c r="E26" s="16" t="n">
        <f aca="false">E23+E25</f>
        <v>333.427394797609</v>
      </c>
      <c r="F26" s="16" t="n">
        <f aca="false">F23+F25</f>
        <v>3033.32028065843</v>
      </c>
      <c r="G26" s="16" t="n">
        <f aca="false">G23+G25</f>
        <v>8749.12886354802</v>
      </c>
      <c r="H26" s="16" t="n">
        <f aca="false">H23+H25</f>
        <v>9082.43808315098</v>
      </c>
      <c r="I26" s="16" t="n">
        <f aca="false">I23+I25</f>
        <v>9545.07435472918</v>
      </c>
      <c r="J26" s="16" t="n">
        <f aca="false">J23+J25</f>
        <v>10019.3190212775</v>
      </c>
      <c r="K26" s="16" t="n">
        <f aca="false">K23+K25</f>
        <v>10499.8960531332</v>
      </c>
      <c r="L26" s="16" t="n">
        <f aca="false">L23+L25</f>
        <v>10979.5874719874</v>
      </c>
    </row>
    <row r="27" customFormat="false" ht="15" hidden="false" customHeight="true" outlineLevel="0" collapsed="false">
      <c r="A27" s="12" t="s">
        <v>1245</v>
      </c>
      <c r="B27" s="4" t="s">
        <v>44</v>
      </c>
      <c r="C27" s="21" t="n">
        <f aca="false">7_Financials!C34+7_Financials!C35</f>
        <v>-23.2</v>
      </c>
      <c r="D27" s="21" t="n">
        <f aca="false">7_Financials!D34+7_Financials!D35</f>
        <v>-16.8</v>
      </c>
      <c r="E27" s="21" t="n">
        <f aca="false">7_Financials!E34+7_Financials!E35</f>
        <v>-33.6</v>
      </c>
      <c r="F27" s="21" t="n">
        <f aca="false">7_Financials!F34+7_Financials!F35</f>
        <v>-42</v>
      </c>
      <c r="G27" s="21" t="n">
        <f aca="false">7_Financials!G34+7_Financials!G35</f>
        <v>-48</v>
      </c>
      <c r="H27" s="16" t="n">
        <f aca="false">-H21*$C$12</f>
        <v>-167.531988846829</v>
      </c>
      <c r="I27" s="16" t="n">
        <f aca="false">-I21*$C$12</f>
        <v>-186.379337592097</v>
      </c>
      <c r="J27" s="16" t="n">
        <f aca="false">-J21*$C$12</f>
        <v>-207.812961415188</v>
      </c>
      <c r="K27" s="16" t="n">
        <f aca="false">-K21*$C$12</f>
        <v>-232.230984381473</v>
      </c>
      <c r="L27" s="16" t="n">
        <f aca="false">-L21*$C$12</f>
        <v>-260.098702507249</v>
      </c>
    </row>
    <row r="28" customFormat="false" ht="15" hidden="false" customHeight="true" outlineLevel="0" collapsed="false">
      <c r="A28" s="12" t="s">
        <v>1246</v>
      </c>
      <c r="B28" s="4" t="s">
        <v>44</v>
      </c>
      <c r="H28" s="21" t="n">
        <f aca="false">MAX(0,-SUM(7_Financials!$C$24:$G$24))</f>
        <v>0</v>
      </c>
      <c r="I28" s="16" t="n">
        <f aca="false">H30</f>
        <v>0</v>
      </c>
      <c r="J28" s="16" t="n">
        <f aca="false">I30</f>
        <v>0</v>
      </c>
      <c r="K28" s="16" t="n">
        <f aca="false">J30</f>
        <v>0</v>
      </c>
      <c r="L28" s="16" t="n">
        <f aca="false">K30</f>
        <v>0</v>
      </c>
      <c r="M28" s="4" t="s">
        <v>1247</v>
      </c>
    </row>
    <row r="29" customFormat="false" ht="15" hidden="false" customHeight="true" outlineLevel="0" collapsed="false">
      <c r="A29" s="12" t="s">
        <v>1248</v>
      </c>
      <c r="B29" s="4" t="s">
        <v>44</v>
      </c>
      <c r="H29" s="16" t="n">
        <f aca="false">MIN(H28,MAX(0,H26))</f>
        <v>0</v>
      </c>
      <c r="I29" s="16" t="n">
        <f aca="false">MIN(I28,MAX(0,I26))</f>
        <v>0</v>
      </c>
      <c r="J29" s="16" t="n">
        <f aca="false">MIN(J28,MAX(0,J26))</f>
        <v>0</v>
      </c>
      <c r="K29" s="16" t="n">
        <f aca="false">MIN(K28,MAX(0,K26))</f>
        <v>0</v>
      </c>
      <c r="L29" s="16" t="n">
        <f aca="false">MIN(L28,MAX(0,L26))</f>
        <v>0</v>
      </c>
    </row>
    <row r="30" customFormat="false" ht="15" hidden="false" customHeight="true" outlineLevel="0" collapsed="false">
      <c r="A30" s="12" t="s">
        <v>1249</v>
      </c>
      <c r="B30" s="4" t="s">
        <v>44</v>
      </c>
      <c r="H30" s="16" t="n">
        <f aca="false">H28-H29</f>
        <v>0</v>
      </c>
      <c r="I30" s="16" t="n">
        <f aca="false">I28-I29</f>
        <v>0</v>
      </c>
      <c r="J30" s="16" t="n">
        <f aca="false">J28-J29</f>
        <v>0</v>
      </c>
      <c r="K30" s="16" t="n">
        <f aca="false">K28-K29</f>
        <v>0</v>
      </c>
      <c r="L30" s="16" t="n">
        <f aca="false">L28-L29</f>
        <v>0</v>
      </c>
    </row>
    <row r="31" customFormat="false" ht="15" hidden="false" customHeight="true" outlineLevel="0" collapsed="false">
      <c r="A31" s="12" t="s">
        <v>769</v>
      </c>
      <c r="B31" s="4" t="s">
        <v>44</v>
      </c>
      <c r="C31" s="21" t="n">
        <f aca="false">7_Financials!C32</f>
        <v>-0</v>
      </c>
      <c r="D31" s="21" t="n">
        <f aca="false">7_Financials!D32</f>
        <v>-0</v>
      </c>
      <c r="E31" s="21" t="n">
        <f aca="false">7_Financials!E32</f>
        <v>-0</v>
      </c>
      <c r="F31" s="21" t="n">
        <f aca="false">7_Financials!F32</f>
        <v>-703.504885388048</v>
      </c>
      <c r="G31" s="21" t="n">
        <f aca="false">7_Financials!G32</f>
        <v>-2201.98075237776</v>
      </c>
      <c r="H31" s="16" t="n">
        <f aca="false">-(MAX(0,H26)-H29)*$C$13</f>
        <v>-2285.86801676744</v>
      </c>
      <c r="I31" s="16" t="n">
        <f aca="false">-(MAX(0,I26)-I29)*$C$13</f>
        <v>-2402.30431359824</v>
      </c>
      <c r="J31" s="16" t="n">
        <f aca="false">-(MAX(0,J26)-J29)*$C$13</f>
        <v>-2521.66221127511</v>
      </c>
      <c r="K31" s="16" t="n">
        <f aca="false">-(MAX(0,K26)-K29)*$C$13</f>
        <v>-2642.61383865255</v>
      </c>
      <c r="L31" s="16" t="n">
        <f aca="false">-(MAX(0,L26)-L29)*$C$13</f>
        <v>-2763.34257494978</v>
      </c>
      <c r="M31" s="4" t="s">
        <v>1250</v>
      </c>
    </row>
    <row r="32" customFormat="false" ht="15" hidden="false" customHeight="true" outlineLevel="0" collapsed="false">
      <c r="A32" s="12" t="s">
        <v>1251</v>
      </c>
      <c r="B32" s="4" t="s">
        <v>44</v>
      </c>
      <c r="C32" s="21" t="n">
        <f aca="false">7_Financials!C30</f>
        <v>2.72888142720782</v>
      </c>
      <c r="D32" s="21" t="n">
        <f aca="false">7_Financials!D30</f>
        <v>-28.6026382535269</v>
      </c>
      <c r="E32" s="21" t="n">
        <f aca="false">7_Financials!E30</f>
        <v>-58.9732211969285</v>
      </c>
      <c r="F32" s="21" t="n">
        <f aca="false">7_Financials!F30</f>
        <v>-84.4401334991477</v>
      </c>
      <c r="G32" s="21" t="n">
        <f aca="false">7_Financials!G30</f>
        <v>-96.0547543676257</v>
      </c>
      <c r="H32" s="16" t="n">
        <f aca="false">-$C$14*(H21-G21)</f>
        <v>-29.1876052479024</v>
      </c>
      <c r="I32" s="16" t="n">
        <f aca="false">-$C$14*(I21-H21)</f>
        <v>-33.1345655030164</v>
      </c>
      <c r="J32" s="16" t="n">
        <f aca="false">-$C$14*(J21-I21)</f>
        <v>-37.6813642137081</v>
      </c>
      <c r="K32" s="16" t="n">
        <f aca="false">-$C$14*(K21-J21)</f>
        <v>-42.9280846004211</v>
      </c>
      <c r="L32" s="16" t="n">
        <f aca="false">-$C$14*(L21-K21)</f>
        <v>-48.9928182546083</v>
      </c>
      <c r="M32" s="4" t="s">
        <v>1252</v>
      </c>
    </row>
    <row r="33" customFormat="false" ht="15" hidden="false" customHeight="true" outlineLevel="0" collapsed="false">
      <c r="A33" s="40" t="s">
        <v>1253</v>
      </c>
      <c r="B33" s="4" t="s">
        <v>44</v>
      </c>
      <c r="C33" s="61" t="n">
        <f aca="false">C23+C27+C31+C32</f>
        <v>-223.806112804589</v>
      </c>
      <c r="D33" s="61" t="n">
        <f aca="false">D23+D27+D31+D32</f>
        <v>-394.90198310158</v>
      </c>
      <c r="E33" s="61" t="n">
        <f aca="false">E23+E27+E31+E32</f>
        <v>262.220840267347</v>
      </c>
      <c r="F33" s="61" t="n">
        <f aca="false">F23+F27+F31+F32</f>
        <v>2231.39748399346</v>
      </c>
      <c r="G33" s="61" t="n">
        <f aca="false">G23+G27+G31+G32</f>
        <v>6440.06002346929</v>
      </c>
      <c r="H33" s="61" t="n">
        <f aca="false">H23+H27+H31+H32</f>
        <v>6767.38246113564</v>
      </c>
      <c r="I33" s="61" t="n">
        <f aca="false">I23+I27+I31+I32</f>
        <v>7109.63547562792</v>
      </c>
      <c r="J33" s="61" t="n">
        <f aca="false">J23+J27+J31+J32</f>
        <v>7459.97544578865</v>
      </c>
      <c r="K33" s="61" t="n">
        <f aca="false">K23+K27+K31+K32</f>
        <v>7814.35412988018</v>
      </c>
      <c r="L33" s="61" t="n">
        <f aca="false">L23+L27+L31+L32</f>
        <v>8167.25207878299</v>
      </c>
      <c r="M33" s="4" t="s">
        <v>1254</v>
      </c>
    </row>
    <row r="34" customFormat="false" ht="15" hidden="false" customHeight="true" outlineLevel="0" collapsed="false">
      <c r="A34" s="12" t="s">
        <v>1255</v>
      </c>
      <c r="B34" s="4" t="s">
        <v>44</v>
      </c>
      <c r="C34" s="18" t="n">
        <f aca="false">ROUND(ABS(C33-((7_Financials!C47-0)-7_Financials!C40-7_Financials!C31))+ABS(C32-(-(7_Financials!C48-0)-(7_Financials!C49-0)+(7_Financials!C53-0)+(7_Financials!C54-0))),4)</f>
        <v>0</v>
      </c>
      <c r="D34" s="18" t="n">
        <f aca="false">ROUND(ABS(D33-((7_Financials!D47-7_Financials!C47)-7_Financials!D40-7_Financials!D31))+ABS(D32-(-(7_Financials!D48-7_Financials!C48)-(7_Financials!D49-7_Financials!C49)+(7_Financials!D53-7_Financials!C53)+(7_Financials!D54-7_Financials!C54))),4)</f>
        <v>0</v>
      </c>
      <c r="E34" s="18" t="n">
        <f aca="false">ROUND(ABS(E33-((7_Financials!E47-7_Financials!D47)-7_Financials!E40-7_Financials!E31))+ABS(E32-(-(7_Financials!E48-7_Financials!D48)-(7_Financials!E49-7_Financials!D49)+(7_Financials!E53-7_Financials!D53)+(7_Financials!E54-7_Financials!D54))),4)</f>
        <v>0</v>
      </c>
      <c r="F34" s="18" t="n">
        <f aca="false">ROUND(ABS(F33-((7_Financials!F47-7_Financials!E47)-7_Financials!F40-7_Financials!F31))+ABS(F32-(-(7_Financials!F48-7_Financials!E48)-(7_Financials!F49-7_Financials!E49)+(7_Financials!F53-7_Financials!E53)+(7_Financials!F54-7_Financials!E54))),4)</f>
        <v>0</v>
      </c>
      <c r="G34" s="18" t="n">
        <f aca="false">ROUND(ABS(G33-((7_Financials!G47-7_Financials!F47)-7_Financials!G40-7_Financials!G31))+ABS(G32-(-(7_Financials!G48-7_Financials!F48)-(7_Financials!G49-7_Financials!F49)+(7_Financials!G53-7_Financials!F53)+(7_Financials!G54-7_Financials!F54))),4)</f>
        <v>0</v>
      </c>
      <c r="M34" s="4" t="s">
        <v>1256</v>
      </c>
    </row>
    <row r="35" customFormat="false" ht="15" hidden="false" customHeight="true" outlineLevel="0" collapsed="false">
      <c r="A35" s="12" t="s">
        <v>1257</v>
      </c>
      <c r="B35" s="4" t="s">
        <v>37</v>
      </c>
      <c r="C35" s="42" t="n">
        <f aca="false">1/(1+$C$6)^C19</f>
        <v>0.892857142857143</v>
      </c>
      <c r="D35" s="42" t="n">
        <f aca="false">1/(1+$C$6)^D19</f>
        <v>0.79719387755102</v>
      </c>
      <c r="E35" s="42" t="n">
        <f aca="false">1/(1+$C$6)^E19</f>
        <v>0.711780247813411</v>
      </c>
      <c r="F35" s="42" t="n">
        <f aca="false">1/(1+$C$6)^F19</f>
        <v>0.635518078404831</v>
      </c>
      <c r="G35" s="42" t="n">
        <f aca="false">1/(1+$C$6)^G19</f>
        <v>0.567426855718599</v>
      </c>
      <c r="H35" s="42" t="n">
        <f aca="false">1/(1+$C$6)^H19</f>
        <v>0.506631121177321</v>
      </c>
      <c r="I35" s="42" t="n">
        <f aca="false">1/(1+$C$6)^I19</f>
        <v>0.452349215336893</v>
      </c>
      <c r="J35" s="42" t="n">
        <f aca="false">1/(1+$C$6)^J19</f>
        <v>0.403883227979369</v>
      </c>
      <c r="K35" s="42" t="n">
        <f aca="false">1/(1+$C$6)^K19</f>
        <v>0.360610024981579</v>
      </c>
      <c r="L35" s="42" t="n">
        <f aca="false">1/(1+$C$6)^L19</f>
        <v>0.321973236590696</v>
      </c>
    </row>
    <row r="36" customFormat="false" ht="15" hidden="false" customHeight="true" outlineLevel="0" collapsed="false">
      <c r="A36" s="12" t="s">
        <v>1258</v>
      </c>
      <c r="B36" s="4" t="s">
        <v>44</v>
      </c>
      <c r="C36" s="16" t="n">
        <f aca="false">C33*C35</f>
        <v>-199.826886432669</v>
      </c>
      <c r="D36" s="16" t="n">
        <f aca="false">D33*D35</f>
        <v>-314.813443161336</v>
      </c>
      <c r="E36" s="16" t="n">
        <f aca="false">E33*E35</f>
        <v>186.643614667333</v>
      </c>
      <c r="F36" s="16" t="n">
        <f aca="false">F33*F35</f>
        <v>1418.0934411849</v>
      </c>
      <c r="G36" s="16" t="n">
        <f aca="false">G33*G35</f>
        <v>3654.26300975623</v>
      </c>
      <c r="H36" s="16" t="n">
        <f aca="false">H33*H35</f>
        <v>3428.56656372089</v>
      </c>
      <c r="I36" s="16" t="n">
        <f aca="false">I33*I35</f>
        <v>3216.03802873163</v>
      </c>
      <c r="J36" s="16" t="n">
        <f aca="false">J33*J35</f>
        <v>3012.95896369195</v>
      </c>
      <c r="K36" s="16" t="n">
        <f aca="false">K33*K35</f>
        <v>2817.934437991</v>
      </c>
      <c r="L36" s="16" t="n">
        <f aca="false">L33*L35</f>
        <v>2629.63658585785</v>
      </c>
    </row>
    <row r="37" customFormat="false" ht="15" hidden="false" customHeight="true" outlineLevel="0" collapsed="false">
      <c r="A37" s="12" t="s">
        <v>1259</v>
      </c>
      <c r="B37" s="4" t="s">
        <v>44</v>
      </c>
      <c r="C37" s="16" t="n">
        <f aca="false">C33</f>
        <v>-223.806112804589</v>
      </c>
      <c r="D37" s="16" t="n">
        <f aca="false">C37+D33</f>
        <v>-618.708095906169</v>
      </c>
      <c r="E37" s="16" t="n">
        <f aca="false">D37+E33</f>
        <v>-356.487255638822</v>
      </c>
      <c r="F37" s="16" t="n">
        <f aca="false">E37+F33</f>
        <v>1874.91022835463</v>
      </c>
      <c r="G37" s="16" t="n">
        <f aca="false">F37+G33</f>
        <v>8314.97025182393</v>
      </c>
      <c r="H37" s="16" t="n">
        <f aca="false">G37+H33</f>
        <v>15082.3527129596</v>
      </c>
      <c r="I37" s="16" t="n">
        <f aca="false">H37+I33</f>
        <v>22191.9881885875</v>
      </c>
      <c r="J37" s="16" t="n">
        <f aca="false">I37+J33</f>
        <v>29651.9636343761</v>
      </c>
      <c r="K37" s="16" t="n">
        <f aca="false">J37+K33</f>
        <v>37466.3177642563</v>
      </c>
      <c r="L37" s="16" t="n">
        <f aca="false">K37+L33</f>
        <v>45633.5698430393</v>
      </c>
    </row>
    <row r="38" customFormat="false" ht="15" hidden="false" customHeight="true" outlineLevel="0" collapsed="false">
      <c r="A38" s="12" t="s">
        <v>1260</v>
      </c>
      <c r="B38" s="4" t="s">
        <v>44</v>
      </c>
      <c r="L38" s="16" t="n">
        <f aca="false">C60</f>
        <v>52552.0064862608</v>
      </c>
      <c r="M38" s="4" t="s">
        <v>1261</v>
      </c>
    </row>
    <row r="39" customFormat="false" ht="15" hidden="false" customHeight="true" outlineLevel="0" collapsed="false">
      <c r="A39" s="12" t="s">
        <v>1262</v>
      </c>
      <c r="B39" s="4" t="s">
        <v>44</v>
      </c>
      <c r="L39" s="16" t="n">
        <f aca="false">L38*L35</f>
        <v>16920.3396177166</v>
      </c>
    </row>
    <row r="40" customFormat="false" ht="15" hidden="false" customHeight="true" outlineLevel="0" collapsed="false">
      <c r="A40" s="12" t="s">
        <v>1263</v>
      </c>
      <c r="B40" s="4" t="s">
        <v>44</v>
      </c>
      <c r="C40" s="16" t="n">
        <f aca="false">C33</f>
        <v>-223.806112804589</v>
      </c>
      <c r="D40" s="16" t="n">
        <f aca="false">D33</f>
        <v>-394.90198310158</v>
      </c>
      <c r="E40" s="16" t="n">
        <f aca="false">E33</f>
        <v>262.220840267347</v>
      </c>
      <c r="F40" s="16" t="n">
        <f aca="false">F33</f>
        <v>2231.39748399346</v>
      </c>
      <c r="G40" s="16" t="n">
        <f aca="false">G33</f>
        <v>6440.06002346929</v>
      </c>
      <c r="H40" s="16" t="n">
        <f aca="false">H33</f>
        <v>6767.38246113564</v>
      </c>
      <c r="I40" s="16" t="n">
        <f aca="false">I33</f>
        <v>7109.63547562792</v>
      </c>
      <c r="J40" s="16" t="n">
        <f aca="false">J33</f>
        <v>7459.97544578865</v>
      </c>
      <c r="K40" s="16" t="n">
        <f aca="false">K33</f>
        <v>7814.35412988018</v>
      </c>
      <c r="L40" s="16" t="n">
        <f aca="false">L33+L38</f>
        <v>60719.2585650437</v>
      </c>
    </row>
    <row r="41" customFormat="false" ht="15" hidden="false" customHeight="true" outlineLevel="0" collapsed="false">
      <c r="A41" s="12" t="s">
        <v>1264</v>
      </c>
      <c r="B41" s="4" t="s">
        <v>29</v>
      </c>
      <c r="C41" s="78" t="n">
        <f aca="false">IF(C37&gt;0,C19,99)</f>
        <v>99</v>
      </c>
      <c r="D41" s="78" t="n">
        <f aca="false">IF(D37&gt;0,D19,99)</f>
        <v>99</v>
      </c>
      <c r="E41" s="78" t="n">
        <f aca="false">IF(E37&gt;0,E19,99)</f>
        <v>99</v>
      </c>
      <c r="F41" s="78" t="n">
        <f aca="false">IF(F37&gt;0,F19,99)</f>
        <v>4</v>
      </c>
      <c r="G41" s="78" t="n">
        <f aca="false">IF(G37&gt;0,G19,99)</f>
        <v>5</v>
      </c>
      <c r="H41" s="78" t="n">
        <f aca="false">IF(H37&gt;0,H19,99)</f>
        <v>6</v>
      </c>
      <c r="I41" s="78" t="n">
        <f aca="false">IF(I37&gt;0,I19,99)</f>
        <v>7</v>
      </c>
      <c r="J41" s="78" t="n">
        <f aca="false">IF(J37&gt;0,J19,99)</f>
        <v>8</v>
      </c>
      <c r="K41" s="78" t="n">
        <f aca="false">IF(K37&gt;0,K19,99)</f>
        <v>9</v>
      </c>
      <c r="L41" s="78" t="n">
        <f aca="false">IF(L37&gt;0,L19,99)</f>
        <v>10</v>
      </c>
    </row>
    <row r="43" customFormat="false" ht="15" hidden="false" customHeight="true" outlineLevel="0" collapsed="false">
      <c r="A43" s="10" t="s">
        <v>1265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</row>
    <row r="44" customFormat="false" ht="15" hidden="false" customHeight="true" outlineLevel="0" collapsed="false">
      <c r="A44" s="15" t="s">
        <v>614</v>
      </c>
      <c r="B44" s="15" t="s">
        <v>42</v>
      </c>
      <c r="C44" s="15" t="s">
        <v>393</v>
      </c>
      <c r="D44" s="15" t="s">
        <v>77</v>
      </c>
      <c r="E44" s="15" t="s">
        <v>78</v>
      </c>
      <c r="F44" s="12"/>
      <c r="G44" s="12"/>
      <c r="H44" s="12"/>
      <c r="I44" s="12"/>
      <c r="J44" s="12"/>
      <c r="K44" s="12"/>
      <c r="L44" s="12"/>
      <c r="M44" s="12"/>
    </row>
    <row r="45" customFormat="false" ht="15" hidden="false" customHeight="true" outlineLevel="0" collapsed="false">
      <c r="A45" s="12" t="s">
        <v>1266</v>
      </c>
      <c r="B45" s="4" t="s">
        <v>46</v>
      </c>
      <c r="C45" s="34" t="n">
        <v>0.072</v>
      </c>
      <c r="D45" s="4" t="s">
        <v>87</v>
      </c>
      <c r="E45" s="4" t="s">
        <v>1267</v>
      </c>
      <c r="F45" s="12"/>
      <c r="G45" s="12"/>
      <c r="H45" s="12"/>
      <c r="I45" s="12"/>
      <c r="J45" s="12"/>
      <c r="K45" s="12"/>
      <c r="L45" s="12"/>
      <c r="M45" s="12"/>
    </row>
    <row r="46" customFormat="false" ht="15" hidden="false" customHeight="true" outlineLevel="0" collapsed="false">
      <c r="A46" s="12" t="s">
        <v>1268</v>
      </c>
      <c r="B46" s="4" t="s">
        <v>46</v>
      </c>
      <c r="C46" s="34" t="n">
        <v>0.04</v>
      </c>
      <c r="D46" s="4" t="s">
        <v>87</v>
      </c>
      <c r="E46" s="4" t="s">
        <v>1269</v>
      </c>
      <c r="F46" s="12"/>
      <c r="G46" s="12"/>
      <c r="H46" s="12"/>
      <c r="I46" s="12"/>
      <c r="J46" s="12"/>
      <c r="K46" s="12"/>
      <c r="L46" s="12"/>
      <c r="M46" s="12"/>
    </row>
    <row r="47" customFormat="false" ht="15" hidden="false" customHeight="true" outlineLevel="0" collapsed="false">
      <c r="A47" s="12" t="s">
        <v>1270</v>
      </c>
      <c r="B47" s="4" t="s">
        <v>46</v>
      </c>
      <c r="C47" s="37" t="n">
        <f aca="false">C7</f>
        <v>0.05</v>
      </c>
      <c r="D47" s="4" t="s">
        <v>348</v>
      </c>
      <c r="E47" s="4" t="s">
        <v>1271</v>
      </c>
      <c r="F47" s="12"/>
      <c r="G47" s="12"/>
      <c r="H47" s="12"/>
      <c r="I47" s="12"/>
      <c r="J47" s="12"/>
      <c r="K47" s="12"/>
      <c r="L47" s="12"/>
      <c r="M47" s="12"/>
    </row>
    <row r="48" customFormat="false" ht="15" hidden="false" customHeight="true" outlineLevel="0" collapsed="false">
      <c r="A48" s="12" t="s">
        <v>1272</v>
      </c>
      <c r="B48" s="4" t="s">
        <v>46</v>
      </c>
      <c r="C48" s="17" t="n">
        <f aca="false">(1+C47)/(1+C46)-1</f>
        <v>0.00961538461538458</v>
      </c>
      <c r="D48" s="4" t="s">
        <v>183</v>
      </c>
      <c r="E48" s="4" t="s">
        <v>1273</v>
      </c>
      <c r="F48" s="12"/>
      <c r="G48" s="12"/>
      <c r="H48" s="12"/>
      <c r="I48" s="12"/>
      <c r="J48" s="12"/>
      <c r="K48" s="12"/>
      <c r="L48" s="12"/>
      <c r="M48" s="12"/>
    </row>
    <row r="49" customFormat="false" ht="15" hidden="false" customHeight="true" outlineLevel="0" collapsed="false">
      <c r="A49" s="12" t="s">
        <v>1274</v>
      </c>
      <c r="B49" s="4" t="s">
        <v>46</v>
      </c>
      <c r="C49" s="34" t="n">
        <v>0.2</v>
      </c>
      <c r="D49" s="4" t="s">
        <v>83</v>
      </c>
      <c r="E49" s="4" t="s">
        <v>1275</v>
      </c>
      <c r="F49" s="12"/>
      <c r="G49" s="12"/>
      <c r="H49" s="12"/>
      <c r="I49" s="12"/>
      <c r="J49" s="12"/>
      <c r="K49" s="12"/>
      <c r="L49" s="12"/>
      <c r="M49" s="12"/>
    </row>
    <row r="50" customFormat="false" ht="15" hidden="false" customHeight="true" outlineLevel="0" collapsed="false">
      <c r="A50" s="12" t="s">
        <v>1276</v>
      </c>
      <c r="B50" s="4" t="s">
        <v>1277</v>
      </c>
      <c r="C50" s="17" t="n">
        <f aca="false">C47/C49</f>
        <v>0.25</v>
      </c>
      <c r="D50" s="4" t="s">
        <v>183</v>
      </c>
      <c r="E50" s="4" t="s">
        <v>1278</v>
      </c>
      <c r="F50" s="12"/>
      <c r="G50" s="12"/>
      <c r="H50" s="12"/>
      <c r="I50" s="12"/>
      <c r="J50" s="12"/>
      <c r="K50" s="12"/>
      <c r="L50" s="12"/>
      <c r="M50" s="12"/>
    </row>
    <row r="51" customFormat="false" ht="15" hidden="false" customHeight="true" outlineLevel="0" collapsed="false">
      <c r="A51" s="12" t="s">
        <v>1279</v>
      </c>
      <c r="B51" s="4" t="s">
        <v>1226</v>
      </c>
      <c r="C51" s="17" t="n">
        <f aca="false">L22-C47</f>
        <v>0.07</v>
      </c>
      <c r="D51" s="4" t="s">
        <v>183</v>
      </c>
      <c r="E51" s="4" t="s">
        <v>1280</v>
      </c>
      <c r="F51" s="12"/>
      <c r="G51" s="12"/>
      <c r="H51" s="12"/>
      <c r="I51" s="12"/>
      <c r="J51" s="12"/>
      <c r="K51" s="12"/>
      <c r="L51" s="12"/>
      <c r="M51" s="12"/>
    </row>
    <row r="52" customFormat="false" ht="15" hidden="false" customHeight="true" outlineLevel="0" collapsed="false">
      <c r="A52" s="12" t="s">
        <v>1281</v>
      </c>
      <c r="B52" s="4" t="s">
        <v>44</v>
      </c>
      <c r="C52" s="16" t="n">
        <f aca="false">L21*(1+C47)</f>
        <v>27310.3637632612</v>
      </c>
      <c r="D52" s="4" t="s">
        <v>183</v>
      </c>
      <c r="E52" s="4"/>
      <c r="F52" s="12"/>
      <c r="G52" s="12"/>
      <c r="H52" s="12"/>
      <c r="I52" s="12"/>
      <c r="J52" s="12"/>
      <c r="K52" s="12"/>
      <c r="L52" s="12"/>
      <c r="M52" s="12"/>
    </row>
    <row r="53" customFormat="false" ht="15" hidden="false" customHeight="true" outlineLevel="0" collapsed="false">
      <c r="A53" s="12" t="s">
        <v>1282</v>
      </c>
      <c r="B53" s="4" t="s">
        <v>46</v>
      </c>
      <c r="C53" s="17" t="n">
        <f aca="false">L24</f>
        <v>0.432131574135067</v>
      </c>
      <c r="D53" s="4" t="s">
        <v>183</v>
      </c>
      <c r="E53" s="4"/>
      <c r="F53" s="12"/>
      <c r="G53" s="12"/>
      <c r="H53" s="12"/>
      <c r="I53" s="12"/>
      <c r="J53" s="12"/>
      <c r="K53" s="12"/>
      <c r="L53" s="12"/>
      <c r="M53" s="12"/>
    </row>
    <row r="54" customFormat="false" ht="15" hidden="false" customHeight="true" outlineLevel="0" collapsed="false">
      <c r="A54" s="12" t="s">
        <v>1283</v>
      </c>
      <c r="B54" s="4" t="s">
        <v>46</v>
      </c>
      <c r="C54" s="17" t="n">
        <f aca="false">MIN(C10,C53)</f>
        <v>0.25</v>
      </c>
      <c r="D54" s="4" t="s">
        <v>183</v>
      </c>
      <c r="E54" s="4" t="s">
        <v>1284</v>
      </c>
      <c r="F54" s="12"/>
      <c r="G54" s="12"/>
      <c r="H54" s="12"/>
      <c r="I54" s="12"/>
      <c r="J54" s="12"/>
      <c r="K54" s="12"/>
      <c r="L54" s="12"/>
      <c r="M54" s="12"/>
    </row>
    <row r="55" customFormat="false" ht="15" hidden="false" customHeight="true" outlineLevel="0" collapsed="false">
      <c r="A55" s="12" t="s">
        <v>1285</v>
      </c>
      <c r="B55" s="4" t="s">
        <v>1229</v>
      </c>
      <c r="C55" s="37" t="n">
        <f aca="false">C12</f>
        <v>0.01</v>
      </c>
      <c r="D55" s="4" t="s">
        <v>348</v>
      </c>
      <c r="E55" s="4"/>
      <c r="F55" s="12"/>
      <c r="G55" s="12"/>
      <c r="H55" s="12"/>
      <c r="I55" s="12"/>
      <c r="J55" s="12"/>
      <c r="K55" s="12"/>
      <c r="L55" s="12"/>
      <c r="M55" s="12"/>
    </row>
    <row r="56" customFormat="false" ht="15" hidden="false" customHeight="true" outlineLevel="0" collapsed="false">
      <c r="A56" s="12" t="s">
        <v>1286</v>
      </c>
      <c r="B56" s="4" t="s">
        <v>44</v>
      </c>
      <c r="C56" s="16" t="n">
        <f aca="false">C52*(C54-C55)</f>
        <v>6554.48730318269</v>
      </c>
      <c r="D56" s="4" t="s">
        <v>183</v>
      </c>
      <c r="E56" s="4"/>
      <c r="F56" s="12"/>
      <c r="G56" s="12"/>
      <c r="H56" s="12"/>
      <c r="I56" s="12"/>
      <c r="J56" s="12"/>
      <c r="K56" s="12"/>
      <c r="L56" s="12"/>
      <c r="M56" s="12"/>
    </row>
    <row r="57" customFormat="false" ht="15" hidden="false" customHeight="true" outlineLevel="0" collapsed="false">
      <c r="A57" s="12" t="s">
        <v>1287</v>
      </c>
      <c r="B57" s="4" t="s">
        <v>44</v>
      </c>
      <c r="C57" s="16" t="n">
        <f aca="false">MAX(0,C56)*(1-C13)</f>
        <v>4904.85393871767</v>
      </c>
      <c r="D57" s="4" t="s">
        <v>183</v>
      </c>
      <c r="E57" s="4" t="s">
        <v>1288</v>
      </c>
      <c r="F57" s="12"/>
      <c r="G57" s="12"/>
      <c r="H57" s="12"/>
      <c r="I57" s="12"/>
      <c r="J57" s="12"/>
      <c r="K57" s="12"/>
      <c r="L57" s="12"/>
      <c r="M57" s="12"/>
    </row>
    <row r="58" customFormat="false" ht="15" hidden="false" customHeight="true" outlineLevel="0" collapsed="false">
      <c r="A58" s="12" t="s">
        <v>1289</v>
      </c>
      <c r="B58" s="4" t="s">
        <v>44</v>
      </c>
      <c r="C58" s="16" t="n">
        <f aca="false">-C57*C50</f>
        <v>-1226.21348467942</v>
      </c>
      <c r="D58" s="4" t="s">
        <v>183</v>
      </c>
      <c r="E58" s="4"/>
      <c r="F58" s="12"/>
      <c r="G58" s="12"/>
      <c r="H58" s="12"/>
      <c r="I58" s="12"/>
      <c r="J58" s="12"/>
      <c r="K58" s="12"/>
      <c r="L58" s="12"/>
      <c r="M58" s="12"/>
    </row>
    <row r="59" customFormat="false" ht="15" hidden="false" customHeight="true" outlineLevel="0" collapsed="false">
      <c r="A59" s="5" t="s">
        <v>1290</v>
      </c>
      <c r="B59" s="4" t="s">
        <v>44</v>
      </c>
      <c r="C59" s="61" t="n">
        <f aca="false">C57+C58</f>
        <v>3678.64045403825</v>
      </c>
      <c r="D59" s="4" t="s">
        <v>183</v>
      </c>
      <c r="E59" s="4"/>
      <c r="F59" s="12"/>
      <c r="G59" s="12"/>
      <c r="H59" s="12"/>
      <c r="I59" s="12"/>
      <c r="J59" s="12"/>
      <c r="K59" s="12"/>
      <c r="L59" s="12"/>
      <c r="M59" s="12"/>
    </row>
    <row r="60" customFormat="false" ht="15" hidden="false" customHeight="true" outlineLevel="0" collapsed="false">
      <c r="A60" s="5" t="s">
        <v>1291</v>
      </c>
      <c r="B60" s="4" t="s">
        <v>44</v>
      </c>
      <c r="C60" s="43" t="n">
        <f aca="false">IF(C59&gt;0,C59/(C6-C47),0)</f>
        <v>52552.0064862608</v>
      </c>
      <c r="D60" s="4" t="s">
        <v>183</v>
      </c>
      <c r="E60" s="4" t="s">
        <v>1292</v>
      </c>
      <c r="F60" s="12"/>
      <c r="G60" s="12"/>
      <c r="H60" s="12"/>
      <c r="I60" s="12"/>
      <c r="J60" s="12"/>
      <c r="K60" s="12"/>
      <c r="L60" s="12"/>
      <c r="M60" s="12"/>
    </row>
    <row r="61" customFormat="false" ht="15" hidden="false" customHeight="true" outlineLevel="0" collapsed="false">
      <c r="A61" s="12" t="s">
        <v>1262</v>
      </c>
      <c r="B61" s="4" t="s">
        <v>44</v>
      </c>
      <c r="C61" s="16" t="n">
        <f aca="false">C60*L35</f>
        <v>16920.3396177166</v>
      </c>
      <c r="D61" s="4" t="s">
        <v>183</v>
      </c>
      <c r="E61" s="4"/>
      <c r="F61" s="12"/>
      <c r="G61" s="12"/>
      <c r="H61" s="12"/>
      <c r="I61" s="12"/>
      <c r="J61" s="12"/>
      <c r="K61" s="12"/>
      <c r="L61" s="12"/>
      <c r="M61" s="12"/>
    </row>
    <row r="62" customFormat="false" ht="15" hidden="false" customHeight="true" outlineLevel="0" collapsed="false">
      <c r="A62" s="12" t="s">
        <v>1293</v>
      </c>
      <c r="B62" s="4" t="s">
        <v>1277</v>
      </c>
      <c r="C62" s="17" t="n">
        <f aca="false">IFERROR((-(L27-L25)-L32)/(MAX(0,L26)*(1-C13)),0)</f>
        <v>0.00596292088034923</v>
      </c>
      <c r="D62" s="4" t="s">
        <v>183</v>
      </c>
      <c r="E62" s="4" t="s">
        <v>1294</v>
      </c>
      <c r="F62" s="12"/>
      <c r="G62" s="12"/>
      <c r="H62" s="12"/>
      <c r="I62" s="12"/>
      <c r="J62" s="12"/>
      <c r="K62" s="12"/>
      <c r="L62" s="12"/>
      <c r="M62" s="12"/>
    </row>
    <row r="63" customFormat="false" ht="15" hidden="false" customHeight="true" outlineLevel="0" collapsed="false">
      <c r="A63" s="12" t="s">
        <v>1295</v>
      </c>
      <c r="B63" s="4" t="s">
        <v>44</v>
      </c>
      <c r="C63" s="16" t="n">
        <f aca="false">IF(L33&gt;0,L33*(1+C47)/(C6-C47),0)</f>
        <v>122508.781181745</v>
      </c>
      <c r="D63" s="4" t="s">
        <v>183</v>
      </c>
      <c r="E63" s="4" t="s">
        <v>1296</v>
      </c>
      <c r="F63" s="12"/>
      <c r="G63" s="12"/>
      <c r="H63" s="12"/>
      <c r="I63" s="12"/>
      <c r="J63" s="12"/>
      <c r="K63" s="12"/>
      <c r="L63" s="12"/>
      <c r="M63" s="12"/>
    </row>
    <row r="64" customFormat="false" ht="15" hidden="false" customHeight="true" outlineLevel="0" collapsed="false">
      <c r="A64" s="12" t="s">
        <v>1297</v>
      </c>
      <c r="B64" s="4" t="s">
        <v>44</v>
      </c>
      <c r="C64" s="16" t="n">
        <f aca="false">C63*L35</f>
        <v>39444.5487878677</v>
      </c>
      <c r="D64" s="4" t="s">
        <v>183</v>
      </c>
      <c r="E64" s="4"/>
      <c r="F64" s="12"/>
      <c r="G64" s="12"/>
      <c r="H64" s="12"/>
      <c r="I64" s="12"/>
      <c r="J64" s="12"/>
      <c r="K64" s="12"/>
      <c r="L64" s="12"/>
      <c r="M64" s="12"/>
    </row>
    <row r="65" customFormat="false" ht="15" hidden="false" customHeight="true" outlineLevel="0" collapsed="false">
      <c r="A65" s="12" t="s">
        <v>1298</v>
      </c>
      <c r="B65" s="4" t="s">
        <v>37</v>
      </c>
      <c r="C65" s="19" t="n">
        <f aca="false">IFERROR(C60/(C52*C54),0)</f>
        <v>7.69700571428572</v>
      </c>
      <c r="D65" s="4" t="s">
        <v>183</v>
      </c>
      <c r="E65" s="4" t="s">
        <v>1299</v>
      </c>
      <c r="F65" s="12"/>
      <c r="G65" s="12"/>
      <c r="H65" s="12"/>
      <c r="I65" s="12"/>
      <c r="J65" s="12"/>
      <c r="K65" s="12"/>
      <c r="L65" s="12"/>
      <c r="M65" s="12"/>
    </row>
    <row r="66" customFormat="false" ht="15" hidden="false" customHeight="true" outlineLevel="0" collapsed="false">
      <c r="A66" s="12" t="s">
        <v>1300</v>
      </c>
      <c r="B66" s="4" t="s">
        <v>37</v>
      </c>
      <c r="C66" s="19" t="n">
        <f aca="false">IFERROR(C60/L21,0)</f>
        <v>2.020464</v>
      </c>
      <c r="D66" s="4" t="s">
        <v>183</v>
      </c>
      <c r="E66" s="4"/>
      <c r="F66" s="12"/>
      <c r="G66" s="12"/>
      <c r="H66" s="12"/>
      <c r="I66" s="12"/>
      <c r="J66" s="12"/>
      <c r="K66" s="12"/>
      <c r="L66" s="12"/>
      <c r="M66" s="12"/>
    </row>
    <row r="67" customFormat="false" ht="15" hidden="false" customHeight="true" outlineLevel="0" collapsed="false">
      <c r="A67" s="12" t="s">
        <v>1301</v>
      </c>
      <c r="B67" s="4"/>
      <c r="C67" s="79" t="b">
        <f aca="false">AND(C47&lt;C6,C47&lt;=C45,C49&gt;=C6)</f>
        <v>1</v>
      </c>
      <c r="D67" s="4" t="s">
        <v>1080</v>
      </c>
      <c r="E67" s="4"/>
      <c r="F67" s="12"/>
      <c r="G67" s="12"/>
      <c r="H67" s="12"/>
      <c r="I67" s="12"/>
      <c r="J67" s="12"/>
      <c r="K67" s="12"/>
      <c r="L67" s="12"/>
      <c r="M67" s="12"/>
    </row>
    <row r="68" customFormat="false" ht="1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customFormat="false" ht="15" hidden="false" customHeight="true" outlineLevel="0" collapsed="false">
      <c r="A69" s="10" t="s">
        <v>1302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</row>
    <row r="70" customFormat="false" ht="15" hidden="false" customHeight="true" outlineLevel="0" collapsed="false">
      <c r="A70" s="15" t="s">
        <v>412</v>
      </c>
      <c r="B70" s="15" t="s">
        <v>42</v>
      </c>
      <c r="C70" s="15" t="s">
        <v>393</v>
      </c>
      <c r="D70" s="15" t="s">
        <v>1303</v>
      </c>
      <c r="E70" s="15" t="s">
        <v>1002</v>
      </c>
      <c r="F70" s="12"/>
      <c r="G70" s="12"/>
      <c r="H70" s="12"/>
      <c r="I70" s="12"/>
      <c r="J70" s="12"/>
      <c r="K70" s="12"/>
      <c r="L70" s="12"/>
      <c r="M70" s="12"/>
    </row>
    <row r="71" customFormat="false" ht="15" hidden="false" customHeight="true" outlineLevel="0" collapsed="false">
      <c r="A71" s="12" t="s">
        <v>1304</v>
      </c>
      <c r="B71" s="4" t="s">
        <v>44</v>
      </c>
      <c r="C71" s="16" t="n">
        <f aca="false">SUM(C36:G36)</f>
        <v>4744.35973601445</v>
      </c>
      <c r="D71" s="17" t="n">
        <f aca="false">IFERROR(C71/$C$74,0)</f>
        <v>0.129028587525467</v>
      </c>
      <c r="E71" s="4" t="s">
        <v>1305</v>
      </c>
      <c r="F71" s="12"/>
      <c r="G71" s="12"/>
      <c r="H71" s="12"/>
      <c r="I71" s="12"/>
      <c r="J71" s="12"/>
      <c r="K71" s="12"/>
      <c r="L71" s="12"/>
      <c r="M71" s="12"/>
    </row>
    <row r="72" customFormat="false" ht="15" hidden="false" customHeight="true" outlineLevel="0" collapsed="false">
      <c r="A72" s="12" t="s">
        <v>1306</v>
      </c>
      <c r="B72" s="4" t="s">
        <v>44</v>
      </c>
      <c r="C72" s="16" t="n">
        <f aca="false">SUM(H36:L36)</f>
        <v>15105.1345799933</v>
      </c>
      <c r="D72" s="17" t="n">
        <f aca="false">IFERROR(C72/$C$74,0)</f>
        <v>0.410802360631258</v>
      </c>
      <c r="E72" s="4"/>
      <c r="F72" s="12"/>
      <c r="G72" s="12"/>
      <c r="H72" s="12"/>
      <c r="I72" s="12"/>
      <c r="J72" s="12"/>
      <c r="K72" s="12"/>
      <c r="L72" s="12"/>
      <c r="M72" s="12"/>
    </row>
    <row r="73" customFormat="false" ht="15" hidden="false" customHeight="true" outlineLevel="0" collapsed="false">
      <c r="A73" s="12" t="s">
        <v>1262</v>
      </c>
      <c r="B73" s="4" t="s">
        <v>44</v>
      </c>
      <c r="C73" s="16" t="n">
        <f aca="false">C61</f>
        <v>16920.3396177166</v>
      </c>
      <c r="D73" s="17" t="n">
        <f aca="false">IFERROR(C73/$C$74,0)</f>
        <v>0.460169051843275</v>
      </c>
      <c r="E73" s="4" t="s">
        <v>1307</v>
      </c>
      <c r="F73" s="12"/>
      <c r="G73" s="12"/>
      <c r="H73" s="12"/>
      <c r="I73" s="12"/>
      <c r="J73" s="12"/>
      <c r="K73" s="12"/>
      <c r="L73" s="12"/>
      <c r="M73" s="12"/>
    </row>
    <row r="74" customFormat="false" ht="15" hidden="false" customHeight="true" outlineLevel="0" collapsed="false">
      <c r="A74" s="5" t="s">
        <v>1308</v>
      </c>
      <c r="B74" s="4" t="s">
        <v>44</v>
      </c>
      <c r="C74" s="61" t="n">
        <f aca="false">SUM(C71:C73)</f>
        <v>36769.8339337244</v>
      </c>
      <c r="D74" s="17" t="n">
        <f aca="false">IFERROR(C74/$C$74,0)</f>
        <v>1</v>
      </c>
      <c r="E74" s="4"/>
      <c r="F74" s="12"/>
      <c r="G74" s="12"/>
      <c r="H74" s="12"/>
      <c r="I74" s="12"/>
      <c r="J74" s="12"/>
      <c r="K74" s="12"/>
      <c r="L74" s="12"/>
      <c r="M74" s="12"/>
    </row>
    <row r="75" customFormat="false" ht="15" hidden="false" customHeight="true" outlineLevel="0" collapsed="false">
      <c r="A75" s="5" t="s">
        <v>1309</v>
      </c>
      <c r="B75" s="4" t="s">
        <v>27</v>
      </c>
      <c r="C75" s="69" t="n">
        <f aca="false">C74/100</f>
        <v>367.698339337244</v>
      </c>
      <c r="D75" s="12"/>
      <c r="E75" s="4" t="s">
        <v>1310</v>
      </c>
      <c r="F75" s="12"/>
      <c r="G75" s="12"/>
      <c r="H75" s="12"/>
      <c r="I75" s="12"/>
      <c r="J75" s="12"/>
      <c r="K75" s="12"/>
      <c r="L75" s="12"/>
      <c r="M75" s="12"/>
    </row>
    <row r="76" customFormat="false" ht="15" hidden="false" customHeight="true" outlineLevel="0" collapsed="false">
      <c r="A76" s="12" t="s">
        <v>1311</v>
      </c>
      <c r="B76" s="4"/>
      <c r="C76" s="12" t="str">
        <f aca="false">IF(C75&gt;=C15,"YES","NO")</f>
        <v>YES</v>
      </c>
      <c r="D76" s="12"/>
      <c r="E76" s="4"/>
      <c r="F76" s="12"/>
      <c r="G76" s="12"/>
      <c r="H76" s="12"/>
      <c r="I76" s="12"/>
      <c r="J76" s="12"/>
      <c r="K76" s="12"/>
      <c r="L76" s="12"/>
      <c r="M76" s="12"/>
    </row>
    <row r="77" customFormat="false" ht="15" hidden="false" customHeight="true" outlineLevel="0" collapsed="false">
      <c r="A77" s="12" t="s">
        <v>1312</v>
      </c>
      <c r="B77" s="4" t="s">
        <v>46</v>
      </c>
      <c r="C77" s="17" t="n">
        <f aca="false">IFERROR(IRR(C40:L40),"n.m.")</f>
        <v>1.66606581635014</v>
      </c>
      <c r="D77" s="12"/>
      <c r="E77" s="4"/>
      <c r="F77" s="12"/>
      <c r="G77" s="12"/>
      <c r="H77" s="12"/>
      <c r="I77" s="12"/>
      <c r="J77" s="12"/>
      <c r="K77" s="12"/>
      <c r="L77" s="12"/>
      <c r="M77" s="12"/>
    </row>
    <row r="78" customFormat="false" ht="15" hidden="false" customHeight="true" outlineLevel="0" collapsed="false">
      <c r="A78" s="12" t="s">
        <v>1313</v>
      </c>
      <c r="B78" s="4"/>
      <c r="C78" s="12" t="str">
        <f aca="false">IF(MIN(C41:L41)=99,"Beyond FY36",INDEX(C18:L18,1,MIN(C41:L41)))</f>
        <v>FY30</v>
      </c>
      <c r="D78" s="12"/>
      <c r="E78" s="4"/>
      <c r="F78" s="12"/>
      <c r="G78" s="12"/>
      <c r="H78" s="12"/>
      <c r="I78" s="12"/>
      <c r="J78" s="12"/>
      <c r="K78" s="12"/>
      <c r="L78" s="12"/>
      <c r="M78" s="12"/>
    </row>
    <row r="79" customFormat="false" ht="15" hidden="false" customHeight="true" outlineLevel="0" collapsed="false">
      <c r="A79" s="12" t="s">
        <v>1314</v>
      </c>
      <c r="B79" s="4" t="s">
        <v>44</v>
      </c>
      <c r="C79" s="16" t="n">
        <f aca="false">(C72+C73)*(1+C6)^5</f>
        <v>56439.8281028703</v>
      </c>
      <c r="D79" s="12"/>
      <c r="E79" s="4" t="s">
        <v>1315</v>
      </c>
      <c r="F79" s="12"/>
      <c r="G79" s="12"/>
      <c r="H79" s="12"/>
      <c r="I79" s="12"/>
      <c r="J79" s="12"/>
      <c r="K79" s="12"/>
      <c r="L79" s="12"/>
      <c r="M79" s="12"/>
    </row>
    <row r="80" customFormat="false" ht="15" hidden="false" customHeight="true" outlineLevel="0" collapsed="false">
      <c r="A80" s="12" t="s">
        <v>1316</v>
      </c>
      <c r="B80" s="4" t="s">
        <v>37</v>
      </c>
      <c r="C80" s="19" t="n">
        <f aca="false">IFERROR(C79/4_Revenue_Build!G30,0)</f>
        <v>3.584442000203</v>
      </c>
      <c r="D80" s="12"/>
      <c r="E80" s="4" t="s">
        <v>1317</v>
      </c>
      <c r="F80" s="12"/>
      <c r="G80" s="12"/>
      <c r="H80" s="12"/>
      <c r="I80" s="12"/>
      <c r="J80" s="12"/>
      <c r="K80" s="12"/>
      <c r="L80" s="12"/>
      <c r="M80" s="12"/>
    </row>
    <row r="81" customFormat="false" ht="15" hidden="false" customHeight="true" outlineLevel="0" collapsed="false">
      <c r="A81" s="12" t="s">
        <v>1318</v>
      </c>
      <c r="B81" s="4" t="s">
        <v>37</v>
      </c>
      <c r="C81" s="19" t="n">
        <f aca="false">IFERROR(L38/L23,0)</f>
        <v>4.67557596096527</v>
      </c>
      <c r="D81" s="12"/>
      <c r="E81" s="4" t="s">
        <v>1319</v>
      </c>
      <c r="F81" s="12"/>
      <c r="G81" s="12"/>
      <c r="H81" s="12"/>
      <c r="I81" s="12"/>
      <c r="J81" s="12"/>
      <c r="K81" s="12"/>
      <c r="L81" s="12"/>
      <c r="M81" s="12"/>
    </row>
    <row r="82" customFormat="false" ht="15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customFormat="false" ht="15" hidden="false" customHeight="true" outlineLevel="0" collapsed="false">
      <c r="A83" s="5" t="s">
        <v>1320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customFormat="false" ht="15" hidden="false" customHeight="true" outlineLevel="0" collapsed="false">
      <c r="A84" s="12" t="s">
        <v>1321</v>
      </c>
      <c r="B84" s="4" t="s">
        <v>27</v>
      </c>
      <c r="C84" s="18" t="n">
        <f aca="false">(C71+IF(G26&gt;0,G26*(1-C13)*(1+C7)*(1-C7/C49)/(C6-C7),0)*G35+C279)/100</f>
        <v>465.384209857741</v>
      </c>
      <c r="D84" s="12"/>
      <c r="E84" s="4" t="s">
        <v>1322</v>
      </c>
      <c r="F84" s="12"/>
      <c r="G84" s="12"/>
      <c r="H84" s="12"/>
      <c r="I84" s="12"/>
      <c r="J84" s="12"/>
      <c r="K84" s="12"/>
      <c r="L84" s="12"/>
      <c r="M84" s="12"/>
    </row>
    <row r="85" customFormat="false" ht="15" hidden="false" customHeight="true" outlineLevel="0" collapsed="false">
      <c r="A85" s="12" t="s">
        <v>1323</v>
      </c>
      <c r="B85" s="4" t="s">
        <v>27</v>
      </c>
      <c r="C85" s="18" t="n">
        <f aca="false">(C71+C72)/100</f>
        <v>198.494943160078</v>
      </c>
      <c r="D85" s="12"/>
      <c r="E85" s="4" t="s">
        <v>1324</v>
      </c>
      <c r="F85" s="12"/>
      <c r="G85" s="12"/>
      <c r="H85" s="12"/>
      <c r="I85" s="12"/>
      <c r="J85" s="12"/>
      <c r="K85" s="12"/>
      <c r="L85" s="12"/>
      <c r="M85" s="12"/>
    </row>
    <row r="86" customFormat="false" ht="15" hidden="false" customHeight="true" outlineLevel="0" collapsed="false">
      <c r="A86" s="12" t="s">
        <v>1325</v>
      </c>
      <c r="B86" s="4" t="s">
        <v>27</v>
      </c>
      <c r="C86" s="18" t="n">
        <f aca="false">(NPV(0.2,C33:L33)+IF($C$54&gt;$C$55,$L$21*(1+$C$7)*($C$54-$C$55)*(1-$C$13)*(1-$C$7/$C$49)/(0.2-$C$7),0)/(1.2)^10)/100</f>
        <v>161.350603970639</v>
      </c>
      <c r="D86" s="12"/>
      <c r="E86" s="4" t="s">
        <v>1326</v>
      </c>
      <c r="F86" s="12"/>
      <c r="G86" s="12"/>
      <c r="H86" s="12"/>
      <c r="I86" s="12"/>
      <c r="J86" s="12"/>
      <c r="K86" s="12"/>
      <c r="L86" s="12"/>
      <c r="M86" s="12"/>
    </row>
    <row r="87" customFormat="false" ht="15" hidden="false" customHeight="true" outlineLevel="0" collapsed="false">
      <c r="A87" s="12" t="s">
        <v>1327</v>
      </c>
      <c r="B87" s="4" t="s">
        <v>29</v>
      </c>
      <c r="C87" s="16" t="n">
        <f aca="false">IFERROR(L21*(7_Financials!G7/7_Financials!G11)/C89,0)</f>
        <v>388.302421038131</v>
      </c>
      <c r="D87" s="12"/>
      <c r="E87" s="4" t="s">
        <v>1328</v>
      </c>
      <c r="F87" s="12"/>
      <c r="G87" s="12"/>
      <c r="H87" s="12"/>
      <c r="I87" s="12"/>
      <c r="J87" s="12"/>
      <c r="K87" s="12"/>
      <c r="L87" s="12"/>
      <c r="M87" s="12"/>
    </row>
    <row r="88" customFormat="false" ht="15" hidden="false" customHeight="true" outlineLevel="0" collapsed="false">
      <c r="A88" s="12" t="s">
        <v>1329</v>
      </c>
      <c r="B88" s="4" t="s">
        <v>46</v>
      </c>
      <c r="C88" s="17" t="n">
        <f aca="false">IFERROR(C87/2_Market!C34,0)</f>
        <v>0.121168901645086</v>
      </c>
      <c r="D88" s="12"/>
      <c r="E88" s="4" t="s">
        <v>1330</v>
      </c>
      <c r="F88" s="12"/>
      <c r="G88" s="12"/>
      <c r="H88" s="12"/>
      <c r="I88" s="12"/>
      <c r="J88" s="12"/>
      <c r="K88" s="12"/>
      <c r="L88" s="12"/>
      <c r="M88" s="12"/>
    </row>
    <row r="89" customFormat="false" ht="15" hidden="false" customHeight="true" outlineLevel="0" collapsed="false">
      <c r="A89" s="12" t="s">
        <v>1331</v>
      </c>
      <c r="B89" s="4" t="s">
        <v>44</v>
      </c>
      <c r="C89" s="18" t="n">
        <f aca="false">4_Revenue_Build!G34*(1+Inputs!C48)^5</f>
        <v>50.2401143331115</v>
      </c>
      <c r="D89" s="12"/>
      <c r="E89" s="4" t="s">
        <v>1332</v>
      </c>
      <c r="F89" s="12"/>
      <c r="G89" s="12"/>
      <c r="H89" s="12"/>
      <c r="I89" s="12"/>
      <c r="J89" s="12"/>
      <c r="K89" s="12"/>
      <c r="L89" s="12"/>
      <c r="M89" s="12"/>
    </row>
    <row r="90" customFormat="false" ht="15" hidden="false" customHeight="true" outlineLevel="0" collapsed="false">
      <c r="A90" s="12" t="s">
        <v>1333</v>
      </c>
      <c r="B90" s="4"/>
      <c r="C90" s="5" t="b">
        <f aca="false" t="array" ref="C90:C90">AND(SUMPRODUCT(ABS(C34:G34))&lt;0.01,C67,C125,F198)</f>
        <v>1</v>
      </c>
      <c r="D90" s="12"/>
      <c r="E90" s="4" t="s">
        <v>1334</v>
      </c>
      <c r="F90" s="12"/>
      <c r="G90" s="12"/>
      <c r="H90" s="12"/>
      <c r="I90" s="12"/>
      <c r="J90" s="12"/>
      <c r="K90" s="12"/>
      <c r="L90" s="12"/>
      <c r="M90" s="12"/>
    </row>
    <row r="91" customFormat="false" ht="15" hidden="false" customHeight="tru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customFormat="false" ht="15" hidden="false" customHeight="true" outlineLevel="0" collapsed="false">
      <c r="A92" s="10" t="s">
        <v>1335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</row>
    <row r="93" customFormat="false" ht="15" hidden="false" customHeight="true" outlineLevel="0" collapsed="false">
      <c r="A93" s="5" t="s">
        <v>1336</v>
      </c>
      <c r="B93" s="5" t="s">
        <v>1337</v>
      </c>
      <c r="C93" s="34" t="n">
        <v>0.03</v>
      </c>
      <c r="D93" s="34" t="n">
        <v>0.04</v>
      </c>
      <c r="E93" s="34" t="n">
        <v>0.05</v>
      </c>
      <c r="F93" s="34" t="n">
        <v>0.06</v>
      </c>
      <c r="G93" s="12"/>
      <c r="H93" s="12"/>
      <c r="I93" s="12"/>
      <c r="J93" s="12"/>
      <c r="K93" s="12"/>
      <c r="L93" s="12"/>
      <c r="M93" s="12"/>
    </row>
    <row r="94" customFormat="false" ht="15" hidden="false" customHeight="true" outlineLevel="0" collapsed="false">
      <c r="A94" s="12" t="s">
        <v>1338</v>
      </c>
      <c r="B94" s="34" t="n">
        <v>0.1</v>
      </c>
      <c r="C94" s="16" t="n">
        <f aca="false">(NPV($B94,$C$33:$L$33)+IF($C$54&gt;$C$55,$L$21*(1+C$93)*($C$54-$C$55)*(1-$C$13)*(1-C$93/$C$49)/($B94-C$93),0)/(1+$B94)^10)/100</f>
        <v>451.265880654726</v>
      </c>
      <c r="D94" s="16" t="n">
        <f aca="false">(NPV($B94,$C$33:$L$33)+IF($C$54&gt;$C$55,$L$21*(1+D$93)*($C$54-$C$55)*(1-$C$13)*(1-D$93/$C$49)/($B94-D$93),0)/(1+$B94)^10)/100</f>
        <v>475.750691105822</v>
      </c>
      <c r="E94" s="16" t="n">
        <f aca="false">(NPV($B94,$C$33:$L$33)+IF($C$54&gt;$C$55,$L$21*(1+E$93)*($C$54-$C$55)*(1-$C$13)*(1-E$93/$C$49)/($B94-E$93),0)/(1+$B94)^10)/100</f>
        <v>509.669228876079</v>
      </c>
      <c r="F94" s="16" t="n">
        <f aca="false">(NPV($B94,$C$33:$L$33)+IF($C$54&gt;$C$55,$L$21*(1+F$93)*($C$54-$C$55)*(1-$C$13)*(1-F$93/$C$49)/($B94-F$93),0)/(1+$B94)^10)/100</f>
        <v>560.096789454868</v>
      </c>
      <c r="G94" s="12"/>
      <c r="H94" s="12"/>
      <c r="I94" s="12"/>
      <c r="J94" s="12"/>
      <c r="K94" s="12"/>
      <c r="L94" s="12"/>
      <c r="M94" s="12"/>
    </row>
    <row r="95" customFormat="false" ht="15" hidden="false" customHeight="true" outlineLevel="0" collapsed="false">
      <c r="A95" s="12" t="s">
        <v>1339</v>
      </c>
      <c r="B95" s="34" t="n">
        <v>0.12</v>
      </c>
      <c r="C95" s="16" t="n">
        <f aca="false">(NPV($B95,$C$33:$L$33)+IF($C$54&gt;$C$55,$L$21*(1+C$93)*($C$54-$C$55)*(1-$C$13)*(1-C$93/$C$49)/($B95-C$93),0)/(1+$B95)^10)/100</f>
        <v>344.803657582901</v>
      </c>
      <c r="D95" s="16" t="n">
        <f aca="false">(NPV($B95,$C$33:$L$33)+IF($C$54&gt;$C$55,$L$21*(1+D$93)*($C$54-$C$55)*(1-$C$13)*(1-D$93/$C$49)/($B95-D$93),0)/(1+$B95)^10)/100</f>
        <v>354.914082737191</v>
      </c>
      <c r="E95" s="38" t="n">
        <f aca="false">(NPV($B95,$C$33:$L$33)+IF($C$54&gt;$C$55,$L$21*(1+E$93)*($C$54-$C$55)*(1-$C$13)*(1-E$93/$C$49)/($B95-E$93),0)/(1+$B95)^10)/100</f>
        <v>367.698339337244</v>
      </c>
      <c r="F95" s="16" t="n">
        <f aca="false">(NPV($B95,$C$33:$L$33)+IF($C$54&gt;$C$55,$L$21*(1+F$93)*($C$54-$C$55)*(1-$C$13)*(1-F$93/$C$49)/($B95-F$93),0)/(1+$B95)^10)/100</f>
        <v>384.49334310594</v>
      </c>
      <c r="G95" s="12"/>
      <c r="H95" s="12"/>
      <c r="I95" s="12"/>
      <c r="J95" s="12"/>
      <c r="K95" s="12"/>
      <c r="L95" s="12"/>
      <c r="M95" s="12"/>
    </row>
    <row r="96" customFormat="false" ht="15" hidden="false" customHeight="true" outlineLevel="0" collapsed="false">
      <c r="A96" s="12" t="s">
        <v>1338</v>
      </c>
      <c r="B96" s="34" t="n">
        <v>0.14</v>
      </c>
      <c r="C96" s="16" t="n">
        <f aca="false">(NPV($B96,$C$33:$L$33)+IF($C$54&gt;$C$55,$L$21*(1+C$93)*($C$54-$C$55)*(1-$C$13)*(1-C$93/$C$49)/($B96-C$93),0)/(1+$B96)^10)/100</f>
        <v>275.172094676192</v>
      </c>
      <c r="D96" s="16" t="n">
        <f aca="false">(NPV($B96,$C$33:$L$33)+IF($C$54&gt;$C$55,$L$21*(1+D$93)*($C$54-$C$55)*(1-$C$13)*(1-D$93/$C$49)/($B96-D$93),0)/(1+$B96)^10)/100</f>
        <v>279.719734785852</v>
      </c>
      <c r="E96" s="16" t="n">
        <f aca="false">(NPV($B96,$C$33:$L$33)+IF($C$54&gt;$C$55,$L$21*(1+E$93)*($C$54-$C$55)*(1-$C$13)*(1-E$93/$C$49)/($B96-E$93),0)/(1+$B96)^10)/100</f>
        <v>285.137955873683</v>
      </c>
      <c r="F96" s="16" t="n">
        <f aca="false">(NPV($B96,$C$33:$L$33)+IF($C$54&gt;$C$55,$L$21*(1+F$93)*($C$54-$C$55)*(1-$C$13)*(1-F$93/$C$49)/($B96-F$93),0)/(1+$B96)^10)/100</f>
        <v>291.753225806501</v>
      </c>
      <c r="G96" s="12"/>
      <c r="H96" s="12"/>
      <c r="I96" s="12"/>
      <c r="J96" s="12"/>
      <c r="K96" s="12"/>
      <c r="L96" s="12"/>
      <c r="M96" s="12"/>
    </row>
    <row r="97" customFormat="false" ht="15" hidden="false" customHeight="true" outlineLevel="0" collapsed="false">
      <c r="A97" s="12" t="s">
        <v>1338</v>
      </c>
      <c r="B97" s="34" t="n">
        <v>0.16</v>
      </c>
      <c r="C97" s="16" t="n">
        <f aca="false">(NPV($B97,$C$33:$L$33)+IF($C$54&gt;$C$55,$L$21*(1+C$93)*($C$54-$C$55)*(1-$C$13)*(1-C$93/$C$49)/($B97-C$93),0)/(1+$B97)^10)/100</f>
        <v>225.863653748169</v>
      </c>
      <c r="D97" s="16" t="n">
        <f aca="false">(NPV($B97,$C$33:$L$33)+IF($C$54&gt;$C$55,$L$21*(1+D$93)*($C$54-$C$55)*(1-$C$13)*(1-D$93/$C$49)/($B97-D$93),0)/(1+$B97)^10)/100</f>
        <v>227.967887504058</v>
      </c>
      <c r="E97" s="16" t="n">
        <f aca="false">(NPV($B97,$C$33:$L$33)+IF($C$54&gt;$C$55,$L$21*(1+E$93)*($C$54-$C$55)*(1-$C$13)*(1-E$93/$C$49)/($B97-E$93),0)/(1+$B97)^10)/100</f>
        <v>230.358445149312</v>
      </c>
      <c r="F97" s="16" t="n">
        <f aca="false">(NPV($B97,$C$33:$L$33)+IF($C$54&gt;$C$55,$L$21*(1+F$93)*($C$54-$C$55)*(1-$C$13)*(1-F$93/$C$49)/($B97-F$93),0)/(1+$B97)^10)/100</f>
        <v>233.12122385074</v>
      </c>
      <c r="G97" s="12"/>
      <c r="H97" s="12"/>
      <c r="I97" s="12"/>
      <c r="J97" s="12"/>
      <c r="K97" s="12"/>
      <c r="L97" s="12"/>
      <c r="M97" s="12"/>
    </row>
    <row r="98" customFormat="false" ht="15" hidden="false" customHeight="true" outlineLevel="0" collapsed="false">
      <c r="A98" s="12" t="s">
        <v>1338</v>
      </c>
      <c r="B98" s="34" t="n">
        <v>0.18</v>
      </c>
      <c r="C98" s="16" t="n">
        <f aca="false">(NPV($B98,$C$33:$L$33)+IF($C$54&gt;$C$55,$L$21*(1+C$93)*($C$54-$C$55)*(1-$C$13)*(1-C$93/$C$49)/($B98-C$93),0)/(1+$B98)^10)/100</f>
        <v>189.072312424494</v>
      </c>
      <c r="D98" s="16" t="n">
        <f aca="false">(NPV($B98,$C$33:$L$33)+IF($C$54&gt;$C$55,$L$21*(1+D$93)*($C$54-$C$55)*(1-$C$13)*(1-D$93/$C$49)/($B98-D$93),0)/(1+$B98)^10)/100</f>
        <v>190.020080935102</v>
      </c>
      <c r="E98" s="16" t="n">
        <f aca="false">(NPV($B98,$C$33:$L$33)+IF($C$54&gt;$C$55,$L$21*(1+E$93)*($C$54-$C$55)*(1-$C$13)*(1-E$93/$C$49)/($B98-E$93),0)/(1+$B98)^10)/100</f>
        <v>191.045004798765</v>
      </c>
      <c r="F98" s="16" t="n">
        <f aca="false">(NPV($B98,$C$33:$L$33)+IF($C$54&gt;$C$55,$L$21*(1+F$93)*($C$54-$C$55)*(1-$C$13)*(1-F$93/$C$49)/($B98-F$93),0)/(1+$B98)^10)/100</f>
        <v>192.166372853744</v>
      </c>
      <c r="G98" s="12"/>
      <c r="H98" s="12"/>
      <c r="I98" s="12"/>
      <c r="J98" s="12"/>
      <c r="K98" s="12"/>
      <c r="L98" s="12"/>
      <c r="M98" s="12"/>
    </row>
    <row r="99" customFormat="false" ht="15" hidden="false" customHeight="true" outlineLevel="0" collapsed="false">
      <c r="A99" s="12" t="s">
        <v>1338</v>
      </c>
      <c r="B99" s="34" t="n">
        <v>0.2</v>
      </c>
      <c r="C99" s="16" t="n">
        <f aca="false">(NPV($B99,$C$33:$L$33)+IF($C$54&gt;$C$55,$L$21*(1+C$93)*($C$54-$C$55)*(1-$C$13)*(1-C$93/$C$49)/($B99-C$93),0)/(1+$B99)^10)/100</f>
        <v>160.596164642675</v>
      </c>
      <c r="D99" s="16" t="n">
        <f aca="false">(NPV($B99,$C$33:$L$33)+IF($C$54&gt;$C$55,$L$21*(1+D$93)*($C$54-$C$55)*(1-$C$13)*(1-D$93/$C$49)/($B99-D$93),0)/(1+$B99)^10)/100</f>
        <v>160.973384306657</v>
      </c>
      <c r="E99" s="16" t="n">
        <f aca="false">(NPV($B99,$C$33:$L$33)+IF($C$54&gt;$C$55,$L$21*(1+E$93)*($C$54-$C$55)*(1-$C$13)*(1-E$93/$C$49)/($B99-E$93),0)/(1+$B99)^10)/100</f>
        <v>161.350603970639</v>
      </c>
      <c r="F99" s="16" t="n">
        <f aca="false">(NPV($B99,$C$33:$L$33)+IF($C$54&gt;$C$55,$L$21*(1+F$93)*($C$54-$C$55)*(1-$C$13)*(1-F$93/$C$49)/($B99-F$93),0)/(1+$B99)^10)/100</f>
        <v>161.727823634621</v>
      </c>
      <c r="G99" s="12"/>
      <c r="H99" s="12"/>
      <c r="I99" s="12"/>
      <c r="J99" s="12"/>
      <c r="K99" s="12"/>
      <c r="L99" s="12"/>
      <c r="M99" s="12"/>
    </row>
    <row r="100" customFormat="false" ht="15" hidden="false" customHeight="true" outlineLevel="0" collapsed="false">
      <c r="A100" s="12" t="s">
        <v>1338</v>
      </c>
      <c r="B100" s="34" t="n">
        <v>0.25</v>
      </c>
      <c r="C100" s="16" t="n">
        <f aca="false">(NPV($B100,$C$33:$L$33)+IF($C$54&gt;$C$55,$L$21*(1+C$93)*($C$54-$C$55)*(1-$C$13)*(1-C$93/$C$49)/($B100-C$93),0)/(1+$B100)^10)/100</f>
        <v>111.651586295556</v>
      </c>
      <c r="D100" s="16" t="n">
        <f aca="false">(NPV($B100,$C$33:$L$33)+IF($C$54&gt;$C$55,$L$21*(1+D$93)*($C$54-$C$55)*(1-$C$13)*(1-D$93/$C$49)/($B100-D$93),0)/(1+$B100)^10)/100</f>
        <v>111.563104834952</v>
      </c>
      <c r="E100" s="16" t="n">
        <f aca="false">(NPV($B100,$C$33:$L$33)+IF($C$54&gt;$C$55,$L$21*(1+E$93)*($C$54-$C$55)*(1-$C$13)*(1-E$93/$C$49)/($B100-E$93),0)/(1+$B100)^10)/100</f>
        <v>111.440696433932</v>
      </c>
      <c r="F100" s="16" t="n">
        <f aca="false">(NPV($B100,$C$33:$L$33)+IF($C$54&gt;$C$55,$L$21*(1+F$93)*($C$54-$C$55)*(1-$C$13)*(1-F$93/$C$49)/($B100-F$93),0)/(1+$B100)^10)/100</f>
        <v>111.279004207167</v>
      </c>
      <c r="G100" s="12"/>
      <c r="H100" s="12"/>
      <c r="I100" s="12"/>
      <c r="J100" s="12"/>
      <c r="K100" s="12"/>
      <c r="L100" s="12"/>
      <c r="M100" s="12"/>
    </row>
    <row r="101" customFormat="false" ht="15" hidden="false" customHeight="true" outlineLevel="0" collapsed="false">
      <c r="A101" s="4" t="s">
        <v>1340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customFormat="false" ht="15" hidden="false" customHeight="tru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customFormat="false" ht="15" hidden="false" customHeight="true" outlineLevel="0" collapsed="false">
      <c r="A103" s="5" t="s">
        <v>1341</v>
      </c>
      <c r="B103" s="12"/>
      <c r="C103" s="37" t="n">
        <f aca="false">C93</f>
        <v>0.03</v>
      </c>
      <c r="D103" s="37" t="n">
        <f aca="false">D93</f>
        <v>0.04</v>
      </c>
      <c r="E103" s="37" t="n">
        <f aca="false">E93</f>
        <v>0.05</v>
      </c>
      <c r="F103" s="37" t="n">
        <f aca="false">F93</f>
        <v>0.06</v>
      </c>
      <c r="G103" s="12"/>
      <c r="H103" s="12"/>
      <c r="I103" s="12"/>
      <c r="J103" s="12"/>
      <c r="K103" s="12"/>
      <c r="L103" s="12"/>
      <c r="M103" s="12"/>
    </row>
    <row r="104" customFormat="false" ht="15" hidden="false" customHeight="true" outlineLevel="0" collapsed="false">
      <c r="A104" s="12" t="s">
        <v>1338</v>
      </c>
      <c r="B104" s="37" t="n">
        <f aca="false">B94</f>
        <v>0.1</v>
      </c>
      <c r="C104" s="17" t="n">
        <f aca="false">IFERROR(IF($C$54&gt;$C$55,$L$21*(1+C$93)*($C$54-$C$55)*(1-$C$13)*(1-C$93/$C$49)/($B104-C$93),0)/(1+$B104)^10/(NPV($B104,$C$33:$L$33)+IF($C$54&gt;$C$55,$L$21*(1+C$93)*($C$54-$C$55)*(1-$C$13)*(1-C$93/$C$49)/($B104-C$93),0)/(1+$B104)^10),0)</f>
        <v>0.499155131576816</v>
      </c>
      <c r="D104" s="17" t="n">
        <f aca="false">IFERROR(IF($C$54&gt;$C$55,$L$21*(1+D$93)*($C$54-$C$55)*(1-$C$13)*(1-D$93/$C$49)/($B104-D$93),0)/(1+$B104)^10/(NPV($B104,$C$33:$L$33)+IF($C$54&gt;$C$55,$L$21*(1+D$93)*($C$54-$C$55)*(1-$C$13)*(1-D$93/$C$49)/($B104-D$93),0)/(1+$B104)^10),0)</f>
        <v>0.524931429747276</v>
      </c>
      <c r="E104" s="17" t="n">
        <f aca="false">IFERROR(IF($C$54&gt;$C$55,$L$21*(1+E$93)*($C$54-$C$55)*(1-$C$13)*(1-E$93/$C$49)/($B104-E$93),0)/(1+$B104)^10/(NPV($B104,$C$33:$L$33)+IF($C$54&gt;$C$55,$L$21*(1+E$93)*($C$54-$C$55)*(1-$C$13)*(1-E$93/$C$49)/($B104-E$93),0)/(1+$B104)^10),0)</f>
        <v>0.556547290251769</v>
      </c>
      <c r="F104" s="17" t="n">
        <f aca="false">IFERROR(IF($C$54&gt;$C$55,$L$21*(1+F$93)*($C$54-$C$55)*(1-$C$13)*(1-F$93/$C$49)/($B104-F$93),0)/(1+$B104)^10/(NPV($B104,$C$33:$L$33)+IF($C$54&gt;$C$55,$L$21*(1+F$93)*($C$54-$C$55)*(1-$C$13)*(1-F$93/$C$49)/($B104-F$93),0)/(1+$B104)^10),0)</f>
        <v>0.596472958110751</v>
      </c>
      <c r="G104" s="12"/>
      <c r="H104" s="12"/>
      <c r="I104" s="12"/>
      <c r="J104" s="12"/>
      <c r="K104" s="12"/>
      <c r="L104" s="12"/>
      <c r="M104" s="12"/>
    </row>
    <row r="105" customFormat="false" ht="15" hidden="false" customHeight="true" outlineLevel="0" collapsed="false">
      <c r="A105" s="12" t="s">
        <v>1338</v>
      </c>
      <c r="B105" s="37" t="n">
        <f aca="false">B95</f>
        <v>0.12</v>
      </c>
      <c r="C105" s="17" t="n">
        <f aca="false">IFERROR(IF($C$54&gt;$C$55,$L$21*(1+C$93)*($C$54-$C$55)*(1-$C$13)*(1-C$93/$C$49)/($B105-C$93),0)/(1+$B105)^10/(NPV($B105,$C$33:$L$33)+IF($C$54&gt;$C$55,$L$21*(1+C$93)*($C$54-$C$55)*(1-$C$13)*(1-C$93/$C$49)/($B105-C$93),0)/(1+$B105)^10),0)</f>
        <v>0.424324716995343</v>
      </c>
      <c r="D105" s="17" t="n">
        <f aca="false">IFERROR(IF($C$54&gt;$C$55,$L$21*(1+D$93)*($C$54-$C$55)*(1-$C$13)*(1-D$93/$C$49)/($B105-D$93),0)/(1+$B105)^10/(NPV($B105,$C$33:$L$33)+IF($C$54&gt;$C$55,$L$21*(1+D$93)*($C$54-$C$55)*(1-$C$13)*(1-D$93/$C$49)/($B105-D$93),0)/(1+$B105)^10),0)</f>
        <v>0.44072395879805</v>
      </c>
      <c r="E105" s="17" t="n">
        <f aca="false">IFERROR(IF($C$54&gt;$C$55,$L$21*(1+E$93)*($C$54-$C$55)*(1-$C$13)*(1-E$93/$C$49)/($B105-E$93),0)/(1+$B105)^10/(NPV($B105,$C$33:$L$33)+IF($C$54&gt;$C$55,$L$21*(1+E$93)*($C$54-$C$55)*(1-$C$13)*(1-E$93/$C$49)/($B105-E$93),0)/(1+$B105)^10),0)</f>
        <v>0.460169051843275</v>
      </c>
      <c r="F105" s="17" t="n">
        <f aca="false">IFERROR(IF($C$54&gt;$C$55,$L$21*(1+F$93)*($C$54-$C$55)*(1-$C$13)*(1-F$93/$C$49)/($B105-F$93),0)/(1+$B105)^10/(NPV($B105,$C$33:$L$33)+IF($C$54&gt;$C$55,$L$21*(1+F$93)*($C$54-$C$55)*(1-$C$13)*(1-F$93/$C$49)/($B105-F$93),0)/(1+$B105)^10),0)</f>
        <v>0.483749337357485</v>
      </c>
      <c r="G105" s="12"/>
      <c r="H105" s="12"/>
      <c r="I105" s="12"/>
      <c r="J105" s="12"/>
      <c r="K105" s="12"/>
      <c r="L105" s="12"/>
      <c r="M105" s="12"/>
    </row>
    <row r="106" customFormat="false" ht="15" hidden="false" customHeight="true" outlineLevel="0" collapsed="false">
      <c r="A106" s="12" t="s">
        <v>1338</v>
      </c>
      <c r="B106" s="37" t="n">
        <f aca="false">B96</f>
        <v>0.14</v>
      </c>
      <c r="C106" s="17" t="n">
        <f aca="false">IFERROR(IF($C$54&gt;$C$55,$L$21*(1+C$93)*($C$54-$C$55)*(1-$C$13)*(1-C$93/$C$49)/($B106-C$93),0)/(1+$B106)^10/(NPV($B106,$C$33:$L$33)+IF($C$54&gt;$C$55,$L$21*(1+C$93)*($C$54-$C$55)*(1-$C$13)*(1-C$93/$C$49)/($B106-C$93),0)/(1+$B106)^10),0)</f>
        <v>0.364457877899331</v>
      </c>
      <c r="D106" s="17" t="n">
        <f aca="false">IFERROR(IF($C$54&gt;$C$55,$L$21*(1+D$93)*($C$54-$C$55)*(1-$C$13)*(1-D$93/$C$49)/($B106-D$93),0)/(1+$B106)^10/(NPV($B106,$C$33:$L$33)+IF($C$54&gt;$C$55,$L$21*(1+D$93)*($C$54-$C$55)*(1-$C$13)*(1-D$93/$C$49)/($B106-D$93),0)/(1+$B106)^10),0)</f>
        <v>0.374790423252471</v>
      </c>
      <c r="E106" s="17" t="n">
        <f aca="false">IFERROR(IF($C$54&gt;$C$55,$L$21*(1+E$93)*($C$54-$C$55)*(1-$C$13)*(1-E$93/$C$49)/($B106-E$93),0)/(1+$B106)^10/(NPV($B106,$C$33:$L$33)+IF($C$54&gt;$C$55,$L$21*(1+E$93)*($C$54-$C$55)*(1-$C$13)*(1-E$93/$C$49)/($B106-E$93),0)/(1+$B106)^10),0)</f>
        <v>0.386670720642792</v>
      </c>
      <c r="F106" s="17" t="n">
        <f aca="false">IFERROR(IF($C$54&gt;$C$55,$L$21*(1+F$93)*($C$54-$C$55)*(1-$C$13)*(1-F$93/$C$49)/($B106-F$93),0)/(1+$B106)^10/(NPV($B106,$C$33:$L$33)+IF($C$54&gt;$C$55,$L$21*(1+F$93)*($C$54-$C$55)*(1-$C$13)*(1-F$93/$C$49)/($B106-F$93),0)/(1+$B106)^10),0)</f>
        <v>0.400577469160936</v>
      </c>
      <c r="G106" s="12"/>
      <c r="H106" s="12"/>
      <c r="I106" s="12"/>
      <c r="J106" s="12"/>
      <c r="K106" s="12"/>
      <c r="L106" s="12"/>
      <c r="M106" s="12"/>
    </row>
    <row r="107" customFormat="false" ht="15" hidden="false" customHeight="true" outlineLevel="0" collapsed="false">
      <c r="A107" s="12" t="s">
        <v>1338</v>
      </c>
      <c r="B107" s="37" t="n">
        <f aca="false">B97</f>
        <v>0.16</v>
      </c>
      <c r="C107" s="17" t="n">
        <f aca="false">IFERROR(IF($C$54&gt;$C$55,$L$21*(1+C$93)*($C$54-$C$55)*(1-$C$13)*(1-C$93/$C$49)/($B107-C$93),0)/(1+$B107)^10/(NPV($B107,$C$33:$L$33)+IF($C$54&gt;$C$55,$L$21*(1+C$93)*($C$54-$C$55)*(1-$C$13)*(1-C$93/$C$49)/($B107-C$93),0)/(1+$B107)^10),0)</f>
        <v>0.315735442992939</v>
      </c>
      <c r="D107" s="17" t="n">
        <f aca="false">IFERROR(IF($C$54&gt;$C$55,$L$21*(1+D$93)*($C$54-$C$55)*(1-$C$13)*(1-D$93/$C$49)/($B107-D$93),0)/(1+$B107)^10/(NPV($B107,$C$33:$L$33)+IF($C$54&gt;$C$55,$L$21*(1+D$93)*($C$54-$C$55)*(1-$C$13)*(1-D$93/$C$49)/($B107-D$93),0)/(1+$B107)^10),0)</f>
        <v>0.322051475459518</v>
      </c>
      <c r="E107" s="17" t="n">
        <f aca="false">IFERROR(IF($C$54&gt;$C$55,$L$21*(1+E$93)*($C$54-$C$55)*(1-$C$13)*(1-E$93/$C$49)/($B107-E$93),0)/(1+$B107)^10/(NPV($B107,$C$33:$L$33)+IF($C$54&gt;$C$55,$L$21*(1+E$93)*($C$54-$C$55)*(1-$C$13)*(1-E$93/$C$49)/($B107-E$93),0)/(1+$B107)^10),0)</f>
        <v>0.32908692418109</v>
      </c>
      <c r="F107" s="17" t="n">
        <f aca="false">IFERROR(IF($C$54&gt;$C$55,$L$21*(1+F$93)*($C$54-$C$55)*(1-$C$13)*(1-F$93/$C$49)/($B107-F$93),0)/(1+$B107)^10/(NPV($B107,$C$33:$L$33)+IF($C$54&gt;$C$55,$L$21*(1+F$93)*($C$54-$C$55)*(1-$C$13)*(1-F$93/$C$49)/($B107-F$93),0)/(1+$B107)^10),0)</f>
        <v>0.337038085065389</v>
      </c>
      <c r="G107" s="12"/>
      <c r="H107" s="12"/>
      <c r="I107" s="12"/>
      <c r="J107" s="12"/>
      <c r="K107" s="12"/>
      <c r="L107" s="12"/>
      <c r="M107" s="12"/>
    </row>
    <row r="108" customFormat="false" ht="15" hidden="false" customHeight="true" outlineLevel="0" collapsed="false">
      <c r="A108" s="12" t="s">
        <v>1338</v>
      </c>
      <c r="B108" s="37" t="n">
        <f aca="false">B98</f>
        <v>0.18</v>
      </c>
      <c r="C108" s="17" t="n">
        <f aca="false">IFERROR(IF($C$54&gt;$C$55,$L$21*(1+C$93)*($C$54-$C$55)*(1-$C$13)*(1-C$93/$C$49)/($B108-C$93),0)/(1+$B108)^10/(NPV($B108,$C$33:$L$33)+IF($C$54&gt;$C$55,$L$21*(1+C$93)*($C$54-$C$55)*(1-$C$13)*(1-C$93/$C$49)/($B108-C$93),0)/(1+$B108)^10),0)</f>
        <v>0.275520337966977</v>
      </c>
      <c r="D108" s="17" t="n">
        <f aca="false">IFERROR(IF($C$54&gt;$C$55,$L$21*(1+D$93)*($C$54-$C$55)*(1-$C$13)*(1-D$93/$C$49)/($B108-D$93),0)/(1+$B108)^10/(NPV($B108,$C$33:$L$33)+IF($C$54&gt;$C$55,$L$21*(1+D$93)*($C$54-$C$55)*(1-$C$13)*(1-D$93/$C$49)/($B108-D$93),0)/(1+$B108)^10),0)</f>
        <v>0.279133845586129</v>
      </c>
      <c r="E108" s="17" t="n">
        <f aca="false">IFERROR(IF($C$54&gt;$C$55,$L$21*(1+E$93)*($C$54-$C$55)*(1-$C$13)*(1-E$93/$C$49)/($B108-E$93),0)/(1+$B108)^10/(NPV($B108,$C$33:$L$33)+IF($C$54&gt;$C$55,$L$21*(1+E$93)*($C$54-$C$55)*(1-$C$13)*(1-E$93/$C$49)/($B108-E$93),0)/(1+$B108)^10),0)</f>
        <v>0.283001169544395</v>
      </c>
      <c r="F108" s="17" t="n">
        <f aca="false">IFERROR(IF($C$54&gt;$C$55,$L$21*(1+F$93)*($C$54-$C$55)*(1-$C$13)*(1-F$93/$C$49)/($B108-F$93),0)/(1+$B108)^10/(NPV($B108,$C$33:$L$33)+IF($C$54&gt;$C$55,$L$21*(1+F$93)*($C$54-$C$55)*(1-$C$13)*(1-F$93/$C$49)/($B108-F$93),0)/(1+$B108)^10),0)</f>
        <v>0.287185146022645</v>
      </c>
      <c r="G108" s="12"/>
      <c r="H108" s="12"/>
      <c r="I108" s="12"/>
      <c r="J108" s="12"/>
      <c r="K108" s="12"/>
      <c r="L108" s="12"/>
      <c r="M108" s="12"/>
    </row>
    <row r="109" customFormat="false" ht="15" hidden="false" customHeight="true" outlineLevel="0" collapsed="false">
      <c r="A109" s="12" t="s">
        <v>1338</v>
      </c>
      <c r="B109" s="37" t="n">
        <f aca="false">B99</f>
        <v>0.2</v>
      </c>
      <c r="C109" s="17" t="n">
        <f aca="false">IFERROR(IF($C$54&gt;$C$55,$L$21*(1+C$93)*($C$54-$C$55)*(1-$C$13)*(1-C$93/$C$49)/($B109-C$93),0)/(1+$B109)^10/(NPV($B109,$C$33:$L$33)+IF($C$54&gt;$C$55,$L$21*(1+C$93)*($C$54-$C$55)*(1-$C$13)*(1-C$93/$C$49)/($B109-C$93),0)/(1+$B109)^10),0)</f>
        <v>0.241933706677196</v>
      </c>
      <c r="D109" s="17" t="n">
        <f aca="false">IFERROR(IF($C$54&gt;$C$55,$L$21*(1+D$93)*($C$54-$C$55)*(1-$C$13)*(1-D$93/$C$49)/($B109-D$93),0)/(1+$B109)^10/(NPV($B109,$C$33:$L$33)+IF($C$54&gt;$C$55,$L$21*(1+D$93)*($C$54-$C$55)*(1-$C$13)*(1-D$93/$C$49)/($B109-D$93),0)/(1+$B109)^10),0)</f>
        <v>0.243710133964695</v>
      </c>
      <c r="E109" s="17" t="n">
        <f aca="false">IFERROR(IF($C$54&gt;$C$55,$L$21*(1+E$93)*($C$54-$C$55)*(1-$C$13)*(1-E$93/$C$49)/($B109-E$93),0)/(1+$B109)^10/(NPV($B109,$C$33:$L$33)+IF($C$54&gt;$C$55,$L$21*(1+E$93)*($C$54-$C$55)*(1-$C$13)*(1-E$93/$C$49)/($B109-E$93),0)/(1+$B109)^10),0)</f>
        <v>0.245478255075606</v>
      </c>
      <c r="F109" s="17" t="n">
        <f aca="false">IFERROR(IF($C$54&gt;$C$55,$L$21*(1+F$93)*($C$54-$C$55)*(1-$C$13)*(1-F$93/$C$49)/($B109-F$93),0)/(1+$B109)^10/(NPV($B109,$C$33:$L$33)+IF($C$54&gt;$C$55,$L$21*(1+F$93)*($C$54-$C$55)*(1-$C$13)*(1-F$93/$C$49)/($B109-F$93),0)/(1+$B109)^10),0)</f>
        <v>0.247238128130786</v>
      </c>
      <c r="G109" s="12"/>
      <c r="H109" s="12"/>
      <c r="I109" s="12"/>
      <c r="J109" s="12"/>
      <c r="K109" s="12"/>
      <c r="L109" s="12"/>
      <c r="M109" s="12"/>
    </row>
    <row r="110" customFormat="false" ht="15" hidden="false" customHeight="true" outlineLevel="0" collapsed="false">
      <c r="A110" s="12" t="s">
        <v>1338</v>
      </c>
      <c r="B110" s="37" t="n">
        <f aca="false">B100</f>
        <v>0.25</v>
      </c>
      <c r="C110" s="17" t="n">
        <f aca="false">IFERROR(IF($C$54&gt;$C$55,$L$21*(1+C$93)*($C$54-$C$55)*(1-$C$13)*(1-C$93/$C$49)/($B110-C$93),0)/(1+$B110)^10/(NPV($B110,$C$33:$L$33)+IF($C$54&gt;$C$55,$L$21*(1+C$93)*($C$54-$C$55)*(1-$C$13)*(1-C$93/$C$49)/($B110-C$93),0)/(1+$B110)^10),0)</f>
        <v>0.178774355821353</v>
      </c>
      <c r="D110" s="17" t="n">
        <f aca="false">IFERROR(IF($C$54&gt;$C$55,$L$21*(1+D$93)*($C$54-$C$55)*(1-$C$13)*(1-D$93/$C$49)/($B110-D$93),0)/(1+$B110)^10/(NPV($B110,$C$33:$L$33)+IF($C$54&gt;$C$55,$L$21*(1+D$93)*($C$54-$C$55)*(1-$C$13)*(1-D$93/$C$49)/($B110-D$93),0)/(1+$B110)^10),0)</f>
        <v>0.178123036152632</v>
      </c>
      <c r="E110" s="17" t="n">
        <f aca="false">IFERROR(IF($C$54&gt;$C$55,$L$21*(1+E$93)*($C$54-$C$55)*(1-$C$13)*(1-E$93/$C$49)/($B110-E$93),0)/(1+$B110)^10/(NPV($B110,$C$33:$L$33)+IF($C$54&gt;$C$55,$L$21*(1+E$93)*($C$54-$C$55)*(1-$C$13)*(1-E$93/$C$49)/($B110-E$93),0)/(1+$B110)^10),0)</f>
        <v>0.177220272187591</v>
      </c>
      <c r="F110" s="17" t="n">
        <f aca="false">IFERROR(IF($C$54&gt;$C$55,$L$21*(1+F$93)*($C$54-$C$55)*(1-$C$13)*(1-F$93/$C$49)/($B110-F$93),0)/(1+$B110)^10/(NPV($B110,$C$33:$L$33)+IF($C$54&gt;$C$55,$L$21*(1+F$93)*($C$54-$C$55)*(1-$C$13)*(1-F$93/$C$49)/($B110-F$93),0)/(1+$B110)^10),0)</f>
        <v>0.176024744897655</v>
      </c>
      <c r="G110" s="12"/>
      <c r="H110" s="12"/>
      <c r="I110" s="12"/>
      <c r="J110" s="12"/>
      <c r="K110" s="12"/>
      <c r="L110" s="12"/>
      <c r="M110" s="12"/>
    </row>
    <row r="111" customFormat="false" ht="15" hidden="false" customHeight="tru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</row>
    <row r="112" customFormat="false" ht="15" hidden="false" customHeight="true" outlineLevel="0" collapsed="false">
      <c r="A112" s="5" t="s">
        <v>1342</v>
      </c>
      <c r="B112" s="12"/>
      <c r="C112" s="37" t="n">
        <f aca="false">C6</f>
        <v>0.12</v>
      </c>
      <c r="D112" s="34" t="n">
        <v>0.15</v>
      </c>
      <c r="E112" s="34" t="n">
        <v>0.2</v>
      </c>
      <c r="F112" s="34" t="n">
        <v>0.3</v>
      </c>
      <c r="G112" s="34" t="n">
        <v>0.5</v>
      </c>
      <c r="H112" s="12"/>
      <c r="I112" s="12"/>
      <c r="J112" s="12"/>
      <c r="K112" s="12"/>
      <c r="L112" s="12"/>
      <c r="M112" s="12"/>
    </row>
    <row r="113" customFormat="false" ht="15" hidden="false" customHeight="true" outlineLevel="0" collapsed="false">
      <c r="A113" s="12" t="s">
        <v>1343</v>
      </c>
      <c r="B113" s="12"/>
      <c r="C113" s="16" t="n">
        <f aca="false">(SUM($C$36:$L$36)+IF($C$54&gt;$C$55,$L$21*(1+$C$7)*($C$54-$C$55)*(1-$C$13)*(1-$C$7/C$112)/($C$6-$C$7),0)*$L$35)/100</f>
        <v>330.097584631207</v>
      </c>
      <c r="D113" s="16" t="n">
        <f aca="false">(SUM($C$36:$L$36)+IF($C$54&gt;$C$55,$L$21*(1+$C$7)*($C$54-$C$55)*(1-$C$13)*(1-$C$7/D$112)/($C$6-$C$7),0)*$L$35)/100</f>
        <v>348.897961984225</v>
      </c>
      <c r="E113" s="16" t="n">
        <f aca="false">(SUM($C$36:$L$36)+IF($C$54&gt;$C$55,$L$21*(1+$C$7)*($C$54-$C$55)*(1-$C$13)*(1-$C$7/E$112)/($C$6-$C$7),0)*$L$35)/100</f>
        <v>367.698339337244</v>
      </c>
      <c r="F113" s="16" t="n">
        <f aca="false">(SUM($C$36:$L$36)+IF($C$54&gt;$C$55,$L$21*(1+$C$7)*($C$54-$C$55)*(1-$C$13)*(1-$C$7/F$112)/($C$6-$C$7),0)*$L$35)/100</f>
        <v>386.498716690262</v>
      </c>
      <c r="G113" s="16" t="n">
        <f aca="false">(SUM($C$36:$L$36)+IF($C$54&gt;$C$55,$L$21*(1+$C$7)*($C$54-$C$55)*(1-$C$13)*(1-$C$7/G$112)/($C$6-$C$7),0)*$L$35)/100</f>
        <v>401.539018572677</v>
      </c>
      <c r="H113" s="12"/>
      <c r="I113" s="12"/>
      <c r="J113" s="12"/>
      <c r="K113" s="12"/>
      <c r="L113" s="12"/>
      <c r="M113" s="12"/>
    </row>
    <row r="114" customFormat="false" ht="15" hidden="false" customHeight="true" outlineLevel="0" collapsed="false">
      <c r="A114" s="4" t="s">
        <v>1344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customFormat="false" ht="15" hidden="false" customHeight="tru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</row>
    <row r="116" customFormat="false" ht="15" hidden="false" customHeight="true" outlineLevel="0" collapsed="false">
      <c r="A116" s="10" t="s">
        <v>1345</v>
      </c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</row>
    <row r="117" customFormat="false" ht="15" hidden="false" customHeight="true" outlineLevel="0" collapsed="false">
      <c r="A117" s="4" t="s">
        <v>1346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customFormat="false" ht="15" hidden="false" customHeight="true" outlineLevel="0" collapsed="false">
      <c r="A118" s="15" t="s">
        <v>83</v>
      </c>
      <c r="B118" s="15" t="s">
        <v>42</v>
      </c>
      <c r="C118" s="15" t="s">
        <v>68</v>
      </c>
      <c r="D118" s="15" t="s">
        <v>69</v>
      </c>
      <c r="E118" s="15" t="s">
        <v>70</v>
      </c>
      <c r="F118" s="15" t="s">
        <v>77</v>
      </c>
      <c r="G118" s="15" t="s">
        <v>307</v>
      </c>
      <c r="H118" s="12"/>
      <c r="I118" s="12"/>
      <c r="J118" s="12"/>
      <c r="K118" s="12"/>
      <c r="L118" s="12"/>
      <c r="M118" s="12"/>
    </row>
    <row r="119" customFormat="false" ht="15" hidden="false" customHeight="true" outlineLevel="0" collapsed="false">
      <c r="A119" s="12" t="s">
        <v>1119</v>
      </c>
      <c r="B119" s="4" t="s">
        <v>46</v>
      </c>
      <c r="C119" s="34" t="n">
        <v>0.4</v>
      </c>
      <c r="D119" s="34" t="n">
        <v>0.45</v>
      </c>
      <c r="E119" s="34" t="n">
        <v>0.15</v>
      </c>
      <c r="F119" s="4" t="s">
        <v>1347</v>
      </c>
      <c r="G119" s="4" t="s">
        <v>1348</v>
      </c>
      <c r="H119" s="12"/>
      <c r="I119" s="12"/>
      <c r="J119" s="12"/>
      <c r="K119" s="12"/>
      <c r="L119" s="12"/>
      <c r="M119" s="12"/>
    </row>
    <row r="120" customFormat="false" ht="15" hidden="false" customHeight="true" outlineLevel="0" collapsed="false">
      <c r="A120" s="12" t="s">
        <v>1349</v>
      </c>
      <c r="B120" s="4" t="s">
        <v>46</v>
      </c>
      <c r="C120" s="34" t="n">
        <v>0.54</v>
      </c>
      <c r="D120" s="34" t="n">
        <v>0.11</v>
      </c>
      <c r="E120" s="34" t="n">
        <v>0.58</v>
      </c>
      <c r="F120" s="4" t="s">
        <v>83</v>
      </c>
      <c r="G120" s="4" t="s">
        <v>1350</v>
      </c>
      <c r="H120" s="12"/>
      <c r="I120" s="12"/>
      <c r="J120" s="12"/>
      <c r="K120" s="12"/>
      <c r="L120" s="12"/>
      <c r="M120" s="12"/>
    </row>
    <row r="121" customFormat="false" ht="15" hidden="false" customHeight="true" outlineLevel="0" collapsed="false">
      <c r="A121" s="12" t="s">
        <v>1351</v>
      </c>
      <c r="B121" s="4" t="s">
        <v>46</v>
      </c>
      <c r="C121" s="34" t="n">
        <v>0.12</v>
      </c>
      <c r="D121" s="34" t="n">
        <v>0.12</v>
      </c>
      <c r="E121" s="34" t="n">
        <v>0.12</v>
      </c>
      <c r="F121" s="4" t="s">
        <v>83</v>
      </c>
      <c r="G121" s="4" t="s">
        <v>1352</v>
      </c>
      <c r="H121" s="12"/>
      <c r="I121" s="12"/>
      <c r="J121" s="12"/>
      <c r="K121" s="12"/>
      <c r="L121" s="12"/>
      <c r="M121" s="12"/>
    </row>
    <row r="122" customFormat="false" ht="15" hidden="false" customHeight="true" outlineLevel="0" collapsed="false">
      <c r="A122" s="12" t="s">
        <v>1223</v>
      </c>
      <c r="B122" s="4" t="s">
        <v>46</v>
      </c>
      <c r="C122" s="34" t="n">
        <v>0.2</v>
      </c>
      <c r="D122" s="34" t="n">
        <v>0.25</v>
      </c>
      <c r="E122" s="34" t="n">
        <v>0.3</v>
      </c>
      <c r="F122" s="4" t="s">
        <v>83</v>
      </c>
      <c r="G122" s="4" t="s">
        <v>1353</v>
      </c>
      <c r="H122" s="12"/>
      <c r="I122" s="12"/>
      <c r="J122" s="12"/>
      <c r="K122" s="12"/>
      <c r="L122" s="12"/>
      <c r="M122" s="12"/>
    </row>
    <row r="123" customFormat="false" ht="15" hidden="false" customHeight="true" outlineLevel="0" collapsed="false">
      <c r="A123" s="12" t="s">
        <v>1225</v>
      </c>
      <c r="B123" s="4" t="s">
        <v>1226</v>
      </c>
      <c r="C123" s="34" t="n">
        <v>0.03</v>
      </c>
      <c r="D123" s="34" t="n">
        <v>0.03</v>
      </c>
      <c r="E123" s="34" t="n">
        <v>0.03</v>
      </c>
      <c r="F123" s="4" t="s">
        <v>83</v>
      </c>
      <c r="G123" s="4" t="s">
        <v>1354</v>
      </c>
      <c r="H123" s="12"/>
      <c r="I123" s="12"/>
      <c r="J123" s="12"/>
      <c r="K123" s="12"/>
      <c r="L123" s="12"/>
      <c r="M123" s="12"/>
    </row>
    <row r="124" customFormat="false" ht="15" hidden="false" customHeight="true" outlineLevel="0" collapsed="false">
      <c r="A124" s="12" t="s">
        <v>1355</v>
      </c>
      <c r="B124" s="4" t="s">
        <v>1356</v>
      </c>
      <c r="C124" s="36" t="n">
        <v>2</v>
      </c>
      <c r="D124" s="12"/>
      <c r="E124" s="12"/>
      <c r="F124" s="4" t="s">
        <v>83</v>
      </c>
      <c r="G124" s="4" t="s">
        <v>1357</v>
      </c>
      <c r="H124" s="12"/>
      <c r="I124" s="12"/>
      <c r="J124" s="12"/>
      <c r="K124" s="12"/>
      <c r="L124" s="12"/>
      <c r="M124" s="12"/>
    </row>
    <row r="125" customFormat="false" ht="15" hidden="false" customHeight="true" outlineLevel="0" collapsed="false">
      <c r="A125" s="5" t="s">
        <v>1358</v>
      </c>
      <c r="B125" s="12"/>
      <c r="C125" s="75" t="b">
        <f aca="false">ABS(SUM(C119:E119)-1)&lt;0.0001</f>
        <v>1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</row>
    <row r="126" customFormat="false" ht="15" hidden="false" customHeight="tru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customFormat="false" ht="15" hidden="false" customHeight="true" outlineLevel="0" collapsed="false">
      <c r="A127" s="10" t="s">
        <v>1359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</row>
    <row r="128" customFormat="false" ht="15" hidden="false" customHeight="true" outlineLevel="0" collapsed="false">
      <c r="A128" s="80" t="s">
        <v>44</v>
      </c>
      <c r="B128" s="80" t="s">
        <v>42</v>
      </c>
      <c r="C128" s="80" t="str">
        <f aca="false">C$18</f>
        <v>FY27</v>
      </c>
      <c r="D128" s="80" t="str">
        <f aca="false">D$18</f>
        <v>FY28</v>
      </c>
      <c r="E128" s="80" t="str">
        <f aca="false">E$18</f>
        <v>FY29</v>
      </c>
      <c r="F128" s="80" t="str">
        <f aca="false">F$18</f>
        <v>FY30</v>
      </c>
      <c r="G128" s="80" t="str">
        <f aca="false">G$18</f>
        <v>FY31</v>
      </c>
      <c r="H128" s="80" t="str">
        <f aca="false">H$18</f>
        <v>FY32</v>
      </c>
      <c r="I128" s="80" t="str">
        <f aca="false">I$18</f>
        <v>FY33</v>
      </c>
      <c r="J128" s="80" t="str">
        <f aca="false">J$18</f>
        <v>FY34</v>
      </c>
      <c r="K128" s="80" t="str">
        <f aca="false">K$18</f>
        <v>FY35</v>
      </c>
      <c r="L128" s="80" t="str">
        <f aca="false">L$18</f>
        <v>FY36</v>
      </c>
      <c r="M128" s="12"/>
    </row>
    <row r="129" customFormat="false" ht="15" hidden="false" customHeight="true" outlineLevel="0" collapsed="false">
      <c r="A129" s="12" t="s">
        <v>43</v>
      </c>
      <c r="B129" s="4" t="s">
        <v>44</v>
      </c>
      <c r="C129" s="45" t="n">
        <v>5.72475313518406</v>
      </c>
      <c r="D129" s="45" t="n">
        <v>132.824684944224</v>
      </c>
      <c r="E129" s="45" t="n">
        <v>797.580727994209</v>
      </c>
      <c r="F129" s="45" t="n">
        <v>2371.90780678108</v>
      </c>
      <c r="G129" s="45" t="n">
        <v>4938.48991599909</v>
      </c>
      <c r="H129" s="16" t="n">
        <f aca="false">G129*(1+H130)</f>
        <v>7605.2744706386</v>
      </c>
      <c r="I129" s="16" t="n">
        <f aca="false">H129*(1+I130)</f>
        <v>10913.5688653664</v>
      </c>
      <c r="J129" s="16" t="n">
        <f aca="false">I129*(1+J130)</f>
        <v>14515.0465909373</v>
      </c>
      <c r="K129" s="16" t="n">
        <f aca="false">J129*(1+K130)</f>
        <v>17780.9320738982</v>
      </c>
      <c r="L129" s="16" t="n">
        <f aca="false">K129*(1+L130)</f>
        <v>19914.643922766</v>
      </c>
      <c r="M129" s="12"/>
    </row>
    <row r="130" customFormat="false" ht="15" hidden="false" customHeight="true" outlineLevel="0" collapsed="false">
      <c r="A130" s="12" t="s">
        <v>45</v>
      </c>
      <c r="B130" s="4" t="s">
        <v>46</v>
      </c>
      <c r="C130" s="81"/>
      <c r="D130" s="17" t="n">
        <f aca="false">IFERROR(D129/C129-1,0)</f>
        <v>22.2018188047079</v>
      </c>
      <c r="E130" s="17" t="n">
        <f aca="false">IFERROR(E129/D129-1,0)</f>
        <v>5.004762806922</v>
      </c>
      <c r="F130" s="17" t="n">
        <f aca="false">IFERROR(F129/E129-1,0)</f>
        <v>1.97387803331966</v>
      </c>
      <c r="G130" s="17" t="n">
        <f aca="false">IFERROR(G129/F129-1,0)</f>
        <v>1.08207498701272</v>
      </c>
      <c r="H130" s="17" t="n">
        <f aca="false">$C$120+($C$121-$C$120)*(H$19-6)/4</f>
        <v>0.54</v>
      </c>
      <c r="I130" s="17" t="n">
        <f aca="false">$C$120+($C$121-$C$120)*(I$19-6)/4</f>
        <v>0.435</v>
      </c>
      <c r="J130" s="17" t="n">
        <f aca="false">$C$120+($C$121-$C$120)*(J$19-6)/4</f>
        <v>0.33</v>
      </c>
      <c r="K130" s="17" t="n">
        <f aca="false">$C$120+($C$121-$C$120)*(K$19-6)/4</f>
        <v>0.225</v>
      </c>
      <c r="L130" s="17" t="n">
        <f aca="false">$C$120+($C$121-$C$120)*(L$19-6)/4</f>
        <v>0.12</v>
      </c>
      <c r="M130" s="12"/>
    </row>
    <row r="131" customFormat="false" ht="15" hidden="false" customHeight="true" outlineLevel="0" collapsed="false">
      <c r="A131" s="12" t="s">
        <v>54</v>
      </c>
      <c r="B131" s="4" t="s">
        <v>44</v>
      </c>
      <c r="C131" s="45" t="n">
        <v>-210.204094344275</v>
      </c>
      <c r="D131" s="45" t="n">
        <v>-559.866425862222</v>
      </c>
      <c r="E131" s="45" t="n">
        <v>-882.046353916044</v>
      </c>
      <c r="F131" s="45" t="n">
        <v>-848.258698409387</v>
      </c>
      <c r="G131" s="45" t="n">
        <v>-160.229558026852</v>
      </c>
      <c r="H131" s="16" t="n">
        <f aca="false">H129*H132</f>
        <v>-18.5952852421941</v>
      </c>
      <c r="I131" s="16" t="n">
        <f aca="false">I129*I132</f>
        <v>300.722831638443</v>
      </c>
      <c r="J131" s="16" t="n">
        <f aca="false">J129*J132</f>
        <v>835.412763807248</v>
      </c>
      <c r="K131" s="16" t="n">
        <f aca="false">K129*K132</f>
        <v>1556.80859788083</v>
      </c>
      <c r="L131" s="16" t="n">
        <f aca="false">L129*L132</f>
        <v>2341.0649473095</v>
      </c>
      <c r="M131" s="12"/>
    </row>
    <row r="132" customFormat="false" ht="15" hidden="false" customHeight="true" outlineLevel="0" collapsed="false">
      <c r="A132" s="12" t="s">
        <v>55</v>
      </c>
      <c r="B132" s="4" t="s">
        <v>46</v>
      </c>
      <c r="C132" s="17" t="n">
        <f aca="false">IFERROR(C131/C129,0)</f>
        <v>-36.7184556924159</v>
      </c>
      <c r="D132" s="17" t="n">
        <f aca="false">IFERROR(D131/D129,0)</f>
        <v>-4.21507813925794</v>
      </c>
      <c r="E132" s="17" t="n">
        <f aca="false">IFERROR(E131/E129,0)</f>
        <v>-1.10590229046062</v>
      </c>
      <c r="F132" s="17" t="n">
        <f aca="false">IFERROR(F131/F129,0)</f>
        <v>-0.357627179262317</v>
      </c>
      <c r="G132" s="17" t="n">
        <f aca="false">IFERROR(G131/G129,0)</f>
        <v>-0.0324450511699458</v>
      </c>
      <c r="H132" s="17" t="n">
        <f aca="false">G132+MAX(-$C$123,MIN($C$123,$C$122-G132))</f>
        <v>-0.00244505116994584</v>
      </c>
      <c r="I132" s="17" t="n">
        <f aca="false">H132+MAX(-$C$123,MIN($C$123,$C$122-H132))</f>
        <v>0.0275549488300542</v>
      </c>
      <c r="J132" s="17" t="n">
        <f aca="false">I132+MAX(-$C$123,MIN($C$123,$C$122-I132))</f>
        <v>0.0575549488300542</v>
      </c>
      <c r="K132" s="17" t="n">
        <f aca="false">J132+MAX(-$C$123,MIN($C$123,$C$122-J132))</f>
        <v>0.0875549488300542</v>
      </c>
      <c r="L132" s="17" t="n">
        <f aca="false">K132+MAX(-$C$123,MIN($C$123,$C$122-K132))</f>
        <v>0.117554948830054</v>
      </c>
      <c r="M132" s="12"/>
    </row>
    <row r="133" customFormat="false" ht="15" hidden="false" customHeight="true" outlineLevel="0" collapsed="false">
      <c r="A133" s="12" t="s">
        <v>771</v>
      </c>
      <c r="B133" s="4" t="s">
        <v>44</v>
      </c>
      <c r="C133" s="45" t="n">
        <v>-23.2</v>
      </c>
      <c r="D133" s="45" t="n">
        <v>-18</v>
      </c>
      <c r="E133" s="45" t="n">
        <v>-32.4</v>
      </c>
      <c r="F133" s="45" t="n">
        <v>-40.8</v>
      </c>
      <c r="G133" s="45" t="n">
        <v>-43.2</v>
      </c>
      <c r="H133" s="16" t="n">
        <f aca="false">-H129*$C$12</f>
        <v>-76.052744706386</v>
      </c>
      <c r="I133" s="16" t="n">
        <f aca="false">-I129*$C$12</f>
        <v>-109.135688653664</v>
      </c>
      <c r="J133" s="16" t="n">
        <f aca="false">-J129*$C$12</f>
        <v>-145.150465909373</v>
      </c>
      <c r="K133" s="16" t="n">
        <f aca="false">-K129*$C$12</f>
        <v>-177.809320738982</v>
      </c>
      <c r="L133" s="16" t="n">
        <f aca="false">-L129*$C$12</f>
        <v>-199.14643922766</v>
      </c>
      <c r="M133" s="12"/>
    </row>
    <row r="134" customFormat="false" ht="15" hidden="false" customHeight="true" outlineLevel="0" collapsed="false">
      <c r="A134" s="12" t="s">
        <v>759</v>
      </c>
      <c r="B134" s="4" t="s">
        <v>44</v>
      </c>
      <c r="C134" s="45" t="n">
        <v>-6.04444444444444</v>
      </c>
      <c r="D134" s="45" t="n">
        <v>-12.3333333333333</v>
      </c>
      <c r="E134" s="45" t="n">
        <v>-21.3333333333333</v>
      </c>
      <c r="F134" s="45" t="n">
        <v>-27.9555555555556</v>
      </c>
      <c r="G134" s="45" t="n">
        <v>-35.9666666666667</v>
      </c>
      <c r="H134" s="16" t="n">
        <f aca="false">H133</f>
        <v>-76.052744706386</v>
      </c>
      <c r="I134" s="16" t="n">
        <f aca="false">I133</f>
        <v>-109.135688653664</v>
      </c>
      <c r="J134" s="16" t="n">
        <f aca="false">J133</f>
        <v>-145.150465909373</v>
      </c>
      <c r="K134" s="16" t="n">
        <f aca="false">K133</f>
        <v>-177.809320738982</v>
      </c>
      <c r="L134" s="16" t="n">
        <f aca="false">L133</f>
        <v>-199.14643922766</v>
      </c>
      <c r="M134" s="12"/>
    </row>
    <row r="135" customFormat="false" ht="15" hidden="false" customHeight="true" outlineLevel="0" collapsed="false">
      <c r="A135" s="12" t="s">
        <v>760</v>
      </c>
      <c r="B135" s="4" t="s">
        <v>44</v>
      </c>
      <c r="C135" s="16" t="n">
        <f aca="false">C131+C134</f>
        <v>-216.248538788719</v>
      </c>
      <c r="D135" s="16" t="n">
        <f aca="false">D131+D134</f>
        <v>-572.199759195555</v>
      </c>
      <c r="E135" s="16" t="n">
        <f aca="false">E131+E134</f>
        <v>-903.379687249377</v>
      </c>
      <c r="F135" s="16" t="n">
        <f aca="false">F131+F134</f>
        <v>-876.214253964943</v>
      </c>
      <c r="G135" s="16" t="n">
        <f aca="false">G131+G134</f>
        <v>-196.196224693519</v>
      </c>
      <c r="H135" s="16" t="n">
        <f aca="false">H131+H134</f>
        <v>-94.6480299485801</v>
      </c>
      <c r="I135" s="16" t="n">
        <f aca="false">I131+I134</f>
        <v>191.587142984779</v>
      </c>
      <c r="J135" s="16" t="n">
        <f aca="false">J131+J134</f>
        <v>690.262297897875</v>
      </c>
      <c r="K135" s="16" t="n">
        <f aca="false">K131+K134</f>
        <v>1378.99927714184</v>
      </c>
      <c r="L135" s="16" t="n">
        <f aca="false">L131+L134</f>
        <v>2141.91850808184</v>
      </c>
      <c r="M135" s="12"/>
    </row>
    <row r="136" customFormat="false" ht="15" hidden="false" customHeight="true" outlineLevel="0" collapsed="false">
      <c r="A136" s="12" t="s">
        <v>1360</v>
      </c>
      <c r="B136" s="4" t="s">
        <v>44</v>
      </c>
      <c r="C136" s="45"/>
      <c r="D136" s="45"/>
      <c r="E136" s="45"/>
      <c r="F136" s="45"/>
      <c r="G136" s="45"/>
      <c r="H136" s="16" t="n">
        <f aca="false">MAX(0,--2764.2385)</f>
        <v>2764.2385</v>
      </c>
      <c r="I136" s="16" t="n">
        <f aca="false">H138</f>
        <v>2764.2385</v>
      </c>
      <c r="J136" s="16" t="n">
        <f aca="false">I138</f>
        <v>2572.65135701522</v>
      </c>
      <c r="K136" s="16" t="n">
        <f aca="false">J138</f>
        <v>1882.38905911735</v>
      </c>
      <c r="L136" s="16" t="n">
        <f aca="false">K138</f>
        <v>503.389781975502</v>
      </c>
      <c r="M136" s="12"/>
    </row>
    <row r="137" customFormat="false" ht="15" hidden="false" customHeight="true" outlineLevel="0" collapsed="false">
      <c r="A137" s="12" t="s">
        <v>1248</v>
      </c>
      <c r="B137" s="4" t="s">
        <v>44</v>
      </c>
      <c r="C137" s="45"/>
      <c r="D137" s="45"/>
      <c r="E137" s="45"/>
      <c r="F137" s="45"/>
      <c r="G137" s="45"/>
      <c r="H137" s="16" t="n">
        <f aca="false">MIN(H136,MAX(0,H135))</f>
        <v>0</v>
      </c>
      <c r="I137" s="16" t="n">
        <f aca="false">MIN(I136,MAX(0,I135))</f>
        <v>191.587142984779</v>
      </c>
      <c r="J137" s="16" t="n">
        <f aca="false">MIN(J136,MAX(0,J135))</f>
        <v>690.262297897875</v>
      </c>
      <c r="K137" s="16" t="n">
        <f aca="false">MIN(K136,MAX(0,K135))</f>
        <v>1378.99927714184</v>
      </c>
      <c r="L137" s="16" t="n">
        <f aca="false">MIN(L136,MAX(0,L135))</f>
        <v>503.389781975502</v>
      </c>
      <c r="M137" s="12"/>
    </row>
    <row r="138" customFormat="false" ht="15" hidden="false" customHeight="true" outlineLevel="0" collapsed="false">
      <c r="A138" s="12" t="s">
        <v>1361</v>
      </c>
      <c r="B138" s="4" t="s">
        <v>44</v>
      </c>
      <c r="C138" s="45"/>
      <c r="D138" s="45"/>
      <c r="E138" s="45"/>
      <c r="F138" s="45"/>
      <c r="G138" s="45"/>
      <c r="H138" s="16" t="n">
        <f aca="false">H136-H137</f>
        <v>2764.2385</v>
      </c>
      <c r="I138" s="16" t="n">
        <f aca="false">I136-I137</f>
        <v>2572.65135701522</v>
      </c>
      <c r="J138" s="16" t="n">
        <f aca="false">J136-J137</f>
        <v>1882.38905911735</v>
      </c>
      <c r="K138" s="16" t="n">
        <f aca="false">K136-K137</f>
        <v>503.389781975502</v>
      </c>
      <c r="L138" s="16" t="n">
        <f aca="false">L136-L137</f>
        <v>0</v>
      </c>
      <c r="M138" s="12"/>
    </row>
    <row r="139" customFormat="false" ht="15" hidden="false" customHeight="true" outlineLevel="0" collapsed="false">
      <c r="A139" s="12" t="s">
        <v>769</v>
      </c>
      <c r="B139" s="4" t="s">
        <v>44</v>
      </c>
      <c r="C139" s="45" t="n">
        <v>0</v>
      </c>
      <c r="D139" s="45" t="n">
        <v>0</v>
      </c>
      <c r="E139" s="45" t="n">
        <v>0</v>
      </c>
      <c r="F139" s="45" t="n">
        <v>0</v>
      </c>
      <c r="G139" s="45" t="n">
        <v>0</v>
      </c>
      <c r="H139" s="16" t="n">
        <f aca="false">-(MAX(0,H135)-H137)*$C$13</f>
        <v>-0</v>
      </c>
      <c r="I139" s="16" t="n">
        <f aca="false">-(MAX(0,I135)-I137)*$C$13</f>
        <v>-0</v>
      </c>
      <c r="J139" s="16" t="n">
        <f aca="false">-(MAX(0,J135)-J137)*$C$13</f>
        <v>-0</v>
      </c>
      <c r="K139" s="16" t="n">
        <f aca="false">-(MAX(0,K135)-K137)*$C$13</f>
        <v>-0</v>
      </c>
      <c r="L139" s="16" t="n">
        <f aca="false">-(MAX(0,L135)-L137)*$C$13</f>
        <v>-412.384909786444</v>
      </c>
      <c r="M139" s="12"/>
    </row>
    <row r="140" customFormat="false" ht="15" hidden="false" customHeight="true" outlineLevel="0" collapsed="false">
      <c r="A140" s="12" t="s">
        <v>1251</v>
      </c>
      <c r="B140" s="4" t="s">
        <v>44</v>
      </c>
      <c r="C140" s="45" t="n">
        <v>5.07615053317092</v>
      </c>
      <c r="D140" s="45" t="n">
        <v>-33.4904513584286</v>
      </c>
      <c r="E140" s="45" t="n">
        <v>-97.4902116413263</v>
      </c>
      <c r="F140" s="45" t="n">
        <v>-170.651309092693</v>
      </c>
      <c r="G140" s="45" t="n">
        <v>-246.121010861892</v>
      </c>
      <c r="H140" s="16" t="n">
        <f aca="false">-0.109887*(H129-G129)</f>
        <v>-293.044954355672</v>
      </c>
      <c r="I140" s="16" t="n">
        <f aca="false">-0.109887*(I129-H129)</f>
        <v>-363.538546153453</v>
      </c>
      <c r="J140" s="16" t="n">
        <f aca="false">-0.109887*(J129-I129)</f>
        <v>-395.755582829811</v>
      </c>
      <c r="K140" s="16" t="n">
        <f aca="false">-0.109887*(K129-J129)</f>
        <v>-358.878358066124</v>
      </c>
      <c r="L140" s="16" t="n">
        <f aca="false">-0.109887*(L129-K129)</f>
        <v>-234.467193936534</v>
      </c>
      <c r="M140" s="12"/>
    </row>
    <row r="141" customFormat="false" ht="15" hidden="false" customHeight="true" outlineLevel="0" collapsed="false">
      <c r="A141" s="5" t="s">
        <v>1362</v>
      </c>
      <c r="B141" s="4" t="s">
        <v>44</v>
      </c>
      <c r="C141" s="61" t="n">
        <f aca="false">C131+C133+C139+C140</f>
        <v>-228.327943811104</v>
      </c>
      <c r="D141" s="61" t="n">
        <f aca="false">D131+D133+D139+D140</f>
        <v>-611.356877220651</v>
      </c>
      <c r="E141" s="61" t="n">
        <f aca="false">E131+E133+E139+E140</f>
        <v>-1011.93656555737</v>
      </c>
      <c r="F141" s="61" t="n">
        <f aca="false">F131+F133+F139+F140</f>
        <v>-1059.71000750208</v>
      </c>
      <c r="G141" s="61" t="n">
        <f aca="false">G131+G133+G139+G140</f>
        <v>-449.550568888744</v>
      </c>
      <c r="H141" s="61" t="n">
        <f aca="false">H131+H133+H139+H140</f>
        <v>-387.692984304252</v>
      </c>
      <c r="I141" s="61" t="n">
        <f aca="false">I131+I133+I139+I140</f>
        <v>-171.951403168674</v>
      </c>
      <c r="J141" s="61" t="n">
        <f aca="false">J131+J133+J139+J140</f>
        <v>294.506715068065</v>
      </c>
      <c r="K141" s="61" t="n">
        <f aca="false">K131+K133+K139+K140</f>
        <v>1020.12091907572</v>
      </c>
      <c r="L141" s="61" t="n">
        <f aca="false">L131+L133+L139+L140</f>
        <v>1495.06640435887</v>
      </c>
      <c r="M141" s="12"/>
    </row>
    <row r="142" customFormat="false" ht="15" hidden="false" customHeight="true" outlineLevel="0" collapsed="false">
      <c r="A142" s="12" t="s">
        <v>1258</v>
      </c>
      <c r="B142" s="4" t="s">
        <v>44</v>
      </c>
      <c r="C142" s="16" t="n">
        <f aca="false">C141*C$35</f>
        <v>-203.864235545629</v>
      </c>
      <c r="D142" s="16" t="n">
        <f aca="false">D141*D$35</f>
        <v>-487.369959519013</v>
      </c>
      <c r="E142" s="16" t="n">
        <f aca="false">E141*E$35</f>
        <v>-720.276459403877</v>
      </c>
      <c r="F142" s="16" t="n">
        <f aca="false">F141*F$35</f>
        <v>-673.464867634091</v>
      </c>
      <c r="G142" s="16" t="n">
        <f aca="false">G141*G$35</f>
        <v>-255.087065791048</v>
      </c>
      <c r="H142" s="16" t="n">
        <f aca="false">H141*H$35</f>
        <v>-196.417331310644</v>
      </c>
      <c r="I142" s="16" t="n">
        <f aca="false">I141*I$35</f>
        <v>-77.7820822994273</v>
      </c>
      <c r="J142" s="16" t="n">
        <f aca="false">J141*J$35</f>
        <v>118.94632274329</v>
      </c>
      <c r="K142" s="16" t="n">
        <f aca="false">K141*K$35</f>
        <v>367.865830112127</v>
      </c>
      <c r="L142" s="16" t="n">
        <f aca="false">L141*L$35</f>
        <v>481.371369129438</v>
      </c>
      <c r="M142" s="12"/>
    </row>
    <row r="143" customFormat="false" ht="15" hidden="false" customHeight="true" outlineLevel="0" collapsed="false">
      <c r="A143" s="12" t="s">
        <v>1363</v>
      </c>
      <c r="B143" s="4" t="s">
        <v>44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6" t="n">
        <f aca="false">IF(MIN($C$122,L132)&gt;$C$12,L129*(1+$C$7)*(MIN($C$122,L132)-$C$12)*(1-$C$13)*(1-$C$7/$C$49)/($C$6-$C$7),0)</f>
        <v>18031.9551521378</v>
      </c>
      <c r="M143" s="4" t="s">
        <v>1364</v>
      </c>
    </row>
    <row r="144" customFormat="false" ht="15" hidden="false" customHeight="true" outlineLevel="0" collapsed="false">
      <c r="A144" s="5" t="s">
        <v>1365</v>
      </c>
      <c r="B144" s="4" t="s">
        <v>44</v>
      </c>
      <c r="C144" s="52" t="n">
        <f aca="false">SUM(C142:L142)+L143*L$35</f>
        <v>4159.72848287321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customFormat="false" ht="15" hidden="false" customHeight="true" outlineLevel="0" collapsed="false">
      <c r="A145" s="5" t="s">
        <v>1366</v>
      </c>
      <c r="B145" s="4" t="s">
        <v>44</v>
      </c>
      <c r="C145" s="52" t="n">
        <f aca="false">SUMPRODUCT(--($C$19:$L$19&lt;=$C$124),C142:L142)</f>
        <v>-691.234195064642</v>
      </c>
      <c r="D145" s="12"/>
      <c r="E145" s="12"/>
      <c r="F145" s="12"/>
      <c r="G145" s="12"/>
      <c r="H145" s="12"/>
      <c r="I145" s="12"/>
      <c r="J145" s="12"/>
      <c r="K145" s="12"/>
      <c r="L145" s="12"/>
      <c r="M145" s="12"/>
    </row>
    <row r="146" customFormat="false" ht="15" hidden="false" customHeight="true" outlineLevel="0" collapsed="false">
      <c r="A146" s="5" t="s">
        <v>1367</v>
      </c>
      <c r="B146" s="4" t="s">
        <v>44</v>
      </c>
      <c r="C146" s="66" t="n">
        <f aca="false">MAX(C144,C145)</f>
        <v>4159.72848287321</v>
      </c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customFormat="false" ht="15" hidden="false" customHeight="tru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</row>
    <row r="148" customFormat="false" ht="15" hidden="false" customHeight="true" outlineLevel="0" collapsed="false">
      <c r="A148" s="10" t="s">
        <v>1368</v>
      </c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</row>
    <row r="149" customFormat="false" ht="15" hidden="false" customHeight="true" outlineLevel="0" collapsed="false">
      <c r="A149" s="80" t="s">
        <v>44</v>
      </c>
      <c r="B149" s="80" t="s">
        <v>42</v>
      </c>
      <c r="C149" s="80" t="str">
        <f aca="false">C$18</f>
        <v>FY27</v>
      </c>
      <c r="D149" s="80" t="str">
        <f aca="false">D$18</f>
        <v>FY28</v>
      </c>
      <c r="E149" s="80" t="str">
        <f aca="false">E$18</f>
        <v>FY29</v>
      </c>
      <c r="F149" s="80" t="str">
        <f aca="false">F$18</f>
        <v>FY30</v>
      </c>
      <c r="G149" s="80" t="str">
        <f aca="false">G$18</f>
        <v>FY31</v>
      </c>
      <c r="H149" s="80" t="str">
        <f aca="false">H$18</f>
        <v>FY32</v>
      </c>
      <c r="I149" s="80" t="str">
        <f aca="false">I$18</f>
        <v>FY33</v>
      </c>
      <c r="J149" s="80" t="str">
        <f aca="false">J$18</f>
        <v>FY34</v>
      </c>
      <c r="K149" s="80" t="str">
        <f aca="false">K$18</f>
        <v>FY35</v>
      </c>
      <c r="L149" s="80" t="str">
        <f aca="false">L$18</f>
        <v>FY36</v>
      </c>
      <c r="M149" s="12"/>
    </row>
    <row r="150" customFormat="false" ht="15" hidden="false" customHeight="true" outlineLevel="0" collapsed="false">
      <c r="A150" s="12" t="s">
        <v>43</v>
      </c>
      <c r="B150" s="4" t="s">
        <v>44</v>
      </c>
      <c r="C150" s="45" t="n">
        <v>28.6376248328144</v>
      </c>
      <c r="D150" s="45" t="n">
        <v>478.845035099508</v>
      </c>
      <c r="E150" s="45" t="n">
        <v>2411.14780337274</v>
      </c>
      <c r="F150" s="45" t="n">
        <v>7026.31622245338</v>
      </c>
      <c r="G150" s="45" t="n">
        <v>15092.9719681828</v>
      </c>
      <c r="H150" s="16" t="n">
        <f aca="false">G150*(1+H151)</f>
        <v>16753.1988846829</v>
      </c>
      <c r="I150" s="16" t="n">
        <f aca="false">H150*(1+I151)</f>
        <v>18637.9337592097</v>
      </c>
      <c r="J150" s="16" t="n">
        <f aca="false">I150*(1+J151)</f>
        <v>20781.2961415189</v>
      </c>
      <c r="K150" s="16" t="n">
        <f aca="false">J150*(1+K151)</f>
        <v>23223.0984381473</v>
      </c>
      <c r="L150" s="16" t="n">
        <f aca="false">K150*(1+L151)</f>
        <v>26009.870250725</v>
      </c>
      <c r="M150" s="12"/>
    </row>
    <row r="151" customFormat="false" ht="15" hidden="false" customHeight="true" outlineLevel="0" collapsed="false">
      <c r="A151" s="12" t="s">
        <v>45</v>
      </c>
      <c r="B151" s="4" t="s">
        <v>46</v>
      </c>
      <c r="C151" s="81"/>
      <c r="D151" s="17" t="n">
        <f aca="false">IFERROR(D150/C150-1,0)</f>
        <v>15.7208362388638</v>
      </c>
      <c r="E151" s="17" t="n">
        <f aca="false">IFERROR(E150/D150-1,0)</f>
        <v>4.03534051025857</v>
      </c>
      <c r="F151" s="17" t="n">
        <f aca="false">IFERROR(F150/E150-1,0)</f>
        <v>1.91409602207915</v>
      </c>
      <c r="G151" s="17" t="n">
        <f aca="false">IFERROR(G150/F150-1,0)</f>
        <v>1.14806329381412</v>
      </c>
      <c r="H151" s="17" t="n">
        <f aca="false">$D$120+($D$121-$D$120)*(H$19-6)/4</f>
        <v>0.11</v>
      </c>
      <c r="I151" s="17" t="n">
        <f aca="false">$D$120+($D$121-$D$120)*(I$19-6)/4</f>
        <v>0.1125</v>
      </c>
      <c r="J151" s="17" t="n">
        <f aca="false">$D$120+($D$121-$D$120)*(J$19-6)/4</f>
        <v>0.115</v>
      </c>
      <c r="K151" s="17" t="n">
        <f aca="false">$D$120+($D$121-$D$120)*(K$19-6)/4</f>
        <v>0.1175</v>
      </c>
      <c r="L151" s="17" t="n">
        <f aca="false">$D$120+($D$121-$D$120)*(L$19-6)/4</f>
        <v>0.12</v>
      </c>
      <c r="M151" s="12"/>
    </row>
    <row r="152" customFormat="false" ht="15" hidden="false" customHeight="true" outlineLevel="0" collapsed="false">
      <c r="A152" s="12" t="s">
        <v>54</v>
      </c>
      <c r="B152" s="4" t="s">
        <v>44</v>
      </c>
      <c r="C152" s="45" t="n">
        <v>-203.334994231797</v>
      </c>
      <c r="D152" s="45" t="n">
        <v>-349.499344848053</v>
      </c>
      <c r="E152" s="45" t="n">
        <v>354.794061464275</v>
      </c>
      <c r="F152" s="45" t="n">
        <v>3061.34250288065</v>
      </c>
      <c r="G152" s="45" t="n">
        <v>8786.09553021468</v>
      </c>
      <c r="H152" s="16" t="n">
        <f aca="false">H150*H153</f>
        <v>9249.97007199781</v>
      </c>
      <c r="I152" s="16" t="n">
        <f aca="false">I150*I153</f>
        <v>9731.45369232127</v>
      </c>
      <c r="J152" s="16" t="n">
        <f aca="false">J150*J153</f>
        <v>10227.1319826926</v>
      </c>
      <c r="K152" s="16" t="n">
        <f aca="false">K150*K153</f>
        <v>10732.1270375146</v>
      </c>
      <c r="L152" s="16" t="n">
        <f aca="false">L150*L153</f>
        <v>11239.6861744946</v>
      </c>
      <c r="M152" s="12"/>
    </row>
    <row r="153" customFormat="false" ht="15" hidden="false" customHeight="true" outlineLevel="0" collapsed="false">
      <c r="A153" s="12" t="s">
        <v>55</v>
      </c>
      <c r="B153" s="4" t="s">
        <v>46</v>
      </c>
      <c r="C153" s="17" t="n">
        <f aca="false">IFERROR(C152/C150,0)</f>
        <v>-7.10027439142948</v>
      </c>
      <c r="D153" s="17" t="n">
        <f aca="false">IFERROR(D152/D150,0)</f>
        <v>-0.7298798551298</v>
      </c>
      <c r="E153" s="17" t="n">
        <f aca="false">IFERROR(E152/E150,0)</f>
        <v>0.147147371458517</v>
      </c>
      <c r="F153" s="17" t="n">
        <f aca="false">IFERROR(F152/F150,0)</f>
        <v>0.435696658954487</v>
      </c>
      <c r="G153" s="17" t="n">
        <f aca="false">IFERROR(G152/G150,0)</f>
        <v>0.582131574135066</v>
      </c>
      <c r="H153" s="17" t="n">
        <f aca="false">G153+MAX(-$D$123,MIN($D$123,$D$122-G153))</f>
        <v>0.552131574135066</v>
      </c>
      <c r="I153" s="17" t="n">
        <f aca="false">H153+MAX(-$D$123,MIN($D$123,$D$122-H153))</f>
        <v>0.522131574135066</v>
      </c>
      <c r="J153" s="17" t="n">
        <f aca="false">I153+MAX(-$D$123,MIN($D$123,$D$122-I153))</f>
        <v>0.492131574135066</v>
      </c>
      <c r="K153" s="17" t="n">
        <f aca="false">J153+MAX(-$D$123,MIN($D$123,$D$122-J153))</f>
        <v>0.462131574135066</v>
      </c>
      <c r="L153" s="17" t="n">
        <f aca="false">K153+MAX(-$D$123,MIN($D$123,$D$122-K153))</f>
        <v>0.432131574135066</v>
      </c>
      <c r="M153" s="12"/>
    </row>
    <row r="154" customFormat="false" ht="15" hidden="false" customHeight="true" outlineLevel="0" collapsed="false">
      <c r="A154" s="12" t="s">
        <v>771</v>
      </c>
      <c r="B154" s="4" t="s">
        <v>44</v>
      </c>
      <c r="C154" s="45" t="n">
        <v>-23.2</v>
      </c>
      <c r="D154" s="45" t="n">
        <v>-16.8</v>
      </c>
      <c r="E154" s="45" t="n">
        <v>-33.6</v>
      </c>
      <c r="F154" s="45" t="n">
        <v>-42</v>
      </c>
      <c r="G154" s="45" t="n">
        <v>-48</v>
      </c>
      <c r="H154" s="16" t="n">
        <f aca="false">-H150*$C$12</f>
        <v>-167.531988846829</v>
      </c>
      <c r="I154" s="16" t="n">
        <f aca="false">-I150*$C$12</f>
        <v>-186.379337592097</v>
      </c>
      <c r="J154" s="16" t="n">
        <f aca="false">-J150*$C$12</f>
        <v>-207.812961415189</v>
      </c>
      <c r="K154" s="16" t="n">
        <f aca="false">-K150*$C$12</f>
        <v>-232.230984381473</v>
      </c>
      <c r="L154" s="16" t="n">
        <f aca="false">-L150*$C$12</f>
        <v>-260.09870250725</v>
      </c>
      <c r="M154" s="12"/>
    </row>
    <row r="155" customFormat="false" ht="15" hidden="false" customHeight="true" outlineLevel="0" collapsed="false">
      <c r="A155" s="12" t="s">
        <v>759</v>
      </c>
      <c r="B155" s="4" t="s">
        <v>44</v>
      </c>
      <c r="C155" s="45" t="n">
        <v>-6.17777777777778</v>
      </c>
      <c r="D155" s="45" t="n">
        <v>-12.5</v>
      </c>
      <c r="E155" s="45" t="n">
        <v>-21.3666666666667</v>
      </c>
      <c r="F155" s="45" t="n">
        <v>-28.0222222222222</v>
      </c>
      <c r="G155" s="45" t="n">
        <v>-36.9666666666667</v>
      </c>
      <c r="H155" s="16" t="n">
        <f aca="false">H154</f>
        <v>-167.531988846829</v>
      </c>
      <c r="I155" s="16" t="n">
        <f aca="false">I154</f>
        <v>-186.379337592097</v>
      </c>
      <c r="J155" s="16" t="n">
        <f aca="false">J154</f>
        <v>-207.812961415189</v>
      </c>
      <c r="K155" s="16" t="n">
        <f aca="false">K154</f>
        <v>-232.230984381473</v>
      </c>
      <c r="L155" s="16" t="n">
        <f aca="false">L154</f>
        <v>-260.09870250725</v>
      </c>
      <c r="M155" s="12"/>
    </row>
    <row r="156" customFormat="false" ht="15" hidden="false" customHeight="true" outlineLevel="0" collapsed="false">
      <c r="A156" s="12" t="s">
        <v>760</v>
      </c>
      <c r="B156" s="4" t="s">
        <v>44</v>
      </c>
      <c r="C156" s="16" t="n">
        <f aca="false">C152+C155</f>
        <v>-209.512772009575</v>
      </c>
      <c r="D156" s="16" t="n">
        <f aca="false">D152+D155</f>
        <v>-361.999344848053</v>
      </c>
      <c r="E156" s="16" t="n">
        <f aca="false">E152+E155</f>
        <v>333.427394797608</v>
      </c>
      <c r="F156" s="16" t="n">
        <f aca="false">F152+F155</f>
        <v>3033.32028065843</v>
      </c>
      <c r="G156" s="16" t="n">
        <f aca="false">G152+G155</f>
        <v>8749.12886354801</v>
      </c>
      <c r="H156" s="16" t="n">
        <f aca="false">H152+H155</f>
        <v>9082.43808315098</v>
      </c>
      <c r="I156" s="16" t="n">
        <f aca="false">I152+I155</f>
        <v>9545.07435472917</v>
      </c>
      <c r="J156" s="16" t="n">
        <f aca="false">J152+J155</f>
        <v>10019.3190212775</v>
      </c>
      <c r="K156" s="16" t="n">
        <f aca="false">K152+K155</f>
        <v>10499.8960531331</v>
      </c>
      <c r="L156" s="16" t="n">
        <f aca="false">L152+L155</f>
        <v>10979.5874719874</v>
      </c>
      <c r="M156" s="12"/>
    </row>
    <row r="157" customFormat="false" ht="15" hidden="false" customHeight="true" outlineLevel="0" collapsed="false">
      <c r="A157" s="12" t="s">
        <v>1360</v>
      </c>
      <c r="B157" s="4" t="s">
        <v>44</v>
      </c>
      <c r="C157" s="45"/>
      <c r="D157" s="45"/>
      <c r="E157" s="45"/>
      <c r="F157" s="45"/>
      <c r="G157" s="45"/>
      <c r="H157" s="16" t="n">
        <f aca="false">MAX(0,-11544.3644)</f>
        <v>0</v>
      </c>
      <c r="I157" s="16" t="n">
        <f aca="false">H159</f>
        <v>0</v>
      </c>
      <c r="J157" s="16" t="n">
        <f aca="false">I159</f>
        <v>0</v>
      </c>
      <c r="K157" s="16" t="n">
        <f aca="false">J159</f>
        <v>0</v>
      </c>
      <c r="L157" s="16" t="n">
        <f aca="false">K159</f>
        <v>0</v>
      </c>
      <c r="M157" s="12"/>
    </row>
    <row r="158" customFormat="false" ht="15" hidden="false" customHeight="true" outlineLevel="0" collapsed="false">
      <c r="A158" s="12" t="s">
        <v>1248</v>
      </c>
      <c r="B158" s="4" t="s">
        <v>44</v>
      </c>
      <c r="C158" s="45"/>
      <c r="D158" s="45"/>
      <c r="E158" s="45"/>
      <c r="F158" s="45"/>
      <c r="G158" s="45"/>
      <c r="H158" s="16" t="n">
        <f aca="false">MIN(H157,MAX(0,H156))</f>
        <v>0</v>
      </c>
      <c r="I158" s="16" t="n">
        <f aca="false">MIN(I157,MAX(0,I156))</f>
        <v>0</v>
      </c>
      <c r="J158" s="16" t="n">
        <f aca="false">MIN(J157,MAX(0,J156))</f>
        <v>0</v>
      </c>
      <c r="K158" s="16" t="n">
        <f aca="false">MIN(K157,MAX(0,K156))</f>
        <v>0</v>
      </c>
      <c r="L158" s="16" t="n">
        <f aca="false">MIN(L157,MAX(0,L156))</f>
        <v>0</v>
      </c>
      <c r="M158" s="12"/>
    </row>
    <row r="159" customFormat="false" ht="15" hidden="false" customHeight="true" outlineLevel="0" collapsed="false">
      <c r="A159" s="12" t="s">
        <v>1361</v>
      </c>
      <c r="B159" s="4" t="s">
        <v>44</v>
      </c>
      <c r="C159" s="45"/>
      <c r="D159" s="45"/>
      <c r="E159" s="45"/>
      <c r="F159" s="45"/>
      <c r="G159" s="45"/>
      <c r="H159" s="16" t="n">
        <f aca="false">H157-H158</f>
        <v>0</v>
      </c>
      <c r="I159" s="16" t="n">
        <f aca="false">I157-I158</f>
        <v>0</v>
      </c>
      <c r="J159" s="16" t="n">
        <f aca="false">J157-J158</f>
        <v>0</v>
      </c>
      <c r="K159" s="16" t="n">
        <f aca="false">K157-K158</f>
        <v>0</v>
      </c>
      <c r="L159" s="16" t="n">
        <f aca="false">L157-L158</f>
        <v>0</v>
      </c>
      <c r="M159" s="12"/>
    </row>
    <row r="160" customFormat="false" ht="15" hidden="false" customHeight="true" outlineLevel="0" collapsed="false">
      <c r="A160" s="12" t="s">
        <v>769</v>
      </c>
      <c r="B160" s="4" t="s">
        <v>44</v>
      </c>
      <c r="C160" s="45" t="n">
        <v>0</v>
      </c>
      <c r="D160" s="45" t="n">
        <v>0</v>
      </c>
      <c r="E160" s="45" t="n">
        <v>0</v>
      </c>
      <c r="F160" s="45" t="n">
        <v>-703.504885388048</v>
      </c>
      <c r="G160" s="45" t="n">
        <v>-2201.98075237776</v>
      </c>
      <c r="H160" s="16" t="n">
        <f aca="false">-(MAX(0,H156)-H158)*$C$13</f>
        <v>-2285.86801676744</v>
      </c>
      <c r="I160" s="16" t="n">
        <f aca="false">-(MAX(0,I156)-I158)*$C$13</f>
        <v>-2402.30431359824</v>
      </c>
      <c r="J160" s="16" t="n">
        <f aca="false">-(MAX(0,J156)-J158)*$C$13</f>
        <v>-2521.66221127511</v>
      </c>
      <c r="K160" s="16" t="n">
        <f aca="false">-(MAX(0,K156)-K158)*$C$13</f>
        <v>-2642.61383865255</v>
      </c>
      <c r="L160" s="16" t="n">
        <f aca="false">-(MAX(0,L156)-L158)*$C$13</f>
        <v>-2763.34257494978</v>
      </c>
      <c r="M160" s="12"/>
    </row>
    <row r="161" customFormat="false" ht="15" hidden="false" customHeight="true" outlineLevel="0" collapsed="false">
      <c r="A161" s="12" t="s">
        <v>1251</v>
      </c>
      <c r="B161" s="4" t="s">
        <v>44</v>
      </c>
      <c r="C161" s="45" t="n">
        <v>2.72888142720782</v>
      </c>
      <c r="D161" s="45" t="n">
        <v>-28.6026382535269</v>
      </c>
      <c r="E161" s="45" t="n">
        <v>-58.9732211969285</v>
      </c>
      <c r="F161" s="45" t="n">
        <v>-84.4401334991477</v>
      </c>
      <c r="G161" s="45" t="n">
        <v>-96.0547543676257</v>
      </c>
      <c r="H161" s="16" t="n">
        <f aca="false">-0.01758*(H150-G150)</f>
        <v>-29.1867891920719</v>
      </c>
      <c r="I161" s="16" t="n">
        <f aca="false">-0.01758*(I150-H150)</f>
        <v>-33.1336390941816</v>
      </c>
      <c r="J161" s="16" t="n">
        <f aca="false">-0.01758*(J150-I150)</f>
        <v>-37.6803106809943</v>
      </c>
      <c r="K161" s="16" t="n">
        <f aca="false">-0.01758*(K150-J150)</f>
        <v>-42.9268843747284</v>
      </c>
      <c r="L161" s="16" t="n">
        <f aca="false">-0.01758*(L150-K150)</f>
        <v>-48.9914484651156</v>
      </c>
      <c r="M161" s="12"/>
    </row>
    <row r="162" customFormat="false" ht="15" hidden="false" customHeight="true" outlineLevel="0" collapsed="false">
      <c r="A162" s="5" t="s">
        <v>1362</v>
      </c>
      <c r="B162" s="4" t="s">
        <v>44</v>
      </c>
      <c r="C162" s="61" t="n">
        <f aca="false">C152+C154+C160+C161</f>
        <v>-223.806112804589</v>
      </c>
      <c r="D162" s="61" t="n">
        <f aca="false">D152+D154+D160+D161</f>
        <v>-394.90198310158</v>
      </c>
      <c r="E162" s="61" t="n">
        <f aca="false">E152+E154+E160+E161</f>
        <v>262.220840267347</v>
      </c>
      <c r="F162" s="61" t="n">
        <f aca="false">F152+F154+F160+F161</f>
        <v>2231.39748399345</v>
      </c>
      <c r="G162" s="61" t="n">
        <f aca="false">G152+G154+G160+G161</f>
        <v>6440.06002346929</v>
      </c>
      <c r="H162" s="61" t="n">
        <f aca="false">H152+H154+H160+H161</f>
        <v>6767.38327719147</v>
      </c>
      <c r="I162" s="61" t="n">
        <f aca="false">I152+I154+I160+I161</f>
        <v>7109.63640203675</v>
      </c>
      <c r="J162" s="61" t="n">
        <f aca="false">J152+J154+J160+J161</f>
        <v>7459.97649932135</v>
      </c>
      <c r="K162" s="61" t="n">
        <f aca="false">K152+K154+K160+K161</f>
        <v>7814.35533010586</v>
      </c>
      <c r="L162" s="61" t="n">
        <f aca="false">L152+L154+L160+L161</f>
        <v>8167.25344857247</v>
      </c>
      <c r="M162" s="12"/>
    </row>
    <row r="163" customFormat="false" ht="15" hidden="false" customHeight="true" outlineLevel="0" collapsed="false">
      <c r="A163" s="12" t="s">
        <v>1258</v>
      </c>
      <c r="B163" s="4" t="s">
        <v>44</v>
      </c>
      <c r="C163" s="16" t="n">
        <f aca="false">C162*C$35</f>
        <v>-199.826886432669</v>
      </c>
      <c r="D163" s="16" t="n">
        <f aca="false">D162*D$35</f>
        <v>-314.813443161336</v>
      </c>
      <c r="E163" s="16" t="n">
        <f aca="false">E162*E$35</f>
        <v>186.643614667333</v>
      </c>
      <c r="F163" s="16" t="n">
        <f aca="false">F162*F$35</f>
        <v>1418.0934411849</v>
      </c>
      <c r="G163" s="16" t="n">
        <f aca="false">G162*G$35</f>
        <v>3654.26300975623</v>
      </c>
      <c r="H163" s="16" t="n">
        <f aca="false">H162*H$35</f>
        <v>3428.56697716016</v>
      </c>
      <c r="I163" s="16" t="n">
        <f aca="false">I162*I$35</f>
        <v>3216.03844779194</v>
      </c>
      <c r="J163" s="16" t="n">
        <f aca="false">J162*J$35</f>
        <v>3012.95938919614</v>
      </c>
      <c r="K163" s="16" t="n">
        <f aca="false">K162*K$35</f>
        <v>2817.93487080441</v>
      </c>
      <c r="L163" s="16" t="n">
        <f aca="false">L162*L$35</f>
        <v>2629.6370268934</v>
      </c>
      <c r="M163" s="12"/>
    </row>
    <row r="164" customFormat="false" ht="15" hidden="false" customHeight="true" outlineLevel="0" collapsed="false">
      <c r="A164" s="12" t="s">
        <v>1363</v>
      </c>
      <c r="B164" s="4" t="s">
        <v>44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6" t="n">
        <f aca="false">IF(MIN($D$122,L153)&gt;$C$12,L150*(1+$C$7)*(MIN($D$122,L153)-$C$12)*(1-$C$13)*(1-$C$7/$C$49)/($C$6-$C$7),0)</f>
        <v>52552.0064862608</v>
      </c>
      <c r="M164" s="4" t="s">
        <v>1364</v>
      </c>
    </row>
    <row r="165" customFormat="false" ht="15" hidden="false" customHeight="true" outlineLevel="0" collapsed="false">
      <c r="A165" s="5" t="s">
        <v>1365</v>
      </c>
      <c r="B165" s="4" t="s">
        <v>44</v>
      </c>
      <c r="C165" s="52" t="n">
        <f aca="false">SUM(C163:L163)+L164*L$35</f>
        <v>36769.8360655772</v>
      </c>
      <c r="D165" s="12"/>
      <c r="E165" s="12"/>
      <c r="F165" s="12"/>
      <c r="G165" s="12"/>
      <c r="H165" s="12"/>
      <c r="I165" s="12"/>
      <c r="J165" s="12"/>
      <c r="K165" s="12"/>
      <c r="L165" s="12"/>
      <c r="M165" s="12"/>
    </row>
    <row r="166" customFormat="false" ht="15" hidden="false" customHeight="true" outlineLevel="0" collapsed="false">
      <c r="A166" s="5" t="s">
        <v>1366</v>
      </c>
      <c r="B166" s="4" t="s">
        <v>44</v>
      </c>
      <c r="C166" s="52" t="n">
        <f aca="false">SUMPRODUCT(--($C$19:$L$19&lt;=$C$124),C163:L163)</f>
        <v>-514.640329594005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customFormat="false" ht="15" hidden="false" customHeight="true" outlineLevel="0" collapsed="false">
      <c r="A167" s="5" t="s">
        <v>1367</v>
      </c>
      <c r="B167" s="4" t="s">
        <v>44</v>
      </c>
      <c r="C167" s="66" t="n">
        <f aca="false">MAX(C165,C166)</f>
        <v>36769.8360655772</v>
      </c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customFormat="false" ht="15" hidden="false" customHeight="tru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customFormat="false" ht="15" hidden="false" customHeight="true" outlineLevel="0" collapsed="false">
      <c r="A169" s="10" t="s">
        <v>1369</v>
      </c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</row>
    <row r="170" customFormat="false" ht="15" hidden="false" customHeight="true" outlineLevel="0" collapsed="false">
      <c r="A170" s="80" t="s">
        <v>44</v>
      </c>
      <c r="B170" s="80" t="s">
        <v>42</v>
      </c>
      <c r="C170" s="80" t="str">
        <f aca="false">C$18</f>
        <v>FY27</v>
      </c>
      <c r="D170" s="80" t="str">
        <f aca="false">D$18</f>
        <v>FY28</v>
      </c>
      <c r="E170" s="80" t="str">
        <f aca="false">E$18</f>
        <v>FY29</v>
      </c>
      <c r="F170" s="80" t="str">
        <f aca="false">F$18</f>
        <v>FY30</v>
      </c>
      <c r="G170" s="80" t="str">
        <f aca="false">G$18</f>
        <v>FY31</v>
      </c>
      <c r="H170" s="80" t="str">
        <f aca="false">H$18</f>
        <v>FY32</v>
      </c>
      <c r="I170" s="80" t="str">
        <f aca="false">I$18</f>
        <v>FY33</v>
      </c>
      <c r="J170" s="80" t="str">
        <f aca="false">J$18</f>
        <v>FY34</v>
      </c>
      <c r="K170" s="80" t="str">
        <f aca="false">K$18</f>
        <v>FY35</v>
      </c>
      <c r="L170" s="80" t="str">
        <f aca="false">L$18</f>
        <v>FY36</v>
      </c>
      <c r="M170" s="12"/>
    </row>
    <row r="171" customFormat="false" ht="15" hidden="false" customHeight="true" outlineLevel="0" collapsed="false">
      <c r="A171" s="12" t="s">
        <v>43</v>
      </c>
      <c r="B171" s="4" t="s">
        <v>44</v>
      </c>
      <c r="C171" s="45" t="n">
        <v>86.7363004605702</v>
      </c>
      <c r="D171" s="45" t="n">
        <v>1165.75386543806</v>
      </c>
      <c r="E171" s="45" t="n">
        <v>5116.49142560355</v>
      </c>
      <c r="F171" s="45" t="n">
        <v>14436.8009881391</v>
      </c>
      <c r="G171" s="45" t="n">
        <v>31192.8444787127</v>
      </c>
      <c r="H171" s="16" t="n">
        <f aca="false">G171*(1+H172)</f>
        <v>49284.6942763661</v>
      </c>
      <c r="I171" s="16" t="n">
        <f aca="false">H171*(1+I172)</f>
        <v>72202.0771148763</v>
      </c>
      <c r="J171" s="16" t="n">
        <f aca="false">I171*(1+J172)</f>
        <v>97472.804105083</v>
      </c>
      <c r="K171" s="16" t="n">
        <f aca="false">J171*(1+K172)</f>
        <v>120378.913069777</v>
      </c>
      <c r="L171" s="16" t="n">
        <f aca="false">K171*(1+L172)</f>
        <v>134824.382638151</v>
      </c>
      <c r="M171" s="12"/>
    </row>
    <row r="172" customFormat="false" ht="15" hidden="false" customHeight="true" outlineLevel="0" collapsed="false">
      <c r="A172" s="12" t="s">
        <v>45</v>
      </c>
      <c r="B172" s="4" t="s">
        <v>46</v>
      </c>
      <c r="C172" s="81"/>
      <c r="D172" s="17" t="n">
        <f aca="false">IFERROR(D171/C171-1,0)</f>
        <v>12.4402073785474</v>
      </c>
      <c r="E172" s="17" t="n">
        <f aca="false">IFERROR(E171/D171-1,0)</f>
        <v>3.38899803577396</v>
      </c>
      <c r="F172" s="17" t="n">
        <f aca="false">IFERROR(F171/E171-1,0)</f>
        <v>1.82162126098669</v>
      </c>
      <c r="G172" s="17" t="n">
        <f aca="false">IFERROR(G171/F171-1,0)</f>
        <v>1.16064795132522</v>
      </c>
      <c r="H172" s="17" t="n">
        <f aca="false">$E$120+($E$121-$E$120)*(H$19-6)/4</f>
        <v>0.58</v>
      </c>
      <c r="I172" s="17" t="n">
        <f aca="false">$E$120+($E$121-$E$120)*(I$19-6)/4</f>
        <v>0.465</v>
      </c>
      <c r="J172" s="17" t="n">
        <f aca="false">$E$120+($E$121-$E$120)*(J$19-6)/4</f>
        <v>0.35</v>
      </c>
      <c r="K172" s="17" t="n">
        <f aca="false">$E$120+($E$121-$E$120)*(K$19-6)/4</f>
        <v>0.235</v>
      </c>
      <c r="L172" s="17" t="n">
        <f aca="false">$E$120+($E$121-$E$120)*(L$19-6)/4</f>
        <v>0.12</v>
      </c>
      <c r="M172" s="12"/>
    </row>
    <row r="173" customFormat="false" ht="15" hidden="false" customHeight="true" outlineLevel="0" collapsed="false">
      <c r="A173" s="12" t="s">
        <v>54</v>
      </c>
      <c r="B173" s="4" t="s">
        <v>44</v>
      </c>
      <c r="C173" s="45" t="n">
        <v>-181.075923304164</v>
      </c>
      <c r="D173" s="45" t="n">
        <v>156.552127602689</v>
      </c>
      <c r="E173" s="45" t="n">
        <v>2652.23962040901</v>
      </c>
      <c r="F173" s="45" t="n">
        <v>9730.18639892915</v>
      </c>
      <c r="G173" s="45" t="n">
        <v>23770.2690890305</v>
      </c>
      <c r="H173" s="16" t="n">
        <f aca="false">H171*H174</f>
        <v>36078.4843323772</v>
      </c>
      <c r="I173" s="16" t="n">
        <f aca="false">I171*I174</f>
        <v>50688.9172334863</v>
      </c>
      <c r="J173" s="16" t="n">
        <f aca="false">J171*J174</f>
        <v>65505.854142054</v>
      </c>
      <c r="K173" s="16" t="n">
        <f aca="false">K171*K174</f>
        <v>77288.3624733434</v>
      </c>
      <c r="L173" s="16" t="n">
        <f aca="false">L171*L174</f>
        <v>82518.2344910001</v>
      </c>
      <c r="M173" s="12"/>
    </row>
    <row r="174" customFormat="false" ht="15" hidden="false" customHeight="true" outlineLevel="0" collapsed="false">
      <c r="A174" s="12" t="s">
        <v>55</v>
      </c>
      <c r="B174" s="4" t="s">
        <v>46</v>
      </c>
      <c r="C174" s="17" t="n">
        <f aca="false">IFERROR(C173/C171,0)</f>
        <v>-2.08766021080735</v>
      </c>
      <c r="D174" s="17" t="n">
        <f aca="false">IFERROR(D173/D171,0)</f>
        <v>0.134292608623571</v>
      </c>
      <c r="E174" s="17" t="n">
        <f aca="false">IFERROR(E173/E171,0)</f>
        <v>0.518370773991114</v>
      </c>
      <c r="F174" s="17" t="n">
        <f aca="false">IFERROR(F173/F171,0)</f>
        <v>0.673984936616029</v>
      </c>
      <c r="G174" s="17" t="n">
        <f aca="false">IFERROR(G173/G171,0)</f>
        <v>0.762042368571174</v>
      </c>
      <c r="H174" s="17" t="n">
        <f aca="false">G174+MAX(-$E$123,MIN($E$123,$E$122-G174))</f>
        <v>0.732042368571174</v>
      </c>
      <c r="I174" s="17" t="n">
        <f aca="false">H174+MAX(-$E$123,MIN($E$123,$E$122-H174))</f>
        <v>0.702042368571174</v>
      </c>
      <c r="J174" s="17" t="n">
        <f aca="false">I174+MAX(-$E$123,MIN($E$123,$E$122-I174))</f>
        <v>0.672042368571174</v>
      </c>
      <c r="K174" s="17" t="n">
        <f aca="false">J174+MAX(-$E$123,MIN($E$123,$E$122-J174))</f>
        <v>0.642042368571174</v>
      </c>
      <c r="L174" s="17" t="n">
        <f aca="false">K174+MAX(-$E$123,MIN($E$123,$E$122-K174))</f>
        <v>0.612042368571174</v>
      </c>
      <c r="M174" s="12"/>
    </row>
    <row r="175" customFormat="false" ht="15" hidden="false" customHeight="true" outlineLevel="0" collapsed="false">
      <c r="A175" s="12" t="s">
        <v>771</v>
      </c>
      <c r="B175" s="4" t="s">
        <v>44</v>
      </c>
      <c r="C175" s="45" t="n">
        <v>-24.4</v>
      </c>
      <c r="D175" s="45" t="n">
        <v>-19.2</v>
      </c>
      <c r="E175" s="45" t="n">
        <v>-34.8</v>
      </c>
      <c r="F175" s="45" t="n">
        <v>-46.8</v>
      </c>
      <c r="G175" s="45" t="n">
        <v>-55.2</v>
      </c>
      <c r="H175" s="16" t="n">
        <f aca="false">-H171*$C$12</f>
        <v>-492.846942763661</v>
      </c>
      <c r="I175" s="16" t="n">
        <f aca="false">-I171*$C$12</f>
        <v>-722.020771148763</v>
      </c>
      <c r="J175" s="16" t="n">
        <f aca="false">-J171*$C$12</f>
        <v>-974.72804105083</v>
      </c>
      <c r="K175" s="16" t="n">
        <f aca="false">-K171*$C$12</f>
        <v>-1203.78913069778</v>
      </c>
      <c r="L175" s="16" t="n">
        <f aca="false">-L171*$C$12</f>
        <v>-1348.24382638151</v>
      </c>
      <c r="M175" s="12"/>
    </row>
    <row r="176" customFormat="false" ht="15" hidden="false" customHeight="true" outlineLevel="0" collapsed="false">
      <c r="A176" s="12" t="s">
        <v>759</v>
      </c>
      <c r="B176" s="4" t="s">
        <v>44</v>
      </c>
      <c r="C176" s="45" t="n">
        <v>-6.37777777777778</v>
      </c>
      <c r="D176" s="45" t="n">
        <v>-12.9</v>
      </c>
      <c r="E176" s="45" t="n">
        <v>-22.6333333333333</v>
      </c>
      <c r="F176" s="45" t="n">
        <v>-30.3888888888889</v>
      </c>
      <c r="G176" s="45" t="n">
        <v>-41.1333333333333</v>
      </c>
      <c r="H176" s="16" t="n">
        <f aca="false">H175</f>
        <v>-492.846942763661</v>
      </c>
      <c r="I176" s="16" t="n">
        <f aca="false">I175</f>
        <v>-722.020771148763</v>
      </c>
      <c r="J176" s="16" t="n">
        <f aca="false">J175</f>
        <v>-974.72804105083</v>
      </c>
      <c r="K176" s="16" t="n">
        <f aca="false">K175</f>
        <v>-1203.78913069778</v>
      </c>
      <c r="L176" s="16" t="n">
        <f aca="false">L175</f>
        <v>-1348.24382638151</v>
      </c>
      <c r="M176" s="12"/>
    </row>
    <row r="177" customFormat="false" ht="15" hidden="false" customHeight="true" outlineLevel="0" collapsed="false">
      <c r="A177" s="12" t="s">
        <v>760</v>
      </c>
      <c r="B177" s="4" t="s">
        <v>44</v>
      </c>
      <c r="C177" s="16" t="n">
        <f aca="false">C173+C176</f>
        <v>-187.453701081942</v>
      </c>
      <c r="D177" s="16" t="n">
        <f aca="false">D173+D176</f>
        <v>143.652127602689</v>
      </c>
      <c r="E177" s="16" t="n">
        <f aca="false">E173+E176</f>
        <v>2629.60628707568</v>
      </c>
      <c r="F177" s="16" t="n">
        <f aca="false">F173+F176</f>
        <v>9699.79751004026</v>
      </c>
      <c r="G177" s="16" t="n">
        <f aca="false">G173+G176</f>
        <v>23729.1357556972</v>
      </c>
      <c r="H177" s="16" t="n">
        <f aca="false">H173+H176</f>
        <v>35585.6373896136</v>
      </c>
      <c r="I177" s="16" t="n">
        <f aca="false">I173+I176</f>
        <v>49966.8964623376</v>
      </c>
      <c r="J177" s="16" t="n">
        <f aca="false">J173+J176</f>
        <v>64531.1261010032</v>
      </c>
      <c r="K177" s="16" t="n">
        <f aca="false">K173+K176</f>
        <v>76084.5733426456</v>
      </c>
      <c r="L177" s="16" t="n">
        <f aca="false">L173+L176</f>
        <v>81169.9906646186</v>
      </c>
      <c r="M177" s="12"/>
    </row>
    <row r="178" customFormat="false" ht="15" hidden="false" customHeight="true" outlineLevel="0" collapsed="false">
      <c r="A178" s="12" t="s">
        <v>1360</v>
      </c>
      <c r="B178" s="4" t="s">
        <v>44</v>
      </c>
      <c r="C178" s="45"/>
      <c r="D178" s="45"/>
      <c r="E178" s="45"/>
      <c r="F178" s="45"/>
      <c r="G178" s="45"/>
      <c r="H178" s="16" t="n">
        <f aca="false">MAX(0,-36014.738)</f>
        <v>0</v>
      </c>
      <c r="I178" s="16" t="n">
        <f aca="false">H180</f>
        <v>0</v>
      </c>
      <c r="J178" s="16" t="n">
        <f aca="false">I180</f>
        <v>0</v>
      </c>
      <c r="K178" s="16" t="n">
        <f aca="false">J180</f>
        <v>0</v>
      </c>
      <c r="L178" s="16" t="n">
        <f aca="false">K180</f>
        <v>0</v>
      </c>
      <c r="M178" s="12"/>
    </row>
    <row r="179" customFormat="false" ht="15" hidden="false" customHeight="true" outlineLevel="0" collapsed="false">
      <c r="A179" s="12" t="s">
        <v>1248</v>
      </c>
      <c r="B179" s="4" t="s">
        <v>44</v>
      </c>
      <c r="C179" s="45"/>
      <c r="D179" s="45"/>
      <c r="E179" s="45"/>
      <c r="F179" s="45"/>
      <c r="G179" s="45"/>
      <c r="H179" s="16" t="n">
        <f aca="false">MIN(H178,MAX(0,H177))</f>
        <v>0</v>
      </c>
      <c r="I179" s="16" t="n">
        <f aca="false">MIN(I178,MAX(0,I177))</f>
        <v>0</v>
      </c>
      <c r="J179" s="16" t="n">
        <f aca="false">MIN(J178,MAX(0,J177))</f>
        <v>0</v>
      </c>
      <c r="K179" s="16" t="n">
        <f aca="false">MIN(K178,MAX(0,K177))</f>
        <v>0</v>
      </c>
      <c r="L179" s="16" t="n">
        <f aca="false">MIN(L178,MAX(0,L177))</f>
        <v>0</v>
      </c>
      <c r="M179" s="12"/>
    </row>
    <row r="180" customFormat="false" ht="15" hidden="false" customHeight="true" outlineLevel="0" collapsed="false">
      <c r="A180" s="12" t="s">
        <v>1361</v>
      </c>
      <c r="B180" s="4" t="s">
        <v>44</v>
      </c>
      <c r="C180" s="45"/>
      <c r="D180" s="45"/>
      <c r="E180" s="45"/>
      <c r="F180" s="45"/>
      <c r="G180" s="45"/>
      <c r="H180" s="16" t="n">
        <f aca="false">H178-H179</f>
        <v>0</v>
      </c>
      <c r="I180" s="16" t="n">
        <f aca="false">I178-I179</f>
        <v>0</v>
      </c>
      <c r="J180" s="16" t="n">
        <f aca="false">J178-J179</f>
        <v>0</v>
      </c>
      <c r="K180" s="16" t="n">
        <f aca="false">K178-K179</f>
        <v>0</v>
      </c>
      <c r="L180" s="16" t="n">
        <f aca="false">L178-L179</f>
        <v>0</v>
      </c>
      <c r="M180" s="12"/>
    </row>
    <row r="181" customFormat="false" ht="15" hidden="false" customHeight="true" outlineLevel="0" collapsed="false">
      <c r="A181" s="12" t="s">
        <v>769</v>
      </c>
      <c r="B181" s="4" t="s">
        <v>44</v>
      </c>
      <c r="C181" s="45" t="n">
        <v>0</v>
      </c>
      <c r="D181" s="45" t="n">
        <v>0</v>
      </c>
      <c r="E181" s="45" t="n">
        <v>-650.795330317948</v>
      </c>
      <c r="F181" s="45" t="n">
        <v>-2441.24503732693</v>
      </c>
      <c r="G181" s="45" t="n">
        <v>-5972.14888699385</v>
      </c>
      <c r="H181" s="16" t="n">
        <f aca="false">-(MAX(0,H177)-H179)*$C$13</f>
        <v>-8956.19321821794</v>
      </c>
      <c r="I181" s="16" t="n">
        <f aca="false">-(MAX(0,I177)-I179)*$C$13</f>
        <v>-12575.6685016411</v>
      </c>
      <c r="J181" s="16" t="n">
        <f aca="false">-(MAX(0,J177)-J179)*$C$13</f>
        <v>-16241.1938171005</v>
      </c>
      <c r="K181" s="16" t="n">
        <f aca="false">-(MAX(0,K177)-K179)*$C$13</f>
        <v>-19148.9654188771</v>
      </c>
      <c r="L181" s="16" t="n">
        <f aca="false">-(MAX(0,L177)-L179)*$C$13</f>
        <v>-20428.8632504712</v>
      </c>
      <c r="M181" s="12"/>
    </row>
    <row r="182" customFormat="false" ht="15" hidden="false" customHeight="true" outlineLevel="0" collapsed="false">
      <c r="A182" s="12" t="s">
        <v>1251</v>
      </c>
      <c r="B182" s="4" t="s">
        <v>44</v>
      </c>
      <c r="C182" s="45" t="n">
        <v>5.57133112145914</v>
      </c>
      <c r="D182" s="45" t="n">
        <v>28.1063265191625</v>
      </c>
      <c r="E182" s="45" t="n">
        <v>117.505891675049</v>
      </c>
      <c r="F182" s="45" t="n">
        <v>301.540636943282</v>
      </c>
      <c r="G182" s="45" t="n">
        <v>579.511995650942</v>
      </c>
      <c r="H182" s="16" t="n">
        <f aca="false">--0.033092*(H171-G171)</f>
        <v>598.695493503945</v>
      </c>
      <c r="I182" s="16" t="n">
        <f aca="false">--0.033092*(I171-H171)</f>
        <v>758.38203289198</v>
      </c>
      <c r="J182" s="16" t="n">
        <f aca="false">--0.033092*(J171-I171)</f>
        <v>836.25889755992</v>
      </c>
      <c r="K182" s="16" t="n">
        <f aca="false">--0.033092*(K171-J171)</f>
        <v>758.00895785967</v>
      </c>
      <c r="L182" s="16" t="n">
        <f aca="false">--0.033092*(L171-K171)</f>
        <v>478.02947895661</v>
      </c>
      <c r="M182" s="12"/>
    </row>
    <row r="183" customFormat="false" ht="15" hidden="false" customHeight="true" outlineLevel="0" collapsed="false">
      <c r="A183" s="5" t="s">
        <v>1362</v>
      </c>
      <c r="B183" s="4" t="s">
        <v>44</v>
      </c>
      <c r="C183" s="61" t="n">
        <f aca="false">C173+C175+C181+C182</f>
        <v>-199.904592182705</v>
      </c>
      <c r="D183" s="61" t="n">
        <f aca="false">D173+D175+D181+D182</f>
        <v>165.458454121852</v>
      </c>
      <c r="E183" s="61" t="n">
        <f aca="false">E173+E175+E181+E182</f>
        <v>2084.15018176611</v>
      </c>
      <c r="F183" s="61" t="n">
        <f aca="false">F173+F175+F181+F182</f>
        <v>7543.6819985455</v>
      </c>
      <c r="G183" s="61" t="n">
        <f aca="false">G173+G175+G181+G182</f>
        <v>18322.4321976876</v>
      </c>
      <c r="H183" s="61" t="n">
        <f aca="false">H173+H175+H181+H182</f>
        <v>27228.1396648996</v>
      </c>
      <c r="I183" s="61" t="n">
        <f aca="false">I173+I175+I181+I182</f>
        <v>38149.6099935884</v>
      </c>
      <c r="J183" s="61" t="n">
        <f aca="false">J173+J175+J181+J182</f>
        <v>49126.1911814626</v>
      </c>
      <c r="K183" s="61" t="n">
        <f aca="false">K173+K175+K181+K182</f>
        <v>57693.6168816282</v>
      </c>
      <c r="L183" s="61" t="n">
        <f aca="false">L173+L175+L181+L182</f>
        <v>61219.156893104</v>
      </c>
      <c r="M183" s="12"/>
    </row>
    <row r="184" customFormat="false" ht="15" hidden="false" customHeight="true" outlineLevel="0" collapsed="false">
      <c r="A184" s="12" t="s">
        <v>1258</v>
      </c>
      <c r="B184" s="4" t="s">
        <v>44</v>
      </c>
      <c r="C184" s="16" t="n">
        <f aca="false">C183*C$35</f>
        <v>-178.486243020272</v>
      </c>
      <c r="D184" s="16" t="n">
        <f aca="false">D183*D$35</f>
        <v>131.902466614996</v>
      </c>
      <c r="E184" s="16" t="n">
        <f aca="false">E183*E$35</f>
        <v>1483.45693285785</v>
      </c>
      <c r="F184" s="16" t="n">
        <f aca="false">F183*F$35</f>
        <v>4794.14628781276</v>
      </c>
      <c r="G184" s="16" t="n">
        <f aca="false">G183*G$35</f>
        <v>10396.6400910511</v>
      </c>
      <c r="H184" s="16" t="n">
        <f aca="false">H183*H$35</f>
        <v>13794.6229260007</v>
      </c>
      <c r="I184" s="16" t="n">
        <f aca="false">I183*I$35</f>
        <v>17256.9461460082</v>
      </c>
      <c r="J184" s="16" t="n">
        <f aca="false">J183*J$35</f>
        <v>19841.2446727007</v>
      </c>
      <c r="K184" s="16" t="n">
        <f aca="false">K183*K$35</f>
        <v>20804.8966249616</v>
      </c>
      <c r="L184" s="16" t="n">
        <f aca="false">L183*L$35</f>
        <v>19710.9300862263</v>
      </c>
      <c r="M184" s="12"/>
    </row>
    <row r="185" customFormat="false" ht="15" hidden="false" customHeight="true" outlineLevel="0" collapsed="false">
      <c r="A185" s="12" t="s">
        <v>1363</v>
      </c>
      <c r="B185" s="4" t="s">
        <v>44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6" t="n">
        <f aca="false">IF(MIN($E$122,L174)&gt;$C$12,L171*(1+$C$7)*(MIN($E$122,L174)-$C$12)*(1-$C$13)*(1-$C$7/$C$49)/($C$6-$C$7),0)</f>
        <v>329159.438826486</v>
      </c>
      <c r="M185" s="4" t="s">
        <v>1364</v>
      </c>
    </row>
    <row r="186" customFormat="false" ht="15" hidden="false" customHeight="true" outlineLevel="0" collapsed="false">
      <c r="A186" s="5" t="s">
        <v>1365</v>
      </c>
      <c r="B186" s="4" t="s">
        <v>44</v>
      </c>
      <c r="C186" s="52" t="n">
        <f aca="false">SUM(C184:L184)+L185*L$35</f>
        <v>214016.829864555</v>
      </c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customFormat="false" ht="15" hidden="false" customHeight="true" outlineLevel="0" collapsed="false">
      <c r="A187" s="5" t="s">
        <v>1366</v>
      </c>
      <c r="B187" s="4" t="s">
        <v>44</v>
      </c>
      <c r="C187" s="52" t="n">
        <f aca="false">SUMPRODUCT(--($C$19:$L$19&lt;=$C$124),C184:L184)</f>
        <v>-46.5837764052758</v>
      </c>
      <c r="D187" s="12"/>
      <c r="E187" s="12"/>
      <c r="F187" s="12"/>
      <c r="G187" s="12"/>
      <c r="H187" s="12"/>
      <c r="I187" s="12"/>
      <c r="J187" s="12"/>
      <c r="K187" s="12"/>
      <c r="L187" s="12"/>
      <c r="M187" s="12"/>
    </row>
    <row r="188" customFormat="false" ht="15" hidden="false" customHeight="true" outlineLevel="0" collapsed="false">
      <c r="A188" s="5" t="s">
        <v>1367</v>
      </c>
      <c r="B188" s="4" t="s">
        <v>44</v>
      </c>
      <c r="C188" s="66" t="n">
        <f aca="false">MAX(C186,C187)</f>
        <v>214016.829864555</v>
      </c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customFormat="false" ht="15" hidden="false" customHeight="tru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</row>
    <row r="190" customFormat="false" ht="15" hidden="false" customHeight="true" outlineLevel="0" collapsed="false">
      <c r="A190" s="10" t="s">
        <v>1370</v>
      </c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</row>
    <row r="191" customFormat="false" ht="34.5" hidden="false" customHeight="true" outlineLevel="0" collapsed="false">
      <c r="A191" s="15" t="s">
        <v>1371</v>
      </c>
      <c r="B191" s="15" t="s">
        <v>1119</v>
      </c>
      <c r="C191" s="15" t="s">
        <v>1372</v>
      </c>
      <c r="D191" s="15" t="s">
        <v>1373</v>
      </c>
      <c r="E191" s="15" t="s">
        <v>1374</v>
      </c>
      <c r="F191" s="15" t="s">
        <v>1375</v>
      </c>
      <c r="G191" s="15" t="s">
        <v>1376</v>
      </c>
      <c r="H191" s="12"/>
      <c r="I191" s="12"/>
      <c r="J191" s="12"/>
      <c r="K191" s="12"/>
      <c r="L191" s="12"/>
      <c r="M191" s="12"/>
    </row>
    <row r="192" customFormat="false" ht="15" hidden="false" customHeight="true" outlineLevel="0" collapsed="false">
      <c r="A192" s="12" t="s">
        <v>68</v>
      </c>
      <c r="B192" s="37" t="n">
        <f aca="false">C119</f>
        <v>0.4</v>
      </c>
      <c r="C192" s="18" t="n">
        <f aca="false">C144/100</f>
        <v>41.5972848287321</v>
      </c>
      <c r="D192" s="18" t="n">
        <f aca="false">C145/100</f>
        <v>-6.91234195064642</v>
      </c>
      <c r="E192" s="18" t="n">
        <f aca="false">C146/100</f>
        <v>41.5972848287321</v>
      </c>
      <c r="F192" s="18" t="n">
        <f aca="false">B192*E192</f>
        <v>16.6389139314928</v>
      </c>
      <c r="G192" s="12" t="str">
        <f aca="false">IF(C192&gt;=D192,"Continue","Stop funding at end-"&amp;INDEX($C$18:$L$18,1,$C$124))</f>
        <v>Continue</v>
      </c>
      <c r="H192" s="12"/>
      <c r="I192" s="12"/>
      <c r="J192" s="12"/>
      <c r="K192" s="12"/>
      <c r="L192" s="12"/>
      <c r="M192" s="12"/>
    </row>
    <row r="193" customFormat="false" ht="15" hidden="false" customHeight="true" outlineLevel="0" collapsed="false">
      <c r="A193" s="12" t="s">
        <v>69</v>
      </c>
      <c r="B193" s="37" t="n">
        <f aca="false">D119</f>
        <v>0.45</v>
      </c>
      <c r="C193" s="18" t="n">
        <f aca="false">C165/100</f>
        <v>367.698360655772</v>
      </c>
      <c r="D193" s="18" t="n">
        <f aca="false">C166/100</f>
        <v>-5.14640329594005</v>
      </c>
      <c r="E193" s="18" t="n">
        <f aca="false">C167/100</f>
        <v>367.698360655772</v>
      </c>
      <c r="F193" s="18" t="n">
        <f aca="false">B193*E193</f>
        <v>165.464262295097</v>
      </c>
      <c r="G193" s="12" t="str">
        <f aca="false">IF(C193&gt;=D193,"Continue","Stop funding at end-"&amp;INDEX($C$18:$L$18,1,$C$124))</f>
        <v>Continue</v>
      </c>
      <c r="H193" s="12"/>
      <c r="I193" s="12"/>
      <c r="J193" s="12"/>
      <c r="K193" s="12"/>
      <c r="L193" s="12"/>
      <c r="M193" s="12"/>
    </row>
    <row r="194" customFormat="false" ht="15" hidden="false" customHeight="true" outlineLevel="0" collapsed="false">
      <c r="A194" s="12" t="s">
        <v>70</v>
      </c>
      <c r="B194" s="37" t="n">
        <f aca="false">E119</f>
        <v>0.15</v>
      </c>
      <c r="C194" s="18" t="n">
        <f aca="false">C186/100</f>
        <v>2140.16829864555</v>
      </c>
      <c r="D194" s="18" t="n">
        <f aca="false">C187/100</f>
        <v>-0.465837764052758</v>
      </c>
      <c r="E194" s="18" t="n">
        <f aca="false">C188/100</f>
        <v>2140.16829864555</v>
      </c>
      <c r="F194" s="18" t="n">
        <f aca="false">B194*E194</f>
        <v>321.025244796832</v>
      </c>
      <c r="G194" s="12" t="str">
        <f aca="false">IF(C194&gt;=D194,"Continue","Stop funding at end-"&amp;INDEX($C$18:$L$18,1,$C$124))</f>
        <v>Continue</v>
      </c>
      <c r="H194" s="12"/>
      <c r="I194" s="12"/>
      <c r="J194" s="12"/>
      <c r="K194" s="12"/>
      <c r="L194" s="12"/>
      <c r="M194" s="12"/>
    </row>
    <row r="195" customFormat="false" ht="15" hidden="false" customHeight="true" outlineLevel="0" collapsed="false">
      <c r="A195" s="5" t="s">
        <v>1377</v>
      </c>
      <c r="B195" s="55" t="n">
        <f aca="false">SUM(B192:B194)</f>
        <v>1</v>
      </c>
      <c r="C195" s="12"/>
      <c r="D195" s="12"/>
      <c r="E195" s="12"/>
      <c r="F195" s="13" t="n">
        <f aca="false">SUM(F192:F194)</f>
        <v>503.128421023422</v>
      </c>
      <c r="G195" s="12"/>
      <c r="H195" s="12"/>
      <c r="I195" s="12"/>
      <c r="J195" s="12"/>
      <c r="K195" s="12"/>
      <c r="L195" s="12"/>
      <c r="M195" s="12"/>
    </row>
    <row r="196" customFormat="false" ht="15" hidden="false" customHeight="true" outlineLevel="0" collapsed="false">
      <c r="A196" s="12" t="s">
        <v>1378</v>
      </c>
      <c r="B196" s="12"/>
      <c r="C196" s="12"/>
      <c r="D196" s="12"/>
      <c r="E196" s="12"/>
      <c r="F196" s="18" t="n">
        <f aca="false">SUMPRODUCT(B192:B194,C192:C194)</f>
        <v>503.128421023422</v>
      </c>
      <c r="G196" s="12"/>
      <c r="H196" s="12"/>
      <c r="I196" s="12"/>
      <c r="J196" s="12"/>
      <c r="K196" s="12"/>
      <c r="L196" s="12"/>
      <c r="M196" s="12"/>
    </row>
    <row r="197" customFormat="false" ht="15" hidden="false" customHeight="true" outlineLevel="0" collapsed="false">
      <c r="A197" s="12" t="s">
        <v>1379</v>
      </c>
      <c r="B197" s="12"/>
      <c r="C197" s="12"/>
      <c r="D197" s="12"/>
      <c r="E197" s="12"/>
      <c r="F197" s="18" t="n">
        <f aca="false">F195-C75</f>
        <v>135.430081686178</v>
      </c>
      <c r="G197" s="12"/>
      <c r="H197" s="12"/>
      <c r="I197" s="12"/>
      <c r="J197" s="12"/>
      <c r="K197" s="12"/>
      <c r="L197" s="12"/>
      <c r="M197" s="12"/>
    </row>
    <row r="198" customFormat="false" ht="15" hidden="false" customHeight="true" outlineLevel="0" collapsed="false">
      <c r="A198" s="12" t="s">
        <v>1380</v>
      </c>
      <c r="B198" s="12"/>
      <c r="C198" s="12"/>
      <c r="D198" s="12"/>
      <c r="E198" s="12"/>
      <c r="F198" s="82" t="b">
        <f aca="false">ABS(INDEX(C192:C194,Inputs!$C$3,1)-C75)&lt;0.05</f>
        <v>1</v>
      </c>
      <c r="G198" s="12"/>
      <c r="H198" s="12"/>
      <c r="I198" s="12"/>
      <c r="J198" s="12"/>
      <c r="K198" s="12"/>
      <c r="L198" s="12"/>
      <c r="M198" s="12"/>
    </row>
    <row r="199" customFormat="false" ht="15" hidden="false" customHeight="tru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</row>
    <row r="200" customFormat="false" ht="15" hidden="false" customHeight="true" outlineLevel="0" collapsed="false">
      <c r="A200" s="5" t="s">
        <v>1381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customFormat="false" ht="23.25" hidden="false" customHeight="true" outlineLevel="0" collapsed="false">
      <c r="A201" s="15" t="s">
        <v>1382</v>
      </c>
      <c r="B201" s="15" t="s">
        <v>68</v>
      </c>
      <c r="C201" s="15" t="s">
        <v>69</v>
      </c>
      <c r="D201" s="15" t="s">
        <v>70</v>
      </c>
      <c r="E201" s="15" t="s">
        <v>1383</v>
      </c>
      <c r="F201" s="12"/>
      <c r="G201" s="12"/>
      <c r="H201" s="12"/>
      <c r="I201" s="12"/>
      <c r="J201" s="12"/>
      <c r="K201" s="12"/>
      <c r="L201" s="12"/>
      <c r="M201" s="12"/>
    </row>
    <row r="202" customFormat="false" ht="15" hidden="false" customHeight="true" outlineLevel="0" collapsed="false">
      <c r="A202" s="12" t="s">
        <v>1384</v>
      </c>
      <c r="B202" s="34" t="n">
        <v>0.5</v>
      </c>
      <c r="C202" s="34" t="n">
        <v>0.4</v>
      </c>
      <c r="D202" s="34" t="n">
        <v>0.1</v>
      </c>
      <c r="E202" s="18" t="n">
        <f aca="false">B202*E192+C202*E193+D202*E194</f>
        <v>381.89481654123</v>
      </c>
      <c r="F202" s="12"/>
      <c r="G202" s="12"/>
      <c r="H202" s="12"/>
      <c r="I202" s="12"/>
      <c r="J202" s="12"/>
      <c r="K202" s="12"/>
      <c r="L202" s="12"/>
      <c r="M202" s="12"/>
    </row>
    <row r="203" customFormat="false" ht="15" hidden="false" customHeight="true" outlineLevel="0" collapsed="false">
      <c r="A203" s="12" t="s">
        <v>1385</v>
      </c>
      <c r="B203" s="37" t="n">
        <f aca="false">C119</f>
        <v>0.4</v>
      </c>
      <c r="C203" s="37" t="n">
        <f aca="false">D119</f>
        <v>0.45</v>
      </c>
      <c r="D203" s="37" t="n">
        <f aca="false">E119</f>
        <v>0.15</v>
      </c>
      <c r="E203" s="18" t="n">
        <f aca="false">B203*E192+C203*E193+D203*E194</f>
        <v>503.128421023422</v>
      </c>
      <c r="F203" s="12"/>
      <c r="G203" s="12"/>
      <c r="H203" s="12"/>
      <c r="I203" s="12"/>
      <c r="J203" s="12"/>
      <c r="K203" s="12"/>
      <c r="L203" s="12"/>
      <c r="M203" s="12"/>
    </row>
    <row r="204" customFormat="false" ht="15" hidden="false" customHeight="true" outlineLevel="0" collapsed="false">
      <c r="A204" s="12" t="s">
        <v>1386</v>
      </c>
      <c r="B204" s="34" t="n">
        <v>0.3</v>
      </c>
      <c r="C204" s="34" t="n">
        <v>0.5</v>
      </c>
      <c r="D204" s="34" t="n">
        <v>0.2</v>
      </c>
      <c r="E204" s="18" t="n">
        <f aca="false">B204*E192+C204*E193+D204*E194</f>
        <v>624.362025505615</v>
      </c>
      <c r="F204" s="12"/>
      <c r="G204" s="12"/>
      <c r="H204" s="12"/>
      <c r="I204" s="12"/>
      <c r="J204" s="12"/>
      <c r="K204" s="12"/>
      <c r="L204" s="12"/>
      <c r="M204" s="12"/>
    </row>
    <row r="205" customFormat="false" ht="15" hidden="false" customHeight="true" outlineLevel="0" collapsed="false">
      <c r="A205" s="12" t="s">
        <v>1387</v>
      </c>
      <c r="B205" s="34" t="n">
        <v>0.333333333333333</v>
      </c>
      <c r="C205" s="34" t="n">
        <v>0.333333333333333</v>
      </c>
      <c r="D205" s="34" t="n">
        <v>0.333333333333333</v>
      </c>
      <c r="E205" s="18" t="n">
        <f aca="false">B205*E192+C205*E193+D205*E194</f>
        <v>849.821314710016</v>
      </c>
      <c r="F205" s="12"/>
      <c r="G205" s="12"/>
      <c r="H205" s="12"/>
      <c r="I205" s="12"/>
      <c r="J205" s="12"/>
      <c r="K205" s="12"/>
      <c r="L205" s="12"/>
      <c r="M205" s="12"/>
    </row>
    <row r="206" customFormat="false" ht="15" hidden="false" customHeight="true" outlineLevel="0" collapsed="false">
      <c r="A206" s="4" t="s">
        <v>1388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customFormat="false" ht="15" hidden="false" customHeight="true" outlineLevel="0" collapsed="false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</row>
    <row r="208" customFormat="false" ht="15" hidden="false" customHeight="true" outlineLevel="0" collapsed="false">
      <c r="A208" s="10" t="s">
        <v>1389</v>
      </c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</row>
    <row r="209" customFormat="false" ht="23.25" hidden="false" customHeight="true" outlineLevel="0" collapsed="false">
      <c r="A209" s="15" t="s">
        <v>1390</v>
      </c>
      <c r="B209" s="15" t="s">
        <v>77</v>
      </c>
      <c r="C209" s="15" t="s">
        <v>1391</v>
      </c>
      <c r="D209" s="15" t="s">
        <v>1392</v>
      </c>
      <c r="E209" s="15" t="s">
        <v>1393</v>
      </c>
      <c r="F209" s="15" t="s">
        <v>45</v>
      </c>
      <c r="G209" s="15" t="s">
        <v>1394</v>
      </c>
      <c r="H209" s="12"/>
      <c r="I209" s="12"/>
      <c r="J209" s="12"/>
      <c r="K209" s="12"/>
      <c r="L209" s="12"/>
      <c r="M209" s="12"/>
    </row>
    <row r="210" customFormat="false" ht="15" hidden="false" customHeight="true" outlineLevel="0" collapsed="false">
      <c r="A210" s="12" t="s">
        <v>1395</v>
      </c>
      <c r="B210" s="4" t="s">
        <v>1396</v>
      </c>
      <c r="C210" s="4" t="s">
        <v>1397</v>
      </c>
      <c r="D210" s="83" t="n">
        <v>8.2</v>
      </c>
      <c r="E210" s="83" t="n">
        <v>16.6</v>
      </c>
      <c r="F210" s="34" t="n">
        <v>0.06</v>
      </c>
      <c r="G210" s="4" t="s">
        <v>1398</v>
      </c>
      <c r="H210" s="12"/>
      <c r="I210" s="12"/>
      <c r="J210" s="12"/>
      <c r="K210" s="12"/>
      <c r="L210" s="12"/>
      <c r="M210" s="12"/>
    </row>
    <row r="211" customFormat="false" ht="15" hidden="false" customHeight="true" outlineLevel="0" collapsed="false">
      <c r="A211" s="12" t="s">
        <v>1399</v>
      </c>
      <c r="B211" s="4" t="s">
        <v>1400</v>
      </c>
      <c r="C211" s="4" t="s">
        <v>1397</v>
      </c>
      <c r="D211" s="83" t="n">
        <v>12.2</v>
      </c>
      <c r="E211" s="83" t="n">
        <v>56.2</v>
      </c>
      <c r="F211" s="34" t="n">
        <v>0.21</v>
      </c>
      <c r="G211" s="4" t="s">
        <v>1401</v>
      </c>
      <c r="H211" s="12"/>
      <c r="I211" s="12"/>
      <c r="J211" s="12"/>
      <c r="K211" s="12"/>
      <c r="L211" s="12"/>
      <c r="M211" s="12"/>
    </row>
    <row r="212" customFormat="false" ht="15" hidden="false" customHeight="true" outlineLevel="0" collapsed="false">
      <c r="A212" s="12" t="s">
        <v>1402</v>
      </c>
      <c r="B212" s="4" t="s">
        <v>1403</v>
      </c>
      <c r="C212" s="4" t="s">
        <v>1404</v>
      </c>
      <c r="D212" s="83" t="n">
        <v>6.7</v>
      </c>
      <c r="E212" s="4" t="s">
        <v>1405</v>
      </c>
      <c r="F212" s="12"/>
      <c r="G212" s="4" t="s">
        <v>1406</v>
      </c>
      <c r="H212" s="12"/>
      <c r="I212" s="12"/>
      <c r="J212" s="12"/>
      <c r="K212" s="12"/>
      <c r="L212" s="12"/>
      <c r="M212" s="12"/>
    </row>
    <row r="213" customFormat="false" ht="15" hidden="false" customHeight="true" outlineLevel="0" collapsed="false">
      <c r="A213" s="12" t="s">
        <v>1407</v>
      </c>
      <c r="B213" s="4" t="s">
        <v>1408</v>
      </c>
      <c r="C213" s="4" t="s">
        <v>1409</v>
      </c>
      <c r="D213" s="83" t="n">
        <v>5.3</v>
      </c>
      <c r="E213" s="4" t="s">
        <v>1405</v>
      </c>
      <c r="F213" s="12"/>
      <c r="G213" s="4" t="s">
        <v>1410</v>
      </c>
      <c r="H213" s="12"/>
      <c r="I213" s="12"/>
      <c r="J213" s="12"/>
      <c r="K213" s="12"/>
      <c r="L213" s="12"/>
      <c r="M213" s="12"/>
    </row>
    <row r="214" customFormat="false" ht="15" hidden="false" customHeight="true" outlineLevel="0" collapsed="false">
      <c r="A214" s="12" t="s">
        <v>1411</v>
      </c>
      <c r="B214" s="4" t="s">
        <v>1412</v>
      </c>
      <c r="C214" s="4" t="s">
        <v>1413</v>
      </c>
      <c r="D214" s="19" t="n">
        <f aca="false">10000/651</f>
        <v>15.3609831029186</v>
      </c>
      <c r="E214" s="4" t="s">
        <v>1405</v>
      </c>
      <c r="F214" s="12"/>
      <c r="G214" s="4" t="s">
        <v>1414</v>
      </c>
      <c r="H214" s="12"/>
      <c r="I214" s="12"/>
      <c r="J214" s="12"/>
      <c r="K214" s="12"/>
      <c r="L214" s="12"/>
      <c r="M214" s="12"/>
    </row>
    <row r="215" customFormat="false" ht="15" hidden="false" customHeight="true" outlineLevel="0" collapsed="false">
      <c r="A215" s="12" t="s">
        <v>1415</v>
      </c>
      <c r="B215" s="4" t="s">
        <v>1416</v>
      </c>
      <c r="C215" s="4" t="s">
        <v>1417</v>
      </c>
      <c r="D215" s="84" t="s">
        <v>1418</v>
      </c>
      <c r="E215" s="4" t="s">
        <v>1405</v>
      </c>
      <c r="F215" s="12"/>
      <c r="G215" s="4" t="s">
        <v>1419</v>
      </c>
      <c r="H215" s="12"/>
      <c r="I215" s="12"/>
      <c r="J215" s="12"/>
      <c r="K215" s="12"/>
      <c r="L215" s="12"/>
      <c r="M215" s="12"/>
    </row>
    <row r="216" customFormat="false" ht="15" hidden="false" customHeight="true" outlineLevel="0" collapsed="false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customFormat="false" ht="23.25" hidden="false" customHeight="true" outlineLevel="0" collapsed="false">
      <c r="A217" s="15" t="s">
        <v>1420</v>
      </c>
      <c r="B217" s="15" t="s">
        <v>1421</v>
      </c>
      <c r="C217" s="15" t="s">
        <v>568</v>
      </c>
      <c r="D217" s="15" t="s">
        <v>1422</v>
      </c>
      <c r="E217" s="15" t="s">
        <v>577</v>
      </c>
      <c r="F217" s="15"/>
      <c r="G217" s="15" t="s">
        <v>1423</v>
      </c>
      <c r="H217" s="12"/>
      <c r="I217" s="12"/>
      <c r="J217" s="12"/>
      <c r="K217" s="12"/>
      <c r="L217" s="12"/>
      <c r="M217" s="12"/>
    </row>
    <row r="218" customFormat="false" ht="15" hidden="false" customHeight="true" outlineLevel="0" collapsed="false">
      <c r="A218" s="12" t="s">
        <v>1424</v>
      </c>
      <c r="B218" s="21" t="n">
        <f aca="false">4_Revenue_Build!G30</f>
        <v>15745.7780317477</v>
      </c>
      <c r="C218" s="83" t="n">
        <v>3</v>
      </c>
      <c r="D218" s="83" t="n">
        <v>5</v>
      </c>
      <c r="E218" s="83" t="n">
        <v>7</v>
      </c>
      <c r="F218" s="12"/>
      <c r="G218" s="4" t="s">
        <v>1425</v>
      </c>
      <c r="H218" s="12"/>
      <c r="I218" s="12"/>
      <c r="J218" s="12"/>
      <c r="K218" s="12"/>
      <c r="L218" s="12"/>
      <c r="M218" s="12"/>
    </row>
    <row r="219" customFormat="false" ht="15" hidden="false" customHeight="true" outlineLevel="0" collapsed="false">
      <c r="A219" s="12" t="s">
        <v>1426</v>
      </c>
      <c r="B219" s="21" t="n">
        <f aca="false">7_Financials!G11</f>
        <v>15092.9719681828</v>
      </c>
      <c r="C219" s="83" t="n">
        <v>2</v>
      </c>
      <c r="D219" s="83" t="n">
        <v>3.5</v>
      </c>
      <c r="E219" s="83" t="n">
        <v>5.5</v>
      </c>
      <c r="F219" s="12"/>
      <c r="G219" s="4" t="s">
        <v>1427</v>
      </c>
      <c r="H219" s="12"/>
      <c r="I219" s="12"/>
      <c r="J219" s="12"/>
      <c r="K219" s="12"/>
      <c r="L219" s="12"/>
      <c r="M219" s="12"/>
    </row>
    <row r="220" customFormat="false" ht="15" hidden="false" customHeight="true" outlineLevel="0" collapsed="false">
      <c r="A220" s="12" t="s">
        <v>1393</v>
      </c>
      <c r="B220" s="21" t="n">
        <f aca="false">7_Financials!G19</f>
        <v>8786.09553021468</v>
      </c>
      <c r="C220" s="4" t="s">
        <v>1405</v>
      </c>
      <c r="D220" s="12"/>
      <c r="E220" s="12"/>
      <c r="F220" s="12"/>
      <c r="G220" s="4" t="s">
        <v>1428</v>
      </c>
      <c r="H220" s="12"/>
      <c r="I220" s="12"/>
      <c r="J220" s="12"/>
      <c r="K220" s="12"/>
      <c r="L220" s="12"/>
      <c r="M220" s="12"/>
    </row>
    <row r="221" customFormat="false" ht="15" hidden="false" customHeight="true" outlineLevel="0" collapsed="false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</row>
    <row r="222" customFormat="false" ht="15" hidden="false" customHeight="true" outlineLevel="0" collapsed="false">
      <c r="A222" s="15" t="s">
        <v>1429</v>
      </c>
      <c r="B222" s="15" t="s">
        <v>42</v>
      </c>
      <c r="C222" s="15" t="s">
        <v>568</v>
      </c>
      <c r="D222" s="15" t="s">
        <v>1422</v>
      </c>
      <c r="E222" s="15" t="s">
        <v>577</v>
      </c>
      <c r="F222" s="15" t="s">
        <v>1430</v>
      </c>
      <c r="G222" s="15" t="s">
        <v>1002</v>
      </c>
      <c r="H222" s="12"/>
      <c r="I222" s="12"/>
      <c r="J222" s="12"/>
      <c r="K222" s="12"/>
      <c r="L222" s="12"/>
      <c r="M222" s="12"/>
    </row>
    <row r="223" customFormat="false" ht="15" hidden="false" customHeight="true" outlineLevel="0" collapsed="false">
      <c r="A223" s="12" t="s">
        <v>1431</v>
      </c>
      <c r="B223" s="4" t="s">
        <v>44</v>
      </c>
      <c r="C223" s="16" t="n">
        <f aca="false">C218*$B$218</f>
        <v>47237.3340952433</v>
      </c>
      <c r="D223" s="16" t="n">
        <f aca="false">D218*$B$218</f>
        <v>78728.8901587387</v>
      </c>
      <c r="E223" s="16" t="n">
        <f aca="false">E218*$B$218</f>
        <v>110220.446222234</v>
      </c>
      <c r="F223" s="21" t="n">
        <f aca="false">C79</f>
        <v>56439.8281028703</v>
      </c>
      <c r="G223" s="4" t="s">
        <v>1432</v>
      </c>
      <c r="H223" s="12"/>
      <c r="I223" s="12"/>
      <c r="J223" s="12"/>
      <c r="K223" s="12"/>
      <c r="L223" s="12"/>
      <c r="M223" s="12"/>
    </row>
    <row r="224" customFormat="false" ht="15" hidden="false" customHeight="true" outlineLevel="0" collapsed="false">
      <c r="A224" s="12" t="s">
        <v>1433</v>
      </c>
      <c r="B224" s="4" t="s">
        <v>44</v>
      </c>
      <c r="C224" s="16" t="n">
        <f aca="false">C219*$B$219</f>
        <v>30185.9439363655</v>
      </c>
      <c r="D224" s="16" t="n">
        <f aca="false">D219*$B$219</f>
        <v>52825.4018886397</v>
      </c>
      <c r="E224" s="16" t="n">
        <f aca="false">E219*$B$219</f>
        <v>83011.3458250052</v>
      </c>
      <c r="F224" s="12"/>
      <c r="G224" s="12"/>
      <c r="H224" s="12"/>
      <c r="I224" s="12"/>
      <c r="J224" s="12"/>
      <c r="K224" s="12"/>
      <c r="L224" s="12"/>
      <c r="M224" s="12"/>
    </row>
    <row r="225" customFormat="false" ht="15" hidden="false" customHeight="true" outlineLevel="0" collapsed="false">
      <c r="A225" s="5" t="s">
        <v>1434</v>
      </c>
      <c r="B225" s="4" t="s">
        <v>27</v>
      </c>
      <c r="C225" s="57" t="n">
        <f aca="false">($C$71+C223*$G$35)/100</f>
        <v>315.480916942073</v>
      </c>
      <c r="D225" s="13" t="n">
        <f aca="false">($C$71+D223*$G$35)/100</f>
        <v>494.172463330025</v>
      </c>
      <c r="E225" s="57" t="n">
        <f aca="false">($C$71+E223*$G$35)/100</f>
        <v>672.864009717978</v>
      </c>
      <c r="F225" s="25" t="n">
        <f aca="false">C75</f>
        <v>367.698339337244</v>
      </c>
      <c r="G225" s="4" t="s">
        <v>1435</v>
      </c>
      <c r="H225" s="12"/>
      <c r="I225" s="12"/>
      <c r="J225" s="12"/>
      <c r="K225" s="12"/>
      <c r="L225" s="12"/>
      <c r="M225" s="12"/>
    </row>
    <row r="226" customFormat="false" ht="15" hidden="false" customHeight="true" outlineLevel="0" collapsed="false">
      <c r="A226" s="5" t="s">
        <v>1436</v>
      </c>
      <c r="B226" s="4" t="s">
        <v>27</v>
      </c>
      <c r="C226" s="57" t="n">
        <f aca="false">($C$71+C224*$G$35)/100</f>
        <v>218.726749907243</v>
      </c>
      <c r="D226" s="57" t="n">
        <f aca="false">($C$71+D224*$G$35)/100</f>
        <v>347.189114317566</v>
      </c>
      <c r="E226" s="57" t="n">
        <f aca="false">($C$71+E224*$G$35)/100</f>
        <v>518.472266864664</v>
      </c>
      <c r="F226" s="12"/>
      <c r="G226" s="12"/>
      <c r="H226" s="12"/>
      <c r="I226" s="12"/>
      <c r="J226" s="12"/>
      <c r="K226" s="12"/>
      <c r="L226" s="12"/>
      <c r="M226" s="12"/>
    </row>
    <row r="227" customFormat="false" ht="15" hidden="false" customHeight="true" outlineLevel="0" collapsed="false">
      <c r="A227" s="12" t="s">
        <v>1437</v>
      </c>
      <c r="B227" s="12"/>
      <c r="C227" s="85" t="n">
        <f aca="false">C80</f>
        <v>3.584442000203</v>
      </c>
      <c r="D227" s="5" t="str">
        <f aca="false">IF(C227&lt;C218,"Below range",IF(C227&gt;E218,"Above range","Within range"))</f>
        <v>Within range</v>
      </c>
      <c r="E227" s="12"/>
      <c r="F227" s="12"/>
      <c r="G227" s="12"/>
      <c r="H227" s="12"/>
      <c r="I227" s="12"/>
      <c r="J227" s="12"/>
      <c r="K227" s="12"/>
      <c r="L227" s="12"/>
      <c r="M227" s="12"/>
    </row>
    <row r="228" customFormat="false" ht="15" hidden="false" customHeight="true" outlineLevel="0" collapsed="false">
      <c r="A228" s="4" t="s">
        <v>1438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</row>
    <row r="229" customFormat="false" ht="15" hidden="false" customHeight="true" outlineLevel="0" collapsed="false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</row>
    <row r="230" customFormat="false" ht="15" hidden="false" customHeight="true" outlineLevel="0" collapsed="false">
      <c r="A230" s="10" t="s">
        <v>1439</v>
      </c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</row>
    <row r="231" customFormat="false" ht="34.5" hidden="false" customHeight="true" outlineLevel="0" collapsed="false">
      <c r="A231" s="15" t="s">
        <v>27</v>
      </c>
      <c r="B231" s="15"/>
      <c r="C231" s="15" t="s">
        <v>1440</v>
      </c>
      <c r="D231" s="15" t="s">
        <v>1441</v>
      </c>
      <c r="E231" s="15" t="s">
        <v>1442</v>
      </c>
      <c r="F231" s="15"/>
      <c r="G231" s="15" t="s">
        <v>477</v>
      </c>
      <c r="H231" s="12"/>
      <c r="I231" s="12"/>
      <c r="J231" s="12"/>
      <c r="K231" s="12"/>
      <c r="L231" s="12"/>
      <c r="M231" s="12"/>
    </row>
    <row r="232" customFormat="false" ht="15" hidden="false" customHeight="true" outlineLevel="0" collapsed="false">
      <c r="A232" s="12" t="s">
        <v>1343</v>
      </c>
      <c r="B232" s="12"/>
      <c r="C232" s="25" t="n">
        <f aca="false">C75</f>
        <v>367.698339337244</v>
      </c>
      <c r="D232" s="25" t="n">
        <f aca="false">F195</f>
        <v>503.128421023422</v>
      </c>
      <c r="E232" s="25" t="n">
        <f aca="false">C79/100</f>
        <v>564.398281028703</v>
      </c>
      <c r="F232" s="12"/>
      <c r="G232" s="4" t="s">
        <v>1443</v>
      </c>
      <c r="H232" s="12"/>
      <c r="I232" s="12"/>
      <c r="J232" s="12"/>
      <c r="K232" s="12"/>
      <c r="L232" s="12"/>
      <c r="M232" s="12"/>
    </row>
    <row r="233" customFormat="false" ht="15" hidden="false" customHeight="true" outlineLevel="0" collapsed="false">
      <c r="A233" s="12" t="s">
        <v>1444</v>
      </c>
      <c r="B233" s="12"/>
      <c r="C233" s="25" t="n">
        <f aca="false">7_Financials!C42/100</f>
        <v>0</v>
      </c>
      <c r="D233" s="18" t="n">
        <f aca="false">C233</f>
        <v>0</v>
      </c>
      <c r="E233" s="25" t="n">
        <f aca="false">7_Financials!G47/100</f>
        <v>101.149702518239</v>
      </c>
      <c r="F233" s="12"/>
      <c r="G233" s="4" t="s">
        <v>1445</v>
      </c>
      <c r="H233" s="12"/>
      <c r="I233" s="12"/>
      <c r="J233" s="12"/>
      <c r="K233" s="12"/>
      <c r="L233" s="12"/>
      <c r="M233" s="12"/>
    </row>
    <row r="234" customFormat="false" ht="15" hidden="false" customHeight="true" outlineLevel="0" collapsed="false">
      <c r="A234" s="12" t="s">
        <v>1446</v>
      </c>
      <c r="B234" s="12"/>
      <c r="C234" s="18" t="n">
        <f aca="false">0</f>
        <v>0</v>
      </c>
      <c r="D234" s="18" t="n">
        <f aca="false">C234</f>
        <v>0</v>
      </c>
      <c r="E234" s="25" t="n">
        <v>0</v>
      </c>
      <c r="F234" s="12"/>
      <c r="G234" s="4" t="s">
        <v>1447</v>
      </c>
      <c r="H234" s="12"/>
      <c r="I234" s="12"/>
      <c r="J234" s="12"/>
      <c r="K234" s="12"/>
      <c r="L234" s="12"/>
      <c r="M234" s="12"/>
    </row>
    <row r="235" customFormat="false" ht="15" hidden="false" customHeight="true" outlineLevel="0" collapsed="false">
      <c r="A235" s="5" t="s">
        <v>1448</v>
      </c>
      <c r="B235" s="12"/>
      <c r="C235" s="86" t="n">
        <f aca="false">SUM(C232:C234)</f>
        <v>367.698339337244</v>
      </c>
      <c r="D235" s="86" t="n">
        <f aca="false">SUM(D232:D234)</f>
        <v>503.128421023422</v>
      </c>
      <c r="E235" s="86" t="n">
        <f aca="false">SUM(E232:E234)</f>
        <v>665.547983546942</v>
      </c>
      <c r="F235" s="12"/>
      <c r="G235" s="12"/>
      <c r="H235" s="12"/>
      <c r="I235" s="12"/>
      <c r="J235" s="12"/>
      <c r="K235" s="12"/>
      <c r="L235" s="12"/>
      <c r="M235" s="12"/>
    </row>
    <row r="236" customFormat="false" ht="15" hidden="false" customHeight="true" outlineLevel="0" collapsed="false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customFormat="false" ht="15" hidden="false" customHeight="true" outlineLevel="0" collapsed="false">
      <c r="A237" s="5" t="s">
        <v>1449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</row>
    <row r="238" customFormat="false" ht="15" hidden="false" customHeight="true" outlineLevel="0" collapsed="false">
      <c r="A238" s="12" t="s">
        <v>1450</v>
      </c>
      <c r="B238" s="12"/>
      <c r="C238" s="18" t="n">
        <f aca="false">C235</f>
        <v>367.698339337244</v>
      </c>
      <c r="D238" s="18" t="n">
        <f aca="false">D235</f>
        <v>503.128421023422</v>
      </c>
      <c r="E238" s="12"/>
      <c r="F238" s="12"/>
      <c r="G238" s="12"/>
      <c r="H238" s="12"/>
      <c r="I238" s="12"/>
      <c r="J238" s="12"/>
      <c r="K238" s="12"/>
      <c r="L238" s="12"/>
      <c r="M238" s="12"/>
    </row>
    <row r="239" customFormat="false" ht="15" hidden="false" customHeight="true" outlineLevel="0" collapsed="false">
      <c r="A239" s="12" t="s">
        <v>1451</v>
      </c>
      <c r="B239" s="12"/>
      <c r="C239" s="25" t="n">
        <f aca="false">Inputs!C108/100</f>
        <v>9</v>
      </c>
      <c r="D239" s="25" t="n">
        <f aca="false">Inputs!C108/100</f>
        <v>9</v>
      </c>
      <c r="E239" s="12"/>
      <c r="F239" s="12"/>
      <c r="G239" s="12"/>
      <c r="H239" s="12"/>
      <c r="I239" s="12"/>
      <c r="J239" s="12"/>
      <c r="K239" s="12"/>
      <c r="L239" s="12"/>
      <c r="M239" s="12"/>
    </row>
    <row r="240" customFormat="false" ht="15" hidden="false" customHeight="true" outlineLevel="0" collapsed="false">
      <c r="A240" s="5" t="s">
        <v>1452</v>
      </c>
      <c r="B240" s="12"/>
      <c r="C240" s="57" t="n">
        <f aca="false">C238+C239</f>
        <v>376.698339337244</v>
      </c>
      <c r="D240" s="57" t="n">
        <f aca="false">D238+D239</f>
        <v>512.128421023422</v>
      </c>
      <c r="E240" s="12"/>
      <c r="F240" s="12"/>
      <c r="G240" s="12"/>
      <c r="H240" s="12"/>
      <c r="I240" s="12"/>
      <c r="J240" s="12"/>
      <c r="K240" s="12"/>
      <c r="L240" s="12"/>
      <c r="M240" s="12"/>
    </row>
    <row r="241" customFormat="false" ht="15" hidden="false" customHeight="true" outlineLevel="0" collapsed="false">
      <c r="A241" s="5" t="s">
        <v>1453</v>
      </c>
      <c r="B241" s="12"/>
      <c r="C241" s="67" t="n">
        <f aca="false">IF(C238&gt;0,C239/C240,"n.m.")</f>
        <v>0.0238917963265631</v>
      </c>
      <c r="D241" s="67" t="n">
        <f aca="false">IF(D238&gt;0,D239/D240,"n.m.")</f>
        <v>0.0175737171196527</v>
      </c>
      <c r="E241" s="12"/>
      <c r="F241" s="12"/>
      <c r="G241" s="12"/>
      <c r="H241" s="12"/>
      <c r="I241" s="12"/>
      <c r="J241" s="12"/>
      <c r="K241" s="12"/>
      <c r="L241" s="12"/>
      <c r="M241" s="12"/>
    </row>
    <row r="242" customFormat="false" ht="15" hidden="false" customHeight="true" outlineLevel="0" collapsed="false">
      <c r="A242" s="4" t="s">
        <v>1454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customFormat="false" ht="15" hidden="false" customHeight="true" outlineLevel="0" collapsed="false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</row>
    <row r="244" customFormat="false" ht="15" hidden="false" customHeight="true" outlineLevel="0" collapsed="false">
      <c r="A244" s="10" t="s">
        <v>1455</v>
      </c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</row>
    <row r="245" customFormat="false" ht="34.5" hidden="false" customHeight="true" outlineLevel="0" collapsed="false">
      <c r="A245" s="15" t="s">
        <v>412</v>
      </c>
      <c r="B245" s="15" t="s">
        <v>1456</v>
      </c>
      <c r="C245" s="15" t="s">
        <v>1457</v>
      </c>
      <c r="D245" s="15" t="s">
        <v>1338</v>
      </c>
      <c r="E245" s="15" t="s">
        <v>1458</v>
      </c>
      <c r="F245" s="15" t="s">
        <v>1459</v>
      </c>
      <c r="G245" s="15" t="s">
        <v>1460</v>
      </c>
      <c r="H245" s="12"/>
      <c r="I245" s="12"/>
      <c r="J245" s="12"/>
      <c r="K245" s="12"/>
      <c r="L245" s="12"/>
      <c r="M245" s="12"/>
    </row>
    <row r="246" customFormat="false" ht="15" hidden="false" customHeight="true" outlineLevel="0" collapsed="false">
      <c r="A246" s="5" t="s">
        <v>1461</v>
      </c>
      <c r="B246" s="4" t="s">
        <v>1462</v>
      </c>
      <c r="C246" s="4" t="s">
        <v>1463</v>
      </c>
      <c r="D246" s="37" t="n">
        <f aca="false">C6</f>
        <v>0.12</v>
      </c>
      <c r="E246" s="26" t="n">
        <f aca="false">C75</f>
        <v>367.698339337244</v>
      </c>
      <c r="F246" s="17" t="n">
        <f aca="false">D73</f>
        <v>0.460169051843275</v>
      </c>
      <c r="G246" s="4" t="s">
        <v>1464</v>
      </c>
      <c r="H246" s="12"/>
      <c r="I246" s="12"/>
      <c r="J246" s="12"/>
      <c r="K246" s="12"/>
      <c r="L246" s="12"/>
      <c r="M246" s="12"/>
    </row>
    <row r="247" customFormat="false" ht="15" hidden="false" customHeight="true" outlineLevel="0" collapsed="false">
      <c r="A247" s="12" t="s">
        <v>1465</v>
      </c>
      <c r="B247" s="4" t="s">
        <v>1462</v>
      </c>
      <c r="C247" s="4" t="s">
        <v>1466</v>
      </c>
      <c r="D247" s="37" t="n">
        <f aca="false">C6</f>
        <v>0.12</v>
      </c>
      <c r="E247" s="25" t="n">
        <f aca="false">(C71+C72+C64)/100</f>
        <v>592.940431038755</v>
      </c>
      <c r="F247" s="17" t="n">
        <f aca="false">IFERROR(C64/(C71+C72+C64),0)</f>
        <v>0.66523628214669</v>
      </c>
      <c r="G247" s="4" t="s">
        <v>1467</v>
      </c>
      <c r="H247" s="12"/>
      <c r="I247" s="12"/>
      <c r="J247" s="12"/>
      <c r="K247" s="12"/>
      <c r="L247" s="12"/>
      <c r="M247" s="12"/>
    </row>
    <row r="248" customFormat="false" ht="15" hidden="false" customHeight="true" outlineLevel="0" collapsed="false">
      <c r="A248" s="12" t="s">
        <v>1468</v>
      </c>
      <c r="B248" s="4" t="s">
        <v>1469</v>
      </c>
      <c r="C248" s="4" t="s">
        <v>1470</v>
      </c>
      <c r="D248" s="37" t="n">
        <f aca="false">C6</f>
        <v>0.12</v>
      </c>
      <c r="E248" s="25" t="n">
        <f aca="false">C84</f>
        <v>465.384209857741</v>
      </c>
      <c r="F248" s="12"/>
      <c r="G248" s="4" t="s">
        <v>1471</v>
      </c>
      <c r="H248" s="12"/>
      <c r="I248" s="12"/>
      <c r="J248" s="12"/>
      <c r="K248" s="12"/>
      <c r="L248" s="12"/>
      <c r="M248" s="12"/>
    </row>
    <row r="249" customFormat="false" ht="15" hidden="false" customHeight="true" outlineLevel="0" collapsed="false">
      <c r="A249" s="12" t="s">
        <v>1472</v>
      </c>
      <c r="B249" s="4" t="s">
        <v>1462</v>
      </c>
      <c r="C249" s="4" t="s">
        <v>1473</v>
      </c>
      <c r="D249" s="37" t="n">
        <f aca="false">C6</f>
        <v>0.12</v>
      </c>
      <c r="E249" s="25" t="n">
        <f aca="false">C85</f>
        <v>198.494943160078</v>
      </c>
      <c r="F249" s="17" t="n">
        <v>0</v>
      </c>
      <c r="G249" s="4" t="s">
        <v>1474</v>
      </c>
      <c r="H249" s="12"/>
      <c r="I249" s="12"/>
      <c r="J249" s="12"/>
      <c r="K249" s="12"/>
      <c r="L249" s="12"/>
      <c r="M249" s="12"/>
    </row>
    <row r="250" customFormat="false" ht="15" hidden="false" customHeight="true" outlineLevel="0" collapsed="false">
      <c r="A250" s="12" t="s">
        <v>1475</v>
      </c>
      <c r="B250" s="4" t="s">
        <v>1462</v>
      </c>
      <c r="C250" s="4" t="s">
        <v>1476</v>
      </c>
      <c r="D250" s="81" t="n">
        <v>0.2</v>
      </c>
      <c r="E250" s="25" t="n">
        <f aca="false">C86</f>
        <v>161.350603970639</v>
      </c>
      <c r="F250" s="12"/>
      <c r="G250" s="4" t="s">
        <v>1477</v>
      </c>
      <c r="H250" s="12"/>
      <c r="I250" s="12"/>
      <c r="J250" s="12"/>
      <c r="K250" s="12"/>
      <c r="L250" s="12"/>
      <c r="M250" s="12"/>
    </row>
    <row r="251" customFormat="false" ht="15" hidden="false" customHeight="true" outlineLevel="0" collapsed="false">
      <c r="A251" s="12" t="s">
        <v>1478</v>
      </c>
      <c r="B251" s="4" t="s">
        <v>1479</v>
      </c>
      <c r="C251" s="4" t="s">
        <v>1480</v>
      </c>
      <c r="D251" s="37" t="n">
        <f aca="false">C6</f>
        <v>0.12</v>
      </c>
      <c r="E251" s="25" t="n">
        <f aca="false">F195</f>
        <v>503.128421023422</v>
      </c>
      <c r="F251" s="12"/>
      <c r="G251" s="4" t="s">
        <v>1481</v>
      </c>
      <c r="H251" s="12"/>
      <c r="I251" s="12"/>
      <c r="J251" s="12"/>
      <c r="K251" s="12"/>
      <c r="L251" s="12"/>
      <c r="M251" s="12"/>
    </row>
    <row r="252" customFormat="false" ht="15" hidden="false" customHeight="true" outlineLevel="0" collapsed="false">
      <c r="A252" s="12" t="s">
        <v>1482</v>
      </c>
      <c r="B252" s="4" t="s">
        <v>1469</v>
      </c>
      <c r="C252" s="4" t="s">
        <v>1483</v>
      </c>
      <c r="D252" s="37" t="n">
        <f aca="false">C6</f>
        <v>0.12</v>
      </c>
      <c r="E252" s="25" t="n">
        <f aca="false">D225</f>
        <v>494.172463330025</v>
      </c>
      <c r="F252" s="12"/>
      <c r="G252" s="4" t="str">
        <f aca="false">"Market multiple instead of a perpetuity. Range: "&amp;TEXT(C225,"0.0")&amp;" to "&amp;TEXT(E225,"0.0")&amp;" crore."</f>
        <v>Market multiple instead of a perpetuity. Range: 315.5 to 672.9 crore.</v>
      </c>
      <c r="H252" s="12"/>
      <c r="I252" s="12"/>
      <c r="J252" s="12"/>
      <c r="K252" s="12"/>
      <c r="L252" s="12"/>
      <c r="M252" s="12"/>
    </row>
    <row r="253" customFormat="false" ht="15" hidden="false" customHeight="true" outlineLevel="0" collapsed="false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</row>
    <row r="254" customFormat="false" ht="15" hidden="false" customHeight="true" outlineLevel="0" collapsed="false">
      <c r="A254" s="5" t="s">
        <v>1484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customFormat="false" ht="15" hidden="false" customHeight="true" outlineLevel="0" collapsed="false">
      <c r="A255" s="15" t="s">
        <v>455</v>
      </c>
      <c r="B255" s="15"/>
      <c r="C255" s="15"/>
      <c r="D255" s="15"/>
      <c r="E255" s="15" t="s">
        <v>27</v>
      </c>
      <c r="F255" s="15" t="s">
        <v>1485</v>
      </c>
      <c r="G255" s="12"/>
      <c r="H255" s="12"/>
      <c r="I255" s="12"/>
      <c r="J255" s="12"/>
      <c r="K255" s="12"/>
      <c r="L255" s="12"/>
      <c r="M255" s="12"/>
    </row>
    <row r="256" customFormat="false" ht="15" hidden="false" customHeight="true" outlineLevel="0" collapsed="false">
      <c r="A256" s="12" t="s">
        <v>1465</v>
      </c>
      <c r="B256" s="12"/>
      <c r="C256" s="12"/>
      <c r="D256" s="12"/>
      <c r="E256" s="18" t="n">
        <f aca="false">E247</f>
        <v>592.940431038755</v>
      </c>
      <c r="F256" s="12"/>
      <c r="G256" s="12"/>
      <c r="H256" s="12"/>
      <c r="I256" s="12"/>
      <c r="J256" s="12"/>
      <c r="K256" s="12"/>
      <c r="L256" s="12"/>
      <c r="M256" s="12"/>
    </row>
    <row r="257" customFormat="false" ht="15" hidden="false" customHeight="true" outlineLevel="0" collapsed="false">
      <c r="A257" s="12" t="s">
        <v>1486</v>
      </c>
      <c r="B257" s="12"/>
      <c r="C257" s="12"/>
      <c r="D257" s="12"/>
      <c r="E257" s="18" t="n">
        <f aca="false">E258-E256</f>
        <v>-225.242091701511</v>
      </c>
      <c r="F257" s="4" t="s">
        <v>1487</v>
      </c>
      <c r="G257" s="12"/>
      <c r="H257" s="12"/>
      <c r="I257" s="12"/>
      <c r="J257" s="12"/>
      <c r="K257" s="12"/>
      <c r="L257" s="12"/>
      <c r="M257" s="12"/>
    </row>
    <row r="258" customFormat="false" ht="15" hidden="false" customHeight="true" outlineLevel="0" collapsed="false">
      <c r="A258" s="5" t="s">
        <v>1488</v>
      </c>
      <c r="B258" s="12"/>
      <c r="C258" s="12"/>
      <c r="D258" s="12"/>
      <c r="E258" s="57" t="n">
        <f aca="false">E246</f>
        <v>367.698339337244</v>
      </c>
      <c r="F258" s="12"/>
      <c r="G258" s="12"/>
      <c r="H258" s="12"/>
      <c r="I258" s="12"/>
      <c r="J258" s="12"/>
      <c r="K258" s="12"/>
      <c r="L258" s="12"/>
      <c r="M258" s="12"/>
    </row>
    <row r="259" customFormat="false" ht="15" hidden="false" customHeight="true" outlineLevel="0" collapsed="false">
      <c r="A259" s="12" t="s">
        <v>1489</v>
      </c>
      <c r="B259" s="12"/>
      <c r="C259" s="12"/>
      <c r="D259" s="12"/>
      <c r="E259" s="18" t="n">
        <f aca="false">E260-E258</f>
        <v>135.430081686178</v>
      </c>
      <c r="F259" s="4" t="s">
        <v>1487</v>
      </c>
      <c r="G259" s="12"/>
      <c r="H259" s="12"/>
      <c r="I259" s="12"/>
      <c r="J259" s="12"/>
      <c r="K259" s="12"/>
      <c r="L259" s="12"/>
      <c r="M259" s="12"/>
    </row>
    <row r="260" customFormat="false" ht="15" hidden="false" customHeight="true" outlineLevel="0" collapsed="false">
      <c r="A260" s="5" t="s">
        <v>1377</v>
      </c>
      <c r="B260" s="12"/>
      <c r="C260" s="12"/>
      <c r="D260" s="12"/>
      <c r="E260" s="13" t="n">
        <f aca="false">F195</f>
        <v>503.128421023422</v>
      </c>
      <c r="F260" s="12"/>
      <c r="G260" s="12"/>
      <c r="H260" s="12"/>
      <c r="I260" s="12"/>
      <c r="J260" s="12"/>
      <c r="K260" s="12"/>
      <c r="L260" s="12"/>
      <c r="M260" s="12"/>
    </row>
    <row r="261" customFormat="false" ht="15" hidden="false" customHeight="true" outlineLevel="0" collapsed="false">
      <c r="A261" s="4" t="s">
        <v>1490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</row>
    <row r="262" customFormat="false" ht="15" hidden="false" customHeight="true" outlineLevel="0" collapsed="false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customFormat="false" ht="15" hidden="false" customHeight="true" outlineLevel="0" collapsed="false">
      <c r="A263" s="10" t="s">
        <v>1491</v>
      </c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</row>
    <row r="264" customFormat="false" ht="15" hidden="false" customHeight="true" outlineLevel="0" collapsed="false">
      <c r="A264" s="4" t="s">
        <v>1492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</row>
    <row r="265" customFormat="false" ht="15" hidden="false" customHeight="true" outlineLevel="0" collapsed="false">
      <c r="A265" s="4" t="s">
        <v>1493</v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</row>
    <row r="266" customFormat="false" ht="15" hidden="false" customHeight="true" outlineLevel="0" collapsed="false">
      <c r="A266" s="4" t="s">
        <v>1494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customFormat="false" ht="15" hidden="false" customHeight="true" outlineLevel="0" collapsed="false">
      <c r="A267" s="4" t="s">
        <v>1495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</row>
    <row r="268" customFormat="false" ht="15" hidden="false" customHeight="true" outlineLevel="0" collapsed="false">
      <c r="A268" s="4" t="s">
        <v>1496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customFormat="false" ht="15" hidden="false" customHeight="true" outlineLevel="0" collapsed="false">
      <c r="A269" s="4" t="s">
        <v>1497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</row>
    <row r="270" customFormat="false" ht="15" hidden="false" customHeight="true" outlineLevel="0" collapsed="false">
      <c r="A270" s="4" t="s">
        <v>1498</v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</row>
    <row r="271" customFormat="false" ht="15" hidden="false" customHeight="true" outlineLevel="0" collapsed="false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</row>
    <row r="272" customFormat="false" ht="15" hidden="false" customHeight="true" outlineLevel="0" collapsed="false">
      <c r="A272" s="10" t="s">
        <v>1499</v>
      </c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</row>
    <row r="273" customFormat="false" ht="15" hidden="false" customHeight="true" outlineLevel="0" collapsed="false">
      <c r="A273" s="80" t="s">
        <v>44</v>
      </c>
      <c r="B273" s="80" t="s">
        <v>42</v>
      </c>
      <c r="C273" s="12"/>
      <c r="D273" s="12"/>
      <c r="E273" s="12"/>
      <c r="F273" s="12"/>
      <c r="G273" s="12"/>
      <c r="H273" s="80" t="str">
        <f aca="false">H18</f>
        <v>FY32</v>
      </c>
      <c r="I273" s="80" t="str">
        <f aca="false">I18</f>
        <v>FY33</v>
      </c>
      <c r="J273" s="80" t="str">
        <f aca="false">J18</f>
        <v>FY34</v>
      </c>
      <c r="K273" s="80" t="str">
        <f aca="false">K18</f>
        <v>FY35</v>
      </c>
      <c r="L273" s="80" t="str">
        <f aca="false">L18</f>
        <v>FY36</v>
      </c>
      <c r="M273" s="12"/>
    </row>
    <row r="274" customFormat="false" ht="15" hidden="false" customHeight="true" outlineLevel="0" collapsed="false">
      <c r="A274" s="12" t="s">
        <v>1500</v>
      </c>
      <c r="B274" s="4" t="s">
        <v>44</v>
      </c>
      <c r="C274" s="12"/>
      <c r="D274" s="12"/>
      <c r="E274" s="12"/>
      <c r="F274" s="12"/>
      <c r="G274" s="12"/>
      <c r="H274" s="16" t="n">
        <f aca="false">MAX(0,$G$26)*(1+$C$7)^(H$19-5)</f>
        <v>9186.58530672542</v>
      </c>
      <c r="I274" s="16" t="n">
        <f aca="false">MAX(0,$G$26)*(1+$C$7)^(I$19-5)</f>
        <v>9645.91457206169</v>
      </c>
      <c r="J274" s="16" t="n">
        <f aca="false">MAX(0,$G$26)*(1+$C$7)^(J$19-5)</f>
        <v>10128.2103006648</v>
      </c>
      <c r="K274" s="16" t="n">
        <f aca="false">MAX(0,$G$26)*(1+$C$7)^(K$19-5)</f>
        <v>10634.620815698</v>
      </c>
      <c r="L274" s="16" t="n">
        <f aca="false">MAX(0,$G$26)*(1+$C$7)^(L$19-5)</f>
        <v>11166.3518564829</v>
      </c>
      <c r="M274" s="12"/>
    </row>
    <row r="275" customFormat="false" ht="15" hidden="false" customHeight="true" outlineLevel="0" collapsed="false">
      <c r="A275" s="12" t="s">
        <v>1360</v>
      </c>
      <c r="B275" s="4" t="s">
        <v>44</v>
      </c>
      <c r="C275" s="12"/>
      <c r="D275" s="12"/>
      <c r="E275" s="12"/>
      <c r="F275" s="12"/>
      <c r="G275" s="12"/>
      <c r="H275" s="16" t="n">
        <f aca="false">$H$28</f>
        <v>0</v>
      </c>
      <c r="I275" s="16" t="n">
        <f aca="false">H277</f>
        <v>0</v>
      </c>
      <c r="J275" s="16" t="n">
        <f aca="false">I277</f>
        <v>0</v>
      </c>
      <c r="K275" s="16" t="n">
        <f aca="false">J277</f>
        <v>0</v>
      </c>
      <c r="L275" s="16" t="n">
        <f aca="false">K277</f>
        <v>0</v>
      </c>
      <c r="M275" s="12"/>
    </row>
    <row r="276" customFormat="false" ht="15" hidden="false" customHeight="true" outlineLevel="0" collapsed="false">
      <c r="A276" s="12" t="s">
        <v>1248</v>
      </c>
      <c r="B276" s="4" t="s">
        <v>44</v>
      </c>
      <c r="C276" s="12"/>
      <c r="D276" s="12"/>
      <c r="E276" s="12"/>
      <c r="F276" s="12"/>
      <c r="G276" s="12"/>
      <c r="H276" s="16" t="n">
        <f aca="false">MIN(H275,H274)</f>
        <v>0</v>
      </c>
      <c r="I276" s="16" t="n">
        <f aca="false">MIN(I275,I274)</f>
        <v>0</v>
      </c>
      <c r="J276" s="16" t="n">
        <f aca="false">MIN(J275,J274)</f>
        <v>0</v>
      </c>
      <c r="K276" s="16" t="n">
        <f aca="false">MIN(K275,K274)</f>
        <v>0</v>
      </c>
      <c r="L276" s="16" t="n">
        <f aca="false">MIN(L275,L274)</f>
        <v>0</v>
      </c>
      <c r="M276" s="12"/>
    </row>
    <row r="277" customFormat="false" ht="15" hidden="false" customHeight="true" outlineLevel="0" collapsed="false">
      <c r="A277" s="12" t="s">
        <v>1361</v>
      </c>
      <c r="B277" s="4" t="s">
        <v>44</v>
      </c>
      <c r="C277" s="12"/>
      <c r="D277" s="12"/>
      <c r="E277" s="12"/>
      <c r="F277" s="12"/>
      <c r="G277" s="12"/>
      <c r="H277" s="16" t="n">
        <f aca="false">H275-H276</f>
        <v>0</v>
      </c>
      <c r="I277" s="16" t="n">
        <f aca="false">I275-I276</f>
        <v>0</v>
      </c>
      <c r="J277" s="16" t="n">
        <f aca="false">J275-J276</f>
        <v>0</v>
      </c>
      <c r="K277" s="16" t="n">
        <f aca="false">K275-K276</f>
        <v>0</v>
      </c>
      <c r="L277" s="16" t="n">
        <f aca="false">L275-L276</f>
        <v>0</v>
      </c>
      <c r="M277" s="12"/>
    </row>
    <row r="278" customFormat="false" ht="15" hidden="false" customHeight="true" outlineLevel="0" collapsed="false">
      <c r="A278" s="12" t="s">
        <v>1501</v>
      </c>
      <c r="B278" s="4" t="s">
        <v>44</v>
      </c>
      <c r="C278" s="12"/>
      <c r="D278" s="12"/>
      <c r="E278" s="12"/>
      <c r="F278" s="12"/>
      <c r="G278" s="12"/>
      <c r="H278" s="16" t="n">
        <f aca="false">H276*$C$13*H$35</f>
        <v>0</v>
      </c>
      <c r="I278" s="16" t="n">
        <f aca="false">I276*$C$13*I$35</f>
        <v>0</v>
      </c>
      <c r="J278" s="16" t="n">
        <f aca="false">J276*$C$13*J$35</f>
        <v>0</v>
      </c>
      <c r="K278" s="16" t="n">
        <f aca="false">K276*$C$13*K$35</f>
        <v>0</v>
      </c>
      <c r="L278" s="16" t="n">
        <f aca="false">L276*$C$13*L$35</f>
        <v>0</v>
      </c>
      <c r="M278" s="12"/>
    </row>
    <row r="279" customFormat="false" ht="15" hidden="false" customHeight="true" outlineLevel="0" collapsed="false">
      <c r="A279" s="5" t="s">
        <v>1502</v>
      </c>
      <c r="B279" s="4" t="s">
        <v>44</v>
      </c>
      <c r="C279" s="52" t="n">
        <f aca="false">SUM(H278:L278)</f>
        <v>0</v>
      </c>
      <c r="D279" s="12"/>
      <c r="E279" s="12"/>
      <c r="F279" s="12"/>
      <c r="G279" s="12"/>
      <c r="H279" s="12"/>
      <c r="I279" s="12"/>
      <c r="J279" s="12"/>
      <c r="K279" s="12"/>
      <c r="L279" s="12"/>
      <c r="M279" s="12"/>
    </row>
    <row r="280" customFormat="false" ht="15" hidden="false" customHeight="true" outlineLevel="0" collapsed="false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</row>
    <row r="281" customFormat="false" ht="15" hidden="false" customHeight="true" outlineLevel="0" collapsed="false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</row>
    <row r="282" customFormat="false" ht="15" hidden="false" customHeight="true" outlineLevel="0" collapsed="false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</row>
    <row r="283" customFormat="false" ht="15" hidden="false" customHeight="true" outlineLevel="0" collapsed="false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</row>
    <row r="284" customFormat="false" ht="15" hidden="false" customHeight="true" outlineLevel="0" collapsed="false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customFormat="false" ht="15" hidden="false" customHeight="true" outlineLevel="0" collapsed="false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</row>
    <row r="286" customFormat="false" ht="15" hidden="false" customHeight="true" outlineLevel="0" collapsed="false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</row>
    <row r="287" customFormat="false" ht="15" hidden="false" customHeight="true" outlineLevel="0" collapsed="false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</row>
    <row r="288" customFormat="false" ht="15" hidden="false" customHeight="true" outlineLevel="0" collapsed="false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</row>
    <row r="289" customFormat="false" ht="15" hidden="false" customHeight="true" outlineLevel="0" collapsed="false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</row>
    <row r="290" customFormat="false" ht="15" hidden="false" customHeight="true" outlineLevel="0" collapsed="false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customFormat="false" ht="15" hidden="false" customHeight="true" outlineLevel="0" collapsed="false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</row>
    <row r="292" customFormat="false" ht="15" hidden="false" customHeight="true" outlineLevel="0" collapsed="false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</row>
    <row r="293" customFormat="false" ht="15" hidden="false" customHeight="true" outlineLevel="0" collapsed="false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</row>
    <row r="294" customFormat="false" ht="15" hidden="false" customHeight="true" outlineLevel="0" collapsed="false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</row>
    <row r="295" customFormat="false" ht="15" hidden="false" customHeight="true" outlineLevel="0" collapsed="false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</row>
    <row r="296" customFormat="false" ht="15" hidden="false" customHeight="true" outlineLevel="0" collapsed="false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customFormat="false" ht="15" hidden="false" customHeight="true" outlineLevel="0" collapsed="false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</row>
    <row r="298" customFormat="false" ht="15" hidden="false" customHeight="true" outlineLevel="0" collapsed="false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</row>
    <row r="299" customFormat="false" ht="15" hidden="false" customHeight="true" outlineLevel="0" collapsed="false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</row>
    <row r="300" customFormat="false" ht="15" hidden="false" customHeight="true" outlineLevel="0" collapsed="false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</row>
    <row r="301" customFormat="false" ht="15" hidden="false" customHeight="true" outlineLevel="0" collapsed="false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</row>
    <row r="302" customFormat="false" ht="15" hidden="false" customHeight="true" outlineLevel="0" collapsed="false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customFormat="false" ht="15" hidden="false" customHeight="true" outlineLevel="0" collapsed="false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</row>
    <row r="304" customFormat="false" ht="15" hidden="false" customHeight="tru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</row>
    <row r="305" customFormat="false" ht="15" hidden="false" customHeight="true" outlineLevel="0" collapsed="false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</row>
    <row r="306" customFormat="false" ht="15" hidden="false" customHeight="true" outlineLevel="0" collapsed="false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customFormat="false" ht="15" hidden="false" customHeight="true" outlineLevel="0" collapsed="false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</row>
    <row r="308" customFormat="false" ht="15" hidden="false" customHeight="true" outlineLevel="0" collapsed="false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customFormat="false" ht="15" hidden="false" customHeight="true" outlineLevel="0" collapsed="false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</row>
    <row r="310" customFormat="false" ht="15" hidden="false" customHeight="true" outlineLevel="0" collapsed="false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customFormat="false" ht="15" hidden="false" customHeight="true" outlineLevel="0" collapsed="false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</row>
    <row r="312" customFormat="false" ht="15" hidden="false" customHeight="true" outlineLevel="0" collapsed="false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customFormat="false" ht="15" hidden="false" customHeight="true" outlineLevel="0" collapsed="false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</row>
    <row r="314" customFormat="false" ht="15" hidden="false" customHeight="true" outlineLevel="0" collapsed="false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</row>
    <row r="315" customFormat="false" ht="15" hidden="false" customHeight="true" outlineLevel="0" collapsed="false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</row>
    <row r="316" customFormat="false" ht="15" hidden="false" customHeight="true" outlineLevel="0" collapsed="false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</row>
    <row r="317" customFormat="false" ht="15" hidden="false" customHeight="true" outlineLevel="0" collapsed="false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</row>
    <row r="318" customFormat="false" ht="15" hidden="false" customHeight="true" outlineLevel="0" collapsed="false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</row>
    <row r="319" customFormat="false" ht="15" hidden="false" customHeight="true" outlineLevel="0" collapsed="false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</row>
    <row r="320" customFormat="false" ht="15" hidden="false" customHeight="true" outlineLevel="0" collapsed="false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</row>
    <row r="321" customFormat="false" ht="15" hidden="false" customHeight="true" outlineLevel="0" collapsed="false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</row>
    <row r="322" customFormat="false" ht="15" hidden="false" customHeight="true" outlineLevel="0" collapsed="false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</row>
    <row r="323" customFormat="false" ht="15" hidden="false" customHeight="true" outlineLevel="0" collapsed="false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</row>
    <row r="324" customFormat="false" ht="15" hidden="false" customHeight="true" outlineLevel="0" collapsed="false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</row>
    <row r="325" customFormat="false" ht="15" hidden="false" customHeight="true" outlineLevel="0" collapsed="false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</row>
    <row r="326" customFormat="false" ht="15" hidden="false" customHeight="true" outlineLevel="0" collapsed="false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</row>
    <row r="327" customFormat="false" ht="15" hidden="false" customHeight="true" outlineLevel="0" collapsed="false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</row>
    <row r="328" customFormat="false" ht="15" hidden="false" customHeight="true" outlineLevel="0" collapsed="false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</row>
    <row r="329" customFormat="false" ht="15" hidden="false" customHeight="true" outlineLevel="0" collapsed="false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</row>
    <row r="330" customFormat="false" ht="15" hidden="false" customHeight="true" outlineLevel="0" collapsed="false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</row>
    <row r="331" customFormat="false" ht="15" hidden="false" customHeight="true" outlineLevel="0" collapsed="false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</row>
    <row r="332" customFormat="false" ht="15" hidden="false" customHeight="true" outlineLevel="0" collapsed="false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</row>
    <row r="333" customFormat="false" ht="15" hidden="false" customHeight="true" outlineLevel="0" collapsed="false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</row>
    <row r="334" customFormat="false" ht="15" hidden="false" customHeight="true" outlineLevel="0" collapsed="false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</row>
    <row r="335" customFormat="false" ht="15" hidden="false" customHeight="true" outlineLevel="0" collapsed="false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</row>
    <row r="336" customFormat="false" ht="15" hidden="false" customHeight="true" outlineLevel="0" collapsed="false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</row>
    <row r="337" customFormat="false" ht="15" hidden="false" customHeight="true" outlineLevel="0" collapsed="false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</row>
    <row r="338" customFormat="false" ht="15" hidden="false" customHeight="true" outlineLevel="0" collapsed="false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</row>
    <row r="339" customFormat="false" ht="15" hidden="false" customHeight="true" outlineLevel="0" collapsed="false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</row>
    <row r="340" customFormat="false" ht="15" hidden="false" customHeight="true" outlineLevel="0" collapsed="false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</row>
    <row r="341" customFormat="false" ht="15" hidden="false" customHeight="true" outlineLevel="0" collapsed="false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</row>
    <row r="342" customFormat="false" ht="15" hidden="false" customHeight="true" outlineLevel="0" collapsed="false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</row>
    <row r="343" customFormat="false" ht="15" hidden="false" customHeight="true" outlineLevel="0" collapsed="false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</row>
    <row r="344" customFormat="false" ht="15" hidden="false" customHeight="true" outlineLevel="0" collapsed="false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</row>
    <row r="345" customFormat="false" ht="15" hidden="false" customHeight="true" outlineLevel="0" collapsed="false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</row>
    <row r="346" customFormat="false" ht="15" hidden="false" customHeight="true" outlineLevel="0" collapsed="false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</row>
    <row r="347" customFormat="false" ht="15" hidden="false" customHeight="tru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</row>
    <row r="348" customFormat="false" ht="15" hidden="false" customHeight="tru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</row>
    <row r="349" customFormat="false" ht="15" hidden="false" customHeight="tru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</row>
    <row r="350" customFormat="false" ht="15" hidden="false" customHeight="tru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</row>
    <row r="351" customFormat="false" ht="15" hidden="false" customHeight="tru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</row>
    <row r="352" customFormat="false" ht="15" hidden="false" customHeight="tru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</row>
    <row r="353" customFormat="false" ht="15" hidden="false" customHeight="tru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</row>
    <row r="354" customFormat="false" ht="15" hidden="false" customHeight="tru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</row>
    <row r="355" customFormat="false" ht="15" hidden="false" customHeight="tru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</row>
    <row r="356" customFormat="false" ht="15" hidden="false" customHeight="tru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</row>
    <row r="357" customFormat="false" ht="15" hidden="false" customHeight="tru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</row>
    <row r="358" customFormat="false" ht="15" hidden="false" customHeight="tru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</row>
    <row r="359" customFormat="false" ht="15" hidden="false" customHeight="tru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</row>
    <row r="360" customFormat="false" ht="15" hidden="false" customHeight="tru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</row>
    <row r="361" customFormat="false" ht="15" hidden="false" customHeight="tru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</row>
    <row r="362" customFormat="false" ht="15" hidden="false" customHeight="tru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</row>
    <row r="363" customFormat="false" ht="15" hidden="false" customHeight="tru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</row>
    <row r="364" customFormat="false" ht="15" hidden="false" customHeight="tru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</row>
    <row r="365" customFormat="false" ht="15" hidden="false" customHeight="tru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</row>
    <row r="366" customFormat="false" ht="15" hidden="false" customHeight="tru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</row>
    <row r="367" customFormat="false" ht="15" hidden="false" customHeight="tru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</row>
    <row r="368" customFormat="false" ht="15" hidden="false" customHeight="tru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</row>
    <row r="369" customFormat="false" ht="15" hidden="false" customHeight="tru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</row>
    <row r="370" customFormat="false" ht="15" hidden="false" customHeight="tru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</row>
    <row r="371" customFormat="false" ht="15" hidden="false" customHeight="tru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</row>
    <row r="372" customFormat="false" ht="15" hidden="false" customHeight="tru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</row>
    <row r="373" customFormat="false" ht="15" hidden="false" customHeight="tru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</row>
    <row r="374" customFormat="false" ht="15" hidden="false" customHeight="tru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</row>
    <row r="375" customFormat="false" ht="15" hidden="false" customHeight="tru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</row>
    <row r="376" customFormat="false" ht="15" hidden="false" customHeight="tru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</row>
    <row r="377" customFormat="false" ht="15" hidden="false" customHeight="tru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</row>
    <row r="378" customFormat="false" ht="15" hidden="false" customHeight="tru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</row>
    <row r="379" customFormat="false" ht="15" hidden="false" customHeight="tru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</row>
    <row r="380" customFormat="false" ht="15" hidden="false" customHeight="tru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</row>
    <row r="381" customFormat="false" ht="15" hidden="false" customHeight="tru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</row>
    <row r="382" customFormat="false" ht="15" hidden="false" customHeight="tru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</row>
    <row r="383" customFormat="false" ht="15" hidden="false" customHeight="tru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</row>
    <row r="384" customFormat="false" ht="15" hidden="false" customHeight="tru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</row>
    <row r="385" customFormat="false" ht="15" hidden="false" customHeight="tru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</row>
    <row r="386" customFormat="false" ht="15" hidden="false" customHeight="tru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</row>
    <row r="387" customFormat="false" ht="15" hidden="false" customHeight="tru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</row>
    <row r="388" customFormat="false" ht="15" hidden="false" customHeight="tru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</row>
    <row r="389" customFormat="false" ht="15" hidden="false" customHeight="tru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</row>
    <row r="390" customFormat="false" ht="15" hidden="false" customHeight="tru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</row>
    <row r="391" customFormat="false" ht="15" hidden="false" customHeight="tru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</row>
    <row r="392" customFormat="false" ht="15" hidden="false" customHeight="tru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</row>
    <row r="393" customFormat="false" ht="15" hidden="false" customHeight="tru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</row>
    <row r="394" customFormat="false" ht="15" hidden="false" customHeight="tru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</row>
    <row r="395" customFormat="false" ht="15" hidden="false" customHeight="tru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</row>
    <row r="396" customFormat="false" ht="15" hidden="false" customHeight="tru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</row>
    <row r="397" customFormat="false" ht="15" hidden="false" customHeight="tru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</row>
    <row r="398" customFormat="false" ht="15" hidden="false" customHeight="tru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</row>
    <row r="399" customFormat="false" ht="15" hidden="false" customHeight="tru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</row>
    <row r="400" customFormat="false" ht="15" hidden="false" customHeight="true" outlineLevel="0" collapsed="false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3"/>
    <col collapsed="false" customWidth="true" hidden="false" outlineLevel="0" max="3" min="3" style="1" width="34"/>
    <col collapsed="false" customWidth="true" hidden="false" outlineLevel="0" max="5" min="4" style="1" width="13"/>
    <col collapsed="false" customWidth="true" hidden="false" outlineLevel="0" max="6" min="6" style="1" width="64"/>
    <col collapsed="false" customWidth="true" hidden="false" outlineLevel="0" max="7" min="7" style="1" width="40"/>
    <col collapsed="false" customWidth="true" hidden="false" outlineLevel="0" max="8" min="8" style="1" width="18"/>
  </cols>
  <sheetData>
    <row r="1" customFormat="false" ht="17.25" hidden="false" customHeight="true" outlineLevel="0" collapsed="false">
      <c r="A1" s="2" t="s">
        <v>1503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4" t="s">
        <v>1504</v>
      </c>
    </row>
    <row r="4" customFormat="false" ht="15" hidden="false" customHeight="true" outlineLevel="0" collapsed="false">
      <c r="A4" s="10" t="s">
        <v>1505</v>
      </c>
      <c r="B4" s="10"/>
      <c r="C4" s="10"/>
      <c r="D4" s="10"/>
      <c r="E4" s="10"/>
      <c r="F4" s="10"/>
      <c r="G4" s="10"/>
      <c r="H4" s="10"/>
    </row>
    <row r="5" customFormat="false" ht="42" hidden="false" customHeight="true" outlineLevel="0" collapsed="false">
      <c r="A5" s="15" t="s">
        <v>455</v>
      </c>
      <c r="B5" s="15" t="s">
        <v>1506</v>
      </c>
      <c r="C5" s="15" t="s">
        <v>1507</v>
      </c>
      <c r="D5" s="15" t="s">
        <v>1508</v>
      </c>
      <c r="E5" s="15" t="s">
        <v>1509</v>
      </c>
      <c r="F5" s="15" t="s">
        <v>1510</v>
      </c>
      <c r="G5" s="15" t="s">
        <v>1511</v>
      </c>
      <c r="H5" s="15" t="s">
        <v>1512</v>
      </c>
    </row>
    <row r="6" customFormat="false" ht="15" hidden="false" customHeight="true" outlineLevel="0" collapsed="false">
      <c r="A6" s="87" t="s">
        <v>1513</v>
      </c>
      <c r="B6" s="88" t="n">
        <v>-44.128503150599</v>
      </c>
      <c r="C6" s="89"/>
      <c r="D6" s="90" t="n">
        <v>11.5455770752428</v>
      </c>
      <c r="E6" s="90" t="n">
        <v>-6.71592870721183</v>
      </c>
      <c r="F6" s="91" t="s">
        <v>1514</v>
      </c>
      <c r="G6" s="90" t="n">
        <v>26.1342710736036</v>
      </c>
      <c r="H6" s="92" t="s">
        <v>1515</v>
      </c>
    </row>
    <row r="7" customFormat="false" ht="15" hidden="false" customHeight="true" outlineLevel="0" collapsed="false">
      <c r="A7" s="93" t="s">
        <v>1516</v>
      </c>
      <c r="B7" s="90" t="n">
        <v>-34.4007435067662</v>
      </c>
      <c r="C7" s="89" t="n">
        <f aca="false">B7-B6</f>
        <v>9.72775964383281</v>
      </c>
      <c r="D7" s="90" t="n">
        <v>13.2812771928054</v>
      </c>
      <c r="E7" s="90" t="n">
        <v>-5.07099165380425</v>
      </c>
      <c r="F7" s="91" t="s">
        <v>1517</v>
      </c>
      <c r="G7" s="90" t="n">
        <v>23.306196391529</v>
      </c>
      <c r="H7" s="92" t="s">
        <v>1515</v>
      </c>
    </row>
    <row r="8" customFormat="false" ht="15" hidden="false" customHeight="true" outlineLevel="0" collapsed="false">
      <c r="A8" s="93" t="s">
        <v>1518</v>
      </c>
      <c r="B8" s="90" t="n">
        <v>-22.5906492819338</v>
      </c>
      <c r="C8" s="89" t="n">
        <f aca="false">B8-B7</f>
        <v>11.8100942248324</v>
      </c>
      <c r="D8" s="90" t="n">
        <v>15.3573742876304</v>
      </c>
      <c r="E8" s="90" t="n">
        <v>-3.08294827793554</v>
      </c>
      <c r="F8" s="91" t="s">
        <v>1519</v>
      </c>
      <c r="G8" s="90" t="n">
        <v>19.7449458672765</v>
      </c>
      <c r="H8" s="92" t="s">
        <v>1515</v>
      </c>
    </row>
    <row r="9" customFormat="false" ht="15" hidden="false" customHeight="true" outlineLevel="0" collapsed="false">
      <c r="A9" s="93" t="s">
        <v>1520</v>
      </c>
      <c r="B9" s="90" t="n">
        <v>8.33990000635559</v>
      </c>
      <c r="C9" s="89" t="n">
        <f aca="false">B9-B8</f>
        <v>30.9305492882894</v>
      </c>
      <c r="D9" s="90" t="n">
        <v>17.3608048522007</v>
      </c>
      <c r="E9" s="90" t="n">
        <v>-1.07951771336522</v>
      </c>
      <c r="F9" s="91" t="s">
        <v>1521</v>
      </c>
      <c r="G9" s="90" t="n">
        <v>15.4016126089571</v>
      </c>
      <c r="H9" s="92" t="s">
        <v>1522</v>
      </c>
    </row>
    <row r="10" customFormat="false" ht="15" hidden="false" customHeight="true" outlineLevel="0" collapsed="false">
      <c r="A10" s="93" t="s">
        <v>1523</v>
      </c>
      <c r="B10" s="90" t="n">
        <v>23.0629296838646</v>
      </c>
      <c r="C10" s="89" t="n">
        <f aca="false">B10-B9</f>
        <v>14.723029677509</v>
      </c>
      <c r="D10" s="90" t="n">
        <v>18.3412038614907</v>
      </c>
      <c r="E10" s="90" t="n">
        <v>-0.17908750033457</v>
      </c>
      <c r="F10" s="91" t="s">
        <v>1524</v>
      </c>
      <c r="G10" s="90" t="n">
        <v>14.4155368406061</v>
      </c>
      <c r="H10" s="92" t="s">
        <v>1525</v>
      </c>
    </row>
    <row r="11" customFormat="false" ht="21.75" hidden="false" customHeight="true" outlineLevel="0" collapsed="false">
      <c r="A11" s="93" t="s">
        <v>1526</v>
      </c>
      <c r="B11" s="90" t="n">
        <v>73.573294102138</v>
      </c>
      <c r="C11" s="89" t="n">
        <f aca="false">B11-B10</f>
        <v>50.5103644182734</v>
      </c>
      <c r="D11" s="90" t="n">
        <v>25.2658969716226</v>
      </c>
      <c r="E11" s="90" t="n">
        <v>2.8891005995694</v>
      </c>
      <c r="F11" s="91" t="s">
        <v>1527</v>
      </c>
      <c r="G11" s="90" t="n">
        <v>12.9383340359934</v>
      </c>
      <c r="H11" s="92" t="s">
        <v>1528</v>
      </c>
    </row>
    <row r="12" customFormat="false" ht="21.75" hidden="false" customHeight="true" outlineLevel="0" collapsed="false">
      <c r="A12" s="93" t="s">
        <v>1529</v>
      </c>
      <c r="B12" s="90" t="n">
        <v>74.5324710785854</v>
      </c>
      <c r="C12" s="89" t="n">
        <f aca="false">B12-B11</f>
        <v>0.959176976447409</v>
      </c>
      <c r="D12" s="90" t="n">
        <v>25.2658969716226</v>
      </c>
      <c r="E12" s="90" t="n">
        <v>3.0832111345014</v>
      </c>
      <c r="F12" s="91" t="s">
        <v>1530</v>
      </c>
      <c r="G12" s="90" t="n">
        <v>12.6314627711053</v>
      </c>
      <c r="H12" s="92" t="s">
        <v>1528</v>
      </c>
    </row>
    <row r="13" customFormat="false" ht="15" hidden="false" customHeight="true" outlineLevel="0" collapsed="false">
      <c r="A13" s="93" t="s">
        <v>1531</v>
      </c>
      <c r="B13" s="90" t="n">
        <v>78.8090254385978</v>
      </c>
      <c r="C13" s="89" t="n">
        <f aca="false">B13-B12</f>
        <v>4.2765543600124</v>
      </c>
      <c r="D13" s="90" t="n">
        <v>25.2658969716226</v>
      </c>
      <c r="E13" s="90" t="n">
        <v>3.0832111345014</v>
      </c>
      <c r="F13" s="91" t="s">
        <v>1532</v>
      </c>
      <c r="G13" s="90" t="n">
        <v>11.707856125413</v>
      </c>
      <c r="H13" s="92" t="s">
        <v>1528</v>
      </c>
    </row>
    <row r="14" customFormat="false" ht="21.75" hidden="false" customHeight="true" outlineLevel="0" collapsed="false">
      <c r="A14" s="87" t="s">
        <v>1533</v>
      </c>
      <c r="B14" s="94" t="n">
        <v>62.194199932819</v>
      </c>
      <c r="C14" s="89" t="n">
        <f aca="false">B14-B13</f>
        <v>-16.6148255057788</v>
      </c>
      <c r="D14" s="95" t="n">
        <v>25.2658969716226</v>
      </c>
      <c r="E14" s="95" t="n">
        <v>3.0832111345014</v>
      </c>
      <c r="F14" s="91" t="s">
        <v>1534</v>
      </c>
      <c r="G14" s="95" t="n">
        <v>11.707856125413</v>
      </c>
      <c r="H14" s="96" t="s">
        <v>1528</v>
      </c>
    </row>
    <row r="15" customFormat="false" ht="15" hidden="false" customHeight="true" outlineLevel="0" collapsed="false">
      <c r="A15" s="87" t="s">
        <v>1535</v>
      </c>
      <c r="B15" s="94" t="n">
        <v>157.904326798516</v>
      </c>
      <c r="C15" s="89" t="n">
        <f aca="false">B15-B14</f>
        <v>95.710126865697</v>
      </c>
      <c r="D15" s="95" t="n">
        <v>45.1890096509946</v>
      </c>
      <c r="E15" s="95" t="n">
        <v>21.7551273831584</v>
      </c>
      <c r="F15" s="91" t="s">
        <v>1536</v>
      </c>
      <c r="G15" s="95" t="n">
        <v>6.48610850635181</v>
      </c>
      <c r="H15" s="96" t="s">
        <v>1537</v>
      </c>
    </row>
    <row r="16" customFormat="false" ht="15" hidden="false" customHeight="true" outlineLevel="0" collapsed="false">
      <c r="A16" s="87" t="s">
        <v>1538</v>
      </c>
      <c r="B16" s="94" t="n">
        <v>565.830348145514</v>
      </c>
      <c r="C16" s="89" t="n">
        <f aca="false">B16-B15</f>
        <v>407.926021346998</v>
      </c>
      <c r="D16" s="95" t="n">
        <v>145.618678357161</v>
      </c>
      <c r="E16" s="95" t="n">
        <v>82.5499139774798</v>
      </c>
      <c r="F16" s="91" t="s">
        <v>1539</v>
      </c>
      <c r="G16" s="95" t="n">
        <v>7.14462773154512</v>
      </c>
      <c r="H16" s="96" t="s">
        <v>1540</v>
      </c>
    </row>
    <row r="17" customFormat="false" ht="15" hidden="false" customHeight="true" outlineLevel="0" collapsed="false">
      <c r="A17" s="87" t="s">
        <v>1541</v>
      </c>
      <c r="B17" s="94" t="n">
        <v>595.294441961158</v>
      </c>
      <c r="C17" s="89" t="n">
        <f aca="false">B17-B16</f>
        <v>29.464093815644</v>
      </c>
      <c r="D17" s="95" t="n">
        <v>150.929719681828</v>
      </c>
      <c r="E17" s="95" t="n">
        <v>87.8609553021468</v>
      </c>
      <c r="F17" s="91" t="s">
        <v>1542</v>
      </c>
      <c r="G17" s="95" t="n">
        <v>6.92949528528841</v>
      </c>
      <c r="H17" s="96" t="s">
        <v>1543</v>
      </c>
    </row>
    <row r="18" customFormat="false" ht="15" hidden="false" customHeight="true" outlineLevel="0" collapsed="false">
      <c r="A18" s="87" t="s">
        <v>1544</v>
      </c>
      <c r="B18" s="94" t="n">
        <v>367.698339337244</v>
      </c>
      <c r="C18" s="89" t="n">
        <f aca="false">B18-B17</f>
        <v>-227.596102623914</v>
      </c>
      <c r="D18" s="95" t="n">
        <v>150.929719681828</v>
      </c>
      <c r="E18" s="95" t="n">
        <v>87.8609553021468</v>
      </c>
      <c r="F18" s="91" t="s">
        <v>1545</v>
      </c>
      <c r="G18" s="95" t="n">
        <v>6.92949528528841</v>
      </c>
      <c r="H18" s="96" t="s">
        <v>1543</v>
      </c>
    </row>
    <row r="19" customFormat="false" ht="15" hidden="false" customHeight="true" outlineLevel="0" collapsed="false">
      <c r="A19" s="87" t="s">
        <v>1546</v>
      </c>
      <c r="B19" s="94" t="n">
        <f aca="false">14_Valuation!C75</f>
        <v>367.698339337244</v>
      </c>
      <c r="C19" s="89" t="n">
        <f aca="false">B19-B18</f>
        <v>0</v>
      </c>
      <c r="D19" s="95" t="n">
        <f aca="false">7_Financials!G11/100</f>
        <v>150.929719681828</v>
      </c>
      <c r="E19" s="95" t="n">
        <f aca="false">7_Financials!G19/100</f>
        <v>87.8609553021468</v>
      </c>
      <c r="F19" s="91" t="s">
        <v>1547</v>
      </c>
      <c r="G19" s="95" t="n">
        <f aca="false">11_Funding!C5/100</f>
        <v>6.92949528528841</v>
      </c>
      <c r="H19" s="96" t="str">
        <f aca="false">1_Dashboard!C9</f>
        <v>Aug-28  (FY29)</v>
      </c>
    </row>
    <row r="20" customFormat="false" ht="21.75" hidden="false" customHeight="true" outlineLevel="0" collapsed="false">
      <c r="A20" s="5" t="s">
        <v>1548</v>
      </c>
      <c r="B20" s="75" t="b">
        <f aca="false">ABS(B18-B19)&lt;0.05</f>
        <v>1</v>
      </c>
    </row>
    <row r="21" customFormat="false" ht="32.25" hidden="false" customHeight="true" outlineLevel="0" collapsed="false">
      <c r="A21" s="10" t="s">
        <v>1549</v>
      </c>
      <c r="B21" s="10"/>
      <c r="C21" s="10"/>
      <c r="D21" s="10"/>
      <c r="E21" s="10"/>
      <c r="F21" s="10"/>
      <c r="G21" s="10"/>
      <c r="H21" s="10"/>
    </row>
    <row r="22" customFormat="false" ht="21.75" hidden="false" customHeight="true" outlineLevel="0" collapsed="false">
      <c r="A22" s="15" t="s">
        <v>75</v>
      </c>
      <c r="B22" s="15" t="s">
        <v>1550</v>
      </c>
      <c r="C22" s="15" t="s">
        <v>1551</v>
      </c>
      <c r="D22" s="15" t="s">
        <v>1552</v>
      </c>
      <c r="E22" s="15" t="s">
        <v>1553</v>
      </c>
      <c r="F22" s="15" t="s">
        <v>527</v>
      </c>
      <c r="G22" s="15" t="s">
        <v>1554</v>
      </c>
      <c r="H22" s="15" t="s">
        <v>1555</v>
      </c>
    </row>
    <row r="23" customFormat="false" ht="15" hidden="false" customHeight="true" outlineLevel="0" collapsed="false">
      <c r="A23" s="93" t="s">
        <v>1556</v>
      </c>
      <c r="B23" s="97" t="s">
        <v>1557</v>
      </c>
      <c r="C23" s="97" t="s">
        <v>1516</v>
      </c>
      <c r="D23" s="98" t="n">
        <v>4.8</v>
      </c>
      <c r="E23" s="98" t="n">
        <v>6</v>
      </c>
      <c r="F23" s="91" t="s">
        <v>1558</v>
      </c>
      <c r="G23" s="91" t="s">
        <v>1559</v>
      </c>
      <c r="H23" s="91" t="s">
        <v>117</v>
      </c>
    </row>
    <row r="24" customFormat="false" ht="15" hidden="false" customHeight="true" outlineLevel="0" collapsed="false">
      <c r="A24" s="93" t="s">
        <v>1560</v>
      </c>
      <c r="B24" s="97" t="s">
        <v>1561</v>
      </c>
      <c r="C24" s="97" t="s">
        <v>1516</v>
      </c>
      <c r="D24" s="98" t="n">
        <v>9.6</v>
      </c>
      <c r="E24" s="98" t="n">
        <v>11.4</v>
      </c>
      <c r="F24" s="91" t="s">
        <v>1562</v>
      </c>
      <c r="G24" s="91" t="s">
        <v>1563</v>
      </c>
      <c r="H24" s="91" t="s">
        <v>117</v>
      </c>
    </row>
    <row r="25" customFormat="false" ht="15" hidden="false" customHeight="true" outlineLevel="0" collapsed="false">
      <c r="A25" s="93" t="s">
        <v>1564</v>
      </c>
      <c r="B25" s="97" t="s">
        <v>1565</v>
      </c>
      <c r="C25" s="97" t="s">
        <v>1516</v>
      </c>
      <c r="D25" s="98" t="n">
        <v>18</v>
      </c>
      <c r="E25" s="98" t="n">
        <v>22.8</v>
      </c>
      <c r="F25" s="91" t="s">
        <v>1566</v>
      </c>
      <c r="G25" s="91" t="s">
        <v>1567</v>
      </c>
      <c r="H25" s="91" t="s">
        <v>117</v>
      </c>
    </row>
    <row r="26" customFormat="false" ht="15" hidden="false" customHeight="true" outlineLevel="0" collapsed="false">
      <c r="A26" s="93" t="s">
        <v>1568</v>
      </c>
      <c r="B26" s="97" t="s">
        <v>1569</v>
      </c>
      <c r="C26" s="97" t="s">
        <v>1518</v>
      </c>
      <c r="D26" s="99" t="n">
        <v>0.4</v>
      </c>
      <c r="E26" s="99" t="n">
        <v>0.25</v>
      </c>
      <c r="F26" s="91" t="s">
        <v>1570</v>
      </c>
      <c r="G26" s="91" t="s">
        <v>1571</v>
      </c>
      <c r="H26" s="91" t="s">
        <v>117</v>
      </c>
    </row>
    <row r="27" customFormat="false" ht="15" hidden="false" customHeight="true" outlineLevel="0" collapsed="false">
      <c r="A27" s="93" t="s">
        <v>1572</v>
      </c>
      <c r="B27" s="97" t="s">
        <v>1573</v>
      </c>
      <c r="C27" s="97" t="s">
        <v>1518</v>
      </c>
      <c r="D27" s="99" t="n">
        <v>0.45</v>
      </c>
      <c r="E27" s="99" t="n">
        <v>0.5</v>
      </c>
      <c r="F27" s="91" t="s">
        <v>1574</v>
      </c>
      <c r="G27" s="91" t="s">
        <v>1571</v>
      </c>
      <c r="H27" s="91" t="s">
        <v>117</v>
      </c>
    </row>
    <row r="28" customFormat="false" ht="21.75" hidden="false" customHeight="true" outlineLevel="0" collapsed="false">
      <c r="A28" s="93" t="s">
        <v>1575</v>
      </c>
      <c r="B28" s="97" t="s">
        <v>1576</v>
      </c>
      <c r="C28" s="97" t="s">
        <v>1518</v>
      </c>
      <c r="D28" s="99" t="n">
        <v>0.15</v>
      </c>
      <c r="E28" s="99" t="n">
        <v>0.25</v>
      </c>
      <c r="F28" s="91" t="s">
        <v>1577</v>
      </c>
      <c r="G28" s="91" t="s">
        <v>1571</v>
      </c>
      <c r="H28" s="91" t="s">
        <v>117</v>
      </c>
    </row>
    <row r="29" customFormat="false" ht="15" hidden="false" customHeight="true" outlineLevel="0" collapsed="false">
      <c r="A29" s="93" t="s">
        <v>1578</v>
      </c>
      <c r="B29" s="97" t="s">
        <v>1579</v>
      </c>
      <c r="C29" s="97" t="s">
        <v>1520</v>
      </c>
      <c r="D29" s="98" t="n">
        <v>1.5</v>
      </c>
      <c r="E29" s="98" t="n">
        <v>3</v>
      </c>
      <c r="F29" s="91" t="s">
        <v>1580</v>
      </c>
      <c r="G29" s="91" t="s">
        <v>1581</v>
      </c>
      <c r="H29" s="91" t="s">
        <v>83</v>
      </c>
    </row>
    <row r="30" customFormat="false" ht="15" hidden="false" customHeight="true" outlineLevel="0" collapsed="false">
      <c r="A30" s="93" t="s">
        <v>1582</v>
      </c>
      <c r="B30" s="97" t="s">
        <v>1583</v>
      </c>
      <c r="C30" s="97" t="s">
        <v>1520</v>
      </c>
      <c r="D30" s="98" t="n">
        <v>4</v>
      </c>
      <c r="E30" s="98" t="n">
        <v>6</v>
      </c>
      <c r="F30" s="91" t="s">
        <v>1584</v>
      </c>
      <c r="G30" s="91" t="s">
        <v>1581</v>
      </c>
      <c r="H30" s="91" t="s">
        <v>83</v>
      </c>
    </row>
    <row r="31" customFormat="false" ht="21.75" hidden="false" customHeight="true" outlineLevel="0" collapsed="false">
      <c r="A31" s="93" t="s">
        <v>1585</v>
      </c>
      <c r="B31" s="97" t="s">
        <v>1586</v>
      </c>
      <c r="C31" s="97" t="s">
        <v>1520</v>
      </c>
      <c r="D31" s="98" t="n">
        <v>8</v>
      </c>
      <c r="E31" s="98" t="n">
        <v>12</v>
      </c>
      <c r="F31" s="91" t="s">
        <v>1587</v>
      </c>
      <c r="G31" s="91" t="s">
        <v>1581</v>
      </c>
      <c r="H31" s="91" t="s">
        <v>83</v>
      </c>
    </row>
    <row r="32" customFormat="false" ht="15" hidden="false" customHeight="true" outlineLevel="0" collapsed="false">
      <c r="A32" s="93" t="s">
        <v>1588</v>
      </c>
      <c r="B32" s="97" t="s">
        <v>1589</v>
      </c>
      <c r="C32" s="97" t="s">
        <v>1520</v>
      </c>
      <c r="D32" s="98" t="n">
        <v>1.5</v>
      </c>
      <c r="E32" s="98" t="n">
        <v>2.5</v>
      </c>
      <c r="F32" s="91" t="s">
        <v>1590</v>
      </c>
      <c r="G32" s="91" t="s">
        <v>1591</v>
      </c>
      <c r="H32" s="91" t="s">
        <v>117</v>
      </c>
    </row>
    <row r="33" customFormat="false" ht="15" hidden="false" customHeight="true" outlineLevel="0" collapsed="false">
      <c r="A33" s="93" t="s">
        <v>1592</v>
      </c>
      <c r="B33" s="97" t="s">
        <v>1593</v>
      </c>
      <c r="C33" s="97" t="s">
        <v>1520</v>
      </c>
      <c r="D33" s="98" t="n">
        <v>1</v>
      </c>
      <c r="E33" s="98" t="n">
        <v>1.5</v>
      </c>
      <c r="F33" s="91" t="s">
        <v>1594</v>
      </c>
      <c r="G33" s="91"/>
      <c r="H33" s="91"/>
    </row>
    <row r="34" customFormat="false" ht="21.75" hidden="false" customHeight="true" outlineLevel="0" collapsed="false">
      <c r="A34" s="93" t="s">
        <v>1595</v>
      </c>
      <c r="B34" s="97" t="s">
        <v>1596</v>
      </c>
      <c r="C34" s="97" t="s">
        <v>1520</v>
      </c>
      <c r="D34" s="98" t="n">
        <v>2</v>
      </c>
      <c r="E34" s="98" t="n">
        <v>3</v>
      </c>
      <c r="F34" s="91" t="s">
        <v>1597</v>
      </c>
      <c r="G34" s="91"/>
      <c r="H34" s="91"/>
    </row>
    <row r="35" customFormat="false" ht="15" hidden="false" customHeight="true" outlineLevel="0" collapsed="false">
      <c r="A35" s="93" t="s">
        <v>1598</v>
      </c>
      <c r="B35" s="97" t="s">
        <v>1599</v>
      </c>
      <c r="C35" s="97" t="s">
        <v>1523</v>
      </c>
      <c r="D35" s="99" t="n">
        <v>0.12</v>
      </c>
      <c r="E35" s="99" t="n">
        <v>0.09</v>
      </c>
      <c r="F35" s="91" t="s">
        <v>1600</v>
      </c>
      <c r="G35" s="91" t="s">
        <v>1601</v>
      </c>
      <c r="H35" s="91" t="s">
        <v>117</v>
      </c>
    </row>
    <row r="36" customFormat="false" ht="15" hidden="false" customHeight="true" outlineLevel="0" collapsed="false">
      <c r="A36" s="93" t="s">
        <v>1602</v>
      </c>
      <c r="B36" s="97" t="s">
        <v>1603</v>
      </c>
      <c r="C36" s="97" t="s">
        <v>1523</v>
      </c>
      <c r="D36" s="99" t="n">
        <v>0.18</v>
      </c>
      <c r="E36" s="99" t="n">
        <v>0.15</v>
      </c>
      <c r="F36" s="91" t="s">
        <v>1604</v>
      </c>
      <c r="G36" s="91"/>
      <c r="H36" s="91"/>
    </row>
    <row r="37" customFormat="false" ht="21.75" hidden="false" customHeight="true" outlineLevel="0" collapsed="false">
      <c r="A37" s="93" t="s">
        <v>1605</v>
      </c>
      <c r="B37" s="97" t="s">
        <v>1606</v>
      </c>
      <c r="C37" s="97" t="s">
        <v>1523</v>
      </c>
      <c r="D37" s="99" t="n">
        <v>0.08</v>
      </c>
      <c r="E37" s="99" t="n">
        <v>0.06</v>
      </c>
      <c r="F37" s="91" t="s">
        <v>1607</v>
      </c>
      <c r="G37" s="91"/>
      <c r="H37" s="91"/>
    </row>
    <row r="38" customFormat="false" ht="15" hidden="false" customHeight="true" outlineLevel="0" collapsed="false">
      <c r="A38" s="93" t="s">
        <v>1608</v>
      </c>
      <c r="B38" s="97" t="s">
        <v>1609</v>
      </c>
      <c r="C38" s="97" t="s">
        <v>1523</v>
      </c>
      <c r="D38" s="99" t="n">
        <v>0.06</v>
      </c>
      <c r="E38" s="99" t="n">
        <v>0.1</v>
      </c>
      <c r="F38" s="91" t="s">
        <v>1610</v>
      </c>
      <c r="G38" s="91" t="s">
        <v>1611</v>
      </c>
      <c r="H38" s="91" t="s">
        <v>117</v>
      </c>
    </row>
    <row r="39" customFormat="false" ht="15" hidden="false" customHeight="true" outlineLevel="0" collapsed="false">
      <c r="A39" s="93" t="s">
        <v>1612</v>
      </c>
      <c r="B39" s="97" t="s">
        <v>1613</v>
      </c>
      <c r="C39" s="97" t="s">
        <v>1523</v>
      </c>
      <c r="D39" s="99" t="n">
        <v>0.03</v>
      </c>
      <c r="E39" s="99" t="n">
        <v>0.05</v>
      </c>
      <c r="F39" s="91" t="s">
        <v>1614</v>
      </c>
      <c r="G39" s="91"/>
      <c r="H39" s="91"/>
    </row>
    <row r="40" customFormat="false" ht="15" hidden="false" customHeight="true" outlineLevel="0" collapsed="false">
      <c r="A40" s="93" t="s">
        <v>1615</v>
      </c>
      <c r="B40" s="97" t="s">
        <v>1616</v>
      </c>
      <c r="C40" s="97" t="s">
        <v>1523</v>
      </c>
      <c r="D40" s="99" t="n">
        <v>0.1</v>
      </c>
      <c r="E40" s="99" t="n">
        <v>0.15</v>
      </c>
      <c r="F40" s="91" t="s">
        <v>1617</v>
      </c>
      <c r="G40" s="91"/>
      <c r="H40" s="91"/>
    </row>
    <row r="41" customFormat="false" ht="15" hidden="false" customHeight="true" outlineLevel="0" collapsed="false">
      <c r="A41" s="93" t="s">
        <v>1618</v>
      </c>
      <c r="B41" s="97" t="s">
        <v>1619</v>
      </c>
      <c r="C41" s="97" t="s">
        <v>1526</v>
      </c>
      <c r="D41" s="98" t="n">
        <v>2</v>
      </c>
      <c r="E41" s="98" t="n">
        <v>3</v>
      </c>
      <c r="F41" s="91" t="s">
        <v>1620</v>
      </c>
      <c r="G41" s="91" t="s">
        <v>1621</v>
      </c>
      <c r="H41" s="91" t="s">
        <v>83</v>
      </c>
    </row>
    <row r="42" customFormat="false" ht="15" hidden="false" customHeight="true" outlineLevel="0" collapsed="false">
      <c r="A42" s="93" t="s">
        <v>1622</v>
      </c>
      <c r="B42" s="97" t="s">
        <v>1623</v>
      </c>
      <c r="C42" s="97" t="s">
        <v>1526</v>
      </c>
      <c r="D42" s="98" t="n">
        <v>4</v>
      </c>
      <c r="E42" s="98" t="n">
        <v>5</v>
      </c>
      <c r="F42" s="91" t="s">
        <v>1624</v>
      </c>
      <c r="G42" s="91"/>
      <c r="H42" s="91"/>
    </row>
    <row r="43" customFormat="false" ht="15" hidden="false" customHeight="true" outlineLevel="0" collapsed="false">
      <c r="A43" s="93" t="s">
        <v>1625</v>
      </c>
      <c r="B43" s="97" t="s">
        <v>1626</v>
      </c>
      <c r="C43" s="97" t="s">
        <v>1526</v>
      </c>
      <c r="D43" s="98" t="n">
        <v>6</v>
      </c>
      <c r="E43" s="98" t="n">
        <v>7</v>
      </c>
      <c r="F43" s="91" t="s">
        <v>1624</v>
      </c>
      <c r="G43" s="91"/>
      <c r="H43" s="91"/>
    </row>
    <row r="44" customFormat="false" ht="15" hidden="false" customHeight="true" outlineLevel="0" collapsed="false">
      <c r="A44" s="93" t="s">
        <v>1627</v>
      </c>
      <c r="B44" s="97" t="s">
        <v>1628</v>
      </c>
      <c r="C44" s="97" t="s">
        <v>1526</v>
      </c>
      <c r="D44" s="98" t="n">
        <v>7</v>
      </c>
      <c r="E44" s="98" t="n">
        <v>9</v>
      </c>
      <c r="F44" s="91" t="s">
        <v>1624</v>
      </c>
      <c r="G44" s="91"/>
      <c r="H44" s="91"/>
    </row>
    <row r="45" customFormat="false" ht="15" hidden="false" customHeight="true" outlineLevel="0" collapsed="false">
      <c r="A45" s="93" t="s">
        <v>1629</v>
      </c>
      <c r="B45" s="97" t="s">
        <v>1630</v>
      </c>
      <c r="C45" s="97" t="s">
        <v>1526</v>
      </c>
      <c r="D45" s="98" t="n">
        <v>0.5</v>
      </c>
      <c r="E45" s="98" t="n">
        <v>1</v>
      </c>
      <c r="F45" s="91" t="s">
        <v>1631</v>
      </c>
      <c r="G45" s="91" t="s">
        <v>1632</v>
      </c>
      <c r="H45" s="91" t="s">
        <v>117</v>
      </c>
    </row>
    <row r="46" customFormat="false" ht="15" hidden="false" customHeight="true" outlineLevel="0" collapsed="false">
      <c r="A46" s="93" t="s">
        <v>1633</v>
      </c>
      <c r="B46" s="97" t="s">
        <v>1634</v>
      </c>
      <c r="C46" s="97" t="s">
        <v>1526</v>
      </c>
      <c r="D46" s="98" t="n">
        <v>1</v>
      </c>
      <c r="E46" s="98" t="n">
        <v>3</v>
      </c>
      <c r="F46" s="91" t="s">
        <v>1635</v>
      </c>
      <c r="G46" s="91"/>
      <c r="H46" s="91" t="s">
        <v>117</v>
      </c>
    </row>
    <row r="47" customFormat="false" ht="15" hidden="false" customHeight="true" outlineLevel="0" collapsed="false">
      <c r="A47" s="93" t="s">
        <v>1636</v>
      </c>
      <c r="B47" s="97" t="s">
        <v>1637</v>
      </c>
      <c r="C47" s="97" t="s">
        <v>1526</v>
      </c>
      <c r="D47" s="98" t="n">
        <v>1.5</v>
      </c>
      <c r="E47" s="98" t="n">
        <v>5</v>
      </c>
      <c r="F47" s="91" t="s">
        <v>1638</v>
      </c>
      <c r="G47" s="91"/>
      <c r="H47" s="91" t="s">
        <v>117</v>
      </c>
    </row>
    <row r="48" customFormat="false" ht="15" hidden="false" customHeight="true" outlineLevel="0" collapsed="false">
      <c r="A48" s="93" t="s">
        <v>1639</v>
      </c>
      <c r="B48" s="97" t="s">
        <v>1640</v>
      </c>
      <c r="C48" s="97" t="s">
        <v>1526</v>
      </c>
      <c r="D48" s="98" t="n">
        <v>2</v>
      </c>
      <c r="E48" s="98" t="n">
        <v>7</v>
      </c>
      <c r="F48" s="91" t="s">
        <v>1641</v>
      </c>
      <c r="G48" s="91"/>
      <c r="H48" s="91" t="s">
        <v>117</v>
      </c>
    </row>
    <row r="49" customFormat="false" ht="21.75" hidden="false" customHeight="true" outlineLevel="0" collapsed="false">
      <c r="A49" s="93" t="s">
        <v>1642</v>
      </c>
      <c r="B49" s="97" t="s">
        <v>1643</v>
      </c>
      <c r="C49" s="97" t="s">
        <v>1526</v>
      </c>
      <c r="D49" s="98" t="n">
        <v>1.5</v>
      </c>
      <c r="E49" s="98" t="n">
        <v>2</v>
      </c>
      <c r="F49" s="91" t="s">
        <v>1644</v>
      </c>
      <c r="G49" s="91"/>
      <c r="H49" s="91"/>
    </row>
    <row r="50" customFormat="false" ht="21.75" hidden="false" customHeight="true" outlineLevel="0" collapsed="false">
      <c r="A50" s="93" t="s">
        <v>1645</v>
      </c>
      <c r="B50" s="97" t="s">
        <v>1646</v>
      </c>
      <c r="C50" s="97" t="s">
        <v>1526</v>
      </c>
      <c r="D50" s="98" t="n">
        <v>3</v>
      </c>
      <c r="E50" s="98" t="n">
        <v>3.5</v>
      </c>
      <c r="F50" s="91" t="s">
        <v>1624</v>
      </c>
      <c r="G50" s="91"/>
      <c r="H50" s="91"/>
    </row>
    <row r="51" customFormat="false" ht="21.75" hidden="false" customHeight="true" outlineLevel="0" collapsed="false">
      <c r="A51" s="93" t="s">
        <v>1647</v>
      </c>
      <c r="B51" s="97" t="s">
        <v>1648</v>
      </c>
      <c r="C51" s="97" t="s">
        <v>1526</v>
      </c>
      <c r="D51" s="98" t="n">
        <v>4</v>
      </c>
      <c r="E51" s="98" t="n">
        <v>5</v>
      </c>
      <c r="F51" s="91" t="s">
        <v>1624</v>
      </c>
      <c r="G51" s="91"/>
      <c r="H51" s="91"/>
    </row>
    <row r="52" customFormat="false" ht="15" hidden="false" customHeight="true" outlineLevel="0" collapsed="false">
      <c r="A52" s="93" t="s">
        <v>1649</v>
      </c>
      <c r="B52" s="97" t="s">
        <v>1650</v>
      </c>
      <c r="C52" s="97" t="s">
        <v>1526</v>
      </c>
      <c r="D52" s="98" t="n">
        <v>5</v>
      </c>
      <c r="E52" s="98" t="n">
        <v>6</v>
      </c>
      <c r="F52" s="91" t="s">
        <v>1624</v>
      </c>
      <c r="G52" s="91"/>
      <c r="H52" s="91"/>
    </row>
    <row r="53" customFormat="false" ht="15" hidden="false" customHeight="true" outlineLevel="0" collapsed="false">
      <c r="A53" s="93" t="s">
        <v>237</v>
      </c>
      <c r="B53" s="97" t="s">
        <v>1651</v>
      </c>
      <c r="C53" s="97" t="s">
        <v>1526</v>
      </c>
      <c r="D53" s="99" t="n">
        <v>0.15</v>
      </c>
      <c r="E53" s="99" t="n">
        <v>0.2</v>
      </c>
      <c r="F53" s="91" t="s">
        <v>1652</v>
      </c>
      <c r="G53" s="91" t="s">
        <v>1653</v>
      </c>
      <c r="H53" s="91" t="s">
        <v>117</v>
      </c>
    </row>
    <row r="54" customFormat="false" ht="21.75" hidden="false" customHeight="true" outlineLevel="0" collapsed="false">
      <c r="A54" s="93" t="s">
        <v>1654</v>
      </c>
      <c r="B54" s="97" t="s">
        <v>1655</v>
      </c>
      <c r="C54" s="97" t="s">
        <v>1526</v>
      </c>
      <c r="D54" s="98" t="n">
        <v>0.5</v>
      </c>
      <c r="E54" s="98" t="n">
        <v>1.5</v>
      </c>
      <c r="F54" s="91" t="s">
        <v>1656</v>
      </c>
      <c r="G54" s="91"/>
      <c r="H54" s="91" t="s">
        <v>83</v>
      </c>
    </row>
    <row r="55" customFormat="false" ht="15" hidden="false" customHeight="true" outlineLevel="0" collapsed="false">
      <c r="A55" s="93" t="s">
        <v>1657</v>
      </c>
      <c r="B55" s="97" t="s">
        <v>1658</v>
      </c>
      <c r="C55" s="97" t="s">
        <v>1529</v>
      </c>
      <c r="D55" s="98" t="n">
        <v>2</v>
      </c>
      <c r="E55" s="98" t="n">
        <v>3</v>
      </c>
      <c r="F55" s="91" t="s">
        <v>1659</v>
      </c>
      <c r="G55" s="91" t="s">
        <v>1660</v>
      </c>
      <c r="H55" s="91" t="s">
        <v>83</v>
      </c>
    </row>
    <row r="56" customFormat="false" ht="15" hidden="false" customHeight="true" outlineLevel="0" collapsed="false">
      <c r="A56" s="93" t="s">
        <v>1661</v>
      </c>
      <c r="B56" s="97" t="s">
        <v>1662</v>
      </c>
      <c r="C56" s="97" t="s">
        <v>1529</v>
      </c>
      <c r="D56" s="98" t="n">
        <v>1.5</v>
      </c>
      <c r="E56" s="98" t="n">
        <v>2</v>
      </c>
      <c r="F56" s="91" t="s">
        <v>1663</v>
      </c>
      <c r="G56" s="91"/>
      <c r="H56" s="91"/>
    </row>
    <row r="57" customFormat="false" ht="15" hidden="false" customHeight="true" outlineLevel="0" collapsed="false">
      <c r="A57" s="93" t="s">
        <v>1664</v>
      </c>
      <c r="B57" s="97" t="s">
        <v>1665</v>
      </c>
      <c r="C57" s="97" t="s">
        <v>1529</v>
      </c>
      <c r="D57" s="98" t="n">
        <v>2.5</v>
      </c>
      <c r="E57" s="98" t="n">
        <v>3.5</v>
      </c>
      <c r="F57" s="91" t="s">
        <v>1666</v>
      </c>
      <c r="G57" s="91"/>
      <c r="H57" s="91"/>
    </row>
    <row r="58" customFormat="false" ht="15" hidden="false" customHeight="true" outlineLevel="0" collapsed="false">
      <c r="A58" s="93" t="s">
        <v>1667</v>
      </c>
      <c r="B58" s="97" t="s">
        <v>1668</v>
      </c>
      <c r="C58" s="97" t="s">
        <v>1529</v>
      </c>
      <c r="D58" s="98" t="n">
        <v>1.5</v>
      </c>
      <c r="E58" s="98" t="n">
        <v>2.5</v>
      </c>
      <c r="F58" s="91" t="s">
        <v>1669</v>
      </c>
      <c r="G58" s="91"/>
      <c r="H58" s="91" t="s">
        <v>117</v>
      </c>
    </row>
    <row r="59" customFormat="false" ht="21.75" hidden="false" customHeight="true" outlineLevel="0" collapsed="false">
      <c r="A59" s="93" t="s">
        <v>1670</v>
      </c>
      <c r="B59" s="97" t="s">
        <v>1671</v>
      </c>
      <c r="C59" s="97" t="s">
        <v>1529</v>
      </c>
      <c r="D59" s="98" t="n">
        <v>20</v>
      </c>
      <c r="E59" s="98" t="n">
        <v>25</v>
      </c>
      <c r="F59" s="91" t="s">
        <v>1672</v>
      </c>
      <c r="G59" s="91"/>
      <c r="H59" s="91" t="s">
        <v>83</v>
      </c>
    </row>
    <row r="60" customFormat="false" ht="15" hidden="false" customHeight="true" outlineLevel="0" collapsed="false">
      <c r="A60" s="93" t="s">
        <v>1673</v>
      </c>
      <c r="B60" s="97" t="s">
        <v>1674</v>
      </c>
      <c r="C60" s="97" t="s">
        <v>1529</v>
      </c>
      <c r="D60" s="98" t="n">
        <v>15</v>
      </c>
      <c r="E60" s="98" t="n">
        <v>20</v>
      </c>
      <c r="F60" s="91" t="s">
        <v>1663</v>
      </c>
      <c r="G60" s="91"/>
      <c r="H60" s="91"/>
    </row>
    <row r="61" customFormat="false" ht="15" hidden="false" customHeight="true" outlineLevel="0" collapsed="false">
      <c r="A61" s="93" t="s">
        <v>1675</v>
      </c>
      <c r="B61" s="97" t="s">
        <v>1676</v>
      </c>
      <c r="C61" s="97" t="s">
        <v>1529</v>
      </c>
      <c r="D61" s="98" t="n">
        <v>25</v>
      </c>
      <c r="E61" s="98" t="n">
        <v>30</v>
      </c>
      <c r="F61" s="91" t="s">
        <v>1677</v>
      </c>
      <c r="G61" s="91"/>
      <c r="H61" s="91"/>
    </row>
    <row r="62" customFormat="false" ht="21.75" hidden="false" customHeight="true" outlineLevel="0" collapsed="false">
      <c r="A62" s="93" t="s">
        <v>208</v>
      </c>
      <c r="B62" s="97" t="s">
        <v>1678</v>
      </c>
      <c r="C62" s="97" t="s">
        <v>1529</v>
      </c>
      <c r="D62" s="98" t="n">
        <v>25</v>
      </c>
      <c r="E62" s="98" t="n">
        <v>30</v>
      </c>
      <c r="F62" s="91" t="s">
        <v>1679</v>
      </c>
      <c r="G62" s="91"/>
      <c r="H62" s="91" t="s">
        <v>83</v>
      </c>
    </row>
    <row r="63" customFormat="false" ht="15" hidden="false" customHeight="true" outlineLevel="0" collapsed="false">
      <c r="A63" s="93" t="s">
        <v>1680</v>
      </c>
      <c r="B63" s="97" t="s">
        <v>1681</v>
      </c>
      <c r="C63" s="97" t="s">
        <v>1531</v>
      </c>
      <c r="D63" s="98" t="n">
        <v>60</v>
      </c>
      <c r="E63" s="98" t="n">
        <v>45</v>
      </c>
      <c r="F63" s="91" t="s">
        <v>1682</v>
      </c>
      <c r="G63" s="91" t="s">
        <v>1683</v>
      </c>
      <c r="H63" s="91" t="s">
        <v>1684</v>
      </c>
    </row>
    <row r="64" customFormat="false" ht="15" hidden="false" customHeight="true" outlineLevel="0" collapsed="false">
      <c r="A64" s="93" t="s">
        <v>1685</v>
      </c>
      <c r="B64" s="97" t="s">
        <v>1686</v>
      </c>
      <c r="C64" s="97" t="s">
        <v>1531</v>
      </c>
      <c r="D64" s="98" t="n">
        <v>90</v>
      </c>
      <c r="E64" s="98" t="n">
        <v>75</v>
      </c>
      <c r="F64" s="91" t="s">
        <v>1687</v>
      </c>
      <c r="G64" s="91"/>
      <c r="H64" s="91"/>
    </row>
    <row r="65" customFormat="false" ht="15" hidden="false" customHeight="true" outlineLevel="0" collapsed="false">
      <c r="A65" s="93" t="s">
        <v>1688</v>
      </c>
      <c r="B65" s="97" t="s">
        <v>1689</v>
      </c>
      <c r="C65" s="97" t="s">
        <v>1531</v>
      </c>
      <c r="D65" s="98" t="n">
        <v>45</v>
      </c>
      <c r="E65" s="98" t="n">
        <v>30</v>
      </c>
      <c r="F65" s="91" t="s">
        <v>1690</v>
      </c>
      <c r="G65" s="91"/>
      <c r="H65" s="91"/>
    </row>
    <row r="66" customFormat="false" ht="15" hidden="false" customHeight="true" outlineLevel="0" collapsed="false">
      <c r="A66" s="93" t="s">
        <v>1691</v>
      </c>
      <c r="B66" s="97" t="s">
        <v>1692</v>
      </c>
      <c r="C66" s="97" t="s">
        <v>1693</v>
      </c>
      <c r="D66" s="98" t="n">
        <v>1400</v>
      </c>
      <c r="E66" s="98" t="n">
        <v>900</v>
      </c>
      <c r="F66" s="91" t="s">
        <v>1694</v>
      </c>
      <c r="G66" s="91" t="s">
        <v>1695</v>
      </c>
      <c r="H66" s="91"/>
    </row>
    <row r="67" customFormat="false" ht="15" hidden="false" customHeight="true" outlineLevel="0" collapsed="false">
      <c r="A67" s="93" t="s">
        <v>1696</v>
      </c>
      <c r="B67" s="97" t="s">
        <v>1697</v>
      </c>
      <c r="C67" s="97" t="s">
        <v>1693</v>
      </c>
      <c r="D67" s="98" t="n">
        <v>1200</v>
      </c>
      <c r="E67" s="98" t="n">
        <v>0</v>
      </c>
      <c r="F67" s="91" t="s">
        <v>1698</v>
      </c>
      <c r="G67" s="91" t="s">
        <v>1695</v>
      </c>
      <c r="H67" s="91"/>
    </row>
    <row r="68" customFormat="false" ht="15" hidden="false" customHeight="true" outlineLevel="0" collapsed="false"/>
    <row r="69" customFormat="false" ht="15" hidden="false" customHeight="true" outlineLevel="0" collapsed="false">
      <c r="A69" s="10" t="s">
        <v>1699</v>
      </c>
      <c r="B69" s="10"/>
      <c r="C69" s="10"/>
      <c r="D69" s="10"/>
      <c r="E69" s="10"/>
      <c r="F69" s="10"/>
      <c r="G69" s="10"/>
      <c r="H69" s="10"/>
    </row>
    <row r="70" customFormat="false" ht="15" hidden="false" customHeight="true" outlineLevel="0" collapsed="false">
      <c r="A70" s="4" t="s">
        <v>1700</v>
      </c>
    </row>
    <row r="71" customFormat="false" ht="15" hidden="false" customHeight="true" outlineLevel="0" collapsed="false">
      <c r="A71" s="4" t="s">
        <v>1701</v>
      </c>
    </row>
    <row r="72" customFormat="false" ht="15" hidden="false" customHeight="true" outlineLevel="0" collapsed="false">
      <c r="A72" s="4" t="s">
        <v>1702</v>
      </c>
    </row>
    <row r="73" customFormat="false" ht="15" hidden="false" customHeight="true" outlineLevel="0" collapsed="false">
      <c r="A73" s="4" t="s">
        <v>1703</v>
      </c>
    </row>
    <row r="74" customFormat="false" ht="15" hidden="false" customHeight="true" outlineLevel="0" collapsed="false">
      <c r="A74" s="4" t="s">
        <v>1704</v>
      </c>
    </row>
    <row r="76" customFormat="false" ht="15" hidden="false" customHeight="true" outlineLevel="0" collapsed="false">
      <c r="A76" s="10" t="s">
        <v>1705</v>
      </c>
      <c r="B76" s="10"/>
      <c r="C76" s="10"/>
      <c r="D76" s="10"/>
      <c r="E76" s="10"/>
      <c r="F76" s="10"/>
      <c r="G76" s="10"/>
      <c r="H76" s="10"/>
    </row>
    <row r="77" customFormat="false" ht="15" hidden="false" customHeight="true" outlineLevel="0" collapsed="false">
      <c r="A77" s="4" t="s">
        <v>1706</v>
      </c>
    </row>
    <row r="78" customFormat="false" ht="15" hidden="false" customHeight="true" outlineLevel="0" collapsed="false">
      <c r="A78" s="4" t="s">
        <v>1707</v>
      </c>
    </row>
    <row r="79" customFormat="false" ht="15" hidden="false" customHeight="true" outlineLevel="0" collapsed="false"/>
    <row r="80" customFormat="false" ht="15" hidden="false" customHeight="true" outlineLevel="0" collapsed="false">
      <c r="A80" s="10" t="s">
        <v>1708</v>
      </c>
      <c r="B80" s="11"/>
      <c r="C80" s="11"/>
      <c r="D80" s="11"/>
      <c r="E80" s="11"/>
      <c r="F80" s="11"/>
      <c r="G80" s="11"/>
      <c r="H80" s="11"/>
    </row>
    <row r="81" customFormat="false" ht="15" hidden="false" customHeight="true" outlineLevel="0" collapsed="false">
      <c r="A81" s="4" t="s">
        <v>1709</v>
      </c>
    </row>
    <row r="82" customFormat="false" ht="15" hidden="false" customHeight="true" outlineLevel="0" collapsed="false">
      <c r="A82" s="4" t="s">
        <v>1710</v>
      </c>
    </row>
    <row r="83" customFormat="false" ht="15" hidden="false" customHeight="true" outlineLevel="0" collapsed="false">
      <c r="A83" s="4" t="s">
        <v>1711</v>
      </c>
    </row>
    <row r="84" customFormat="false" ht="15" hidden="false" customHeight="true" outlineLevel="0" collapsed="false">
      <c r="A84" s="4" t="s">
        <v>1712</v>
      </c>
    </row>
    <row r="85" customFormat="false" ht="15" hidden="false" customHeight="true" outlineLevel="0" collapsed="false">
      <c r="A85" s="4" t="s">
        <v>1713</v>
      </c>
    </row>
    <row r="87" customFormat="false" ht="15" hidden="false" customHeight="true" outlineLevel="0" collapsed="false">
      <c r="A87" s="10" t="s">
        <v>1714</v>
      </c>
      <c r="B87" s="11"/>
      <c r="C87" s="11"/>
      <c r="D87" s="11"/>
      <c r="E87" s="11"/>
      <c r="F87" s="11"/>
      <c r="G87" s="11"/>
      <c r="H87" s="11"/>
    </row>
    <row r="88" customFormat="false" ht="15" hidden="false" customHeight="true" outlineLevel="0" collapsed="false">
      <c r="A88" s="15" t="s">
        <v>614</v>
      </c>
      <c r="B88" s="15" t="s">
        <v>1715</v>
      </c>
      <c r="C88" s="15" t="s">
        <v>1716</v>
      </c>
      <c r="D88" s="15" t="s">
        <v>1717</v>
      </c>
      <c r="E88" s="15" t="s">
        <v>527</v>
      </c>
      <c r="F88" s="15"/>
      <c r="G88" s="15" t="s">
        <v>77</v>
      </c>
      <c r="H88" s="15"/>
    </row>
    <row r="89" customFormat="false" ht="15" hidden="false" customHeight="true" outlineLevel="0" collapsed="false">
      <c r="A89" s="12" t="s">
        <v>448</v>
      </c>
      <c r="B89" s="4" t="s">
        <v>1718</v>
      </c>
      <c r="C89" s="4" t="s">
        <v>1719</v>
      </c>
      <c r="D89" s="4" t="s">
        <v>1720</v>
      </c>
      <c r="E89" s="4" t="s">
        <v>1721</v>
      </c>
      <c r="G89" s="4" t="s">
        <v>1722</v>
      </c>
    </row>
    <row r="90" customFormat="false" ht="15" hidden="false" customHeight="true" outlineLevel="0" collapsed="false">
      <c r="A90" s="12" t="s">
        <v>371</v>
      </c>
      <c r="B90" s="4" t="s">
        <v>1718</v>
      </c>
      <c r="C90" s="4" t="s">
        <v>1723</v>
      </c>
      <c r="D90" s="4" t="s">
        <v>1724</v>
      </c>
      <c r="E90" s="4" t="s">
        <v>1725</v>
      </c>
      <c r="G90" s="4" t="s">
        <v>1726</v>
      </c>
    </row>
    <row r="91" customFormat="false" ht="15" hidden="false" customHeight="true" outlineLevel="0" collapsed="false">
      <c r="A91" s="12" t="s">
        <v>1727</v>
      </c>
      <c r="B91" s="4" t="s">
        <v>1728</v>
      </c>
      <c r="C91" s="4" t="s">
        <v>1729</v>
      </c>
      <c r="D91" s="4" t="s">
        <v>1730</v>
      </c>
      <c r="E91" s="4" t="s">
        <v>1731</v>
      </c>
      <c r="G91" s="4" t="s">
        <v>336</v>
      </c>
    </row>
    <row r="92" customFormat="false" ht="15" hidden="false" customHeight="true" outlineLevel="0" collapsed="false">
      <c r="A92" s="12" t="s">
        <v>1732</v>
      </c>
      <c r="B92" s="4" t="s">
        <v>1733</v>
      </c>
      <c r="C92" s="4" t="s">
        <v>1734</v>
      </c>
      <c r="D92" s="4" t="s">
        <v>1735</v>
      </c>
      <c r="E92" s="4" t="s">
        <v>1736</v>
      </c>
      <c r="G92" s="4" t="s">
        <v>471</v>
      </c>
    </row>
    <row r="93" customFormat="false" ht="15" hidden="false" customHeight="true" outlineLevel="0" collapsed="false">
      <c r="A93" s="12" t="s">
        <v>1737</v>
      </c>
      <c r="B93" s="4" t="s">
        <v>1738</v>
      </c>
      <c r="C93" s="4" t="s">
        <v>1739</v>
      </c>
      <c r="D93" s="4" t="s">
        <v>1740</v>
      </c>
      <c r="E93" s="4" t="s">
        <v>1741</v>
      </c>
      <c r="G93" s="4" t="s">
        <v>341</v>
      </c>
    </row>
    <row r="94" customFormat="false" ht="15" hidden="false" customHeight="true" outlineLevel="0" collapsed="false">
      <c r="A94" s="12" t="s">
        <v>1742</v>
      </c>
      <c r="B94" s="4" t="s">
        <v>1743</v>
      </c>
      <c r="C94" s="4" t="s">
        <v>1744</v>
      </c>
      <c r="D94" s="4" t="s">
        <v>1745</v>
      </c>
      <c r="E94" s="4" t="s">
        <v>1746</v>
      </c>
      <c r="G94" s="4" t="s">
        <v>1747</v>
      </c>
    </row>
    <row r="95" customFormat="false" ht="15" hidden="false" customHeight="true" outlineLevel="0" collapsed="false">
      <c r="A95" s="12" t="s">
        <v>1748</v>
      </c>
      <c r="B95" s="4" t="s">
        <v>1749</v>
      </c>
      <c r="C95" s="4" t="s">
        <v>1750</v>
      </c>
      <c r="D95" s="4" t="s">
        <v>1751</v>
      </c>
      <c r="E95" s="4" t="s">
        <v>1752</v>
      </c>
      <c r="G95" s="4" t="s">
        <v>1747</v>
      </c>
    </row>
    <row r="96" customFormat="false" ht="15" hidden="false" customHeight="true" outlineLevel="0" collapsed="false">
      <c r="A96" s="12" t="s">
        <v>289</v>
      </c>
      <c r="B96" s="4" t="s">
        <v>1753</v>
      </c>
      <c r="C96" s="4" t="s">
        <v>1754</v>
      </c>
      <c r="D96" s="4" t="s">
        <v>1755</v>
      </c>
      <c r="E96" s="4" t="s">
        <v>1756</v>
      </c>
      <c r="G96" s="4" t="s">
        <v>83</v>
      </c>
    </row>
    <row r="97" customFormat="false" ht="15" hidden="false" customHeight="true" outlineLevel="0" collapsed="false">
      <c r="A97" s="12" t="s">
        <v>1757</v>
      </c>
      <c r="B97" s="4" t="s">
        <v>1758</v>
      </c>
      <c r="C97" s="4" t="s">
        <v>1759</v>
      </c>
      <c r="D97" s="4" t="s">
        <v>1760</v>
      </c>
      <c r="E97" s="4" t="s">
        <v>1761</v>
      </c>
      <c r="G97" s="4" t="s">
        <v>471</v>
      </c>
    </row>
    <row r="98" customFormat="false" ht="15" hidden="false" customHeight="true" outlineLevel="0" collapsed="false">
      <c r="A98" s="12" t="s">
        <v>1762</v>
      </c>
      <c r="B98" s="4" t="s">
        <v>1763</v>
      </c>
      <c r="C98" s="4" t="s">
        <v>1764</v>
      </c>
      <c r="D98" s="4" t="s">
        <v>1765</v>
      </c>
      <c r="E98" s="4" t="s">
        <v>1766</v>
      </c>
      <c r="G98" s="4" t="s">
        <v>471</v>
      </c>
    </row>
    <row r="99" customFormat="false" ht="15" hidden="false" customHeight="true" outlineLevel="0" collapsed="false">
      <c r="A99" s="12" t="s">
        <v>1767</v>
      </c>
      <c r="B99" s="4" t="s">
        <v>1768</v>
      </c>
      <c r="C99" s="4" t="s">
        <v>1769</v>
      </c>
      <c r="D99" s="4" t="s">
        <v>1770</v>
      </c>
      <c r="E99" s="4" t="s">
        <v>1771</v>
      </c>
      <c r="G99" s="4" t="s">
        <v>83</v>
      </c>
    </row>
    <row r="100" customFormat="false" ht="15" hidden="false" customHeight="true" outlineLevel="0" collapsed="false">
      <c r="A100" s="12" t="s">
        <v>1772</v>
      </c>
      <c r="B100" s="4" t="s">
        <v>1773</v>
      </c>
      <c r="C100" s="4" t="s">
        <v>1774</v>
      </c>
      <c r="D100" s="4" t="s">
        <v>1775</v>
      </c>
      <c r="E100" s="4" t="s">
        <v>1776</v>
      </c>
      <c r="G100" s="4" t="s">
        <v>1777</v>
      </c>
    </row>
    <row r="101" customFormat="false" ht="15" hidden="false" customHeight="true" outlineLevel="0" collapsed="false">
      <c r="A101" s="12" t="s">
        <v>1778</v>
      </c>
      <c r="B101" s="4" t="s">
        <v>1779</v>
      </c>
      <c r="C101" s="4" t="s">
        <v>1780</v>
      </c>
      <c r="D101" s="4" t="s">
        <v>1781</v>
      </c>
      <c r="E101" s="4" t="s">
        <v>1776</v>
      </c>
      <c r="G101" s="4" t="s">
        <v>1782</v>
      </c>
    </row>
    <row r="102" customFormat="false" ht="15" hidden="false" customHeight="true" outlineLevel="0" collapsed="false">
      <c r="A102" s="4" t="s">
        <v>1783</v>
      </c>
    </row>
    <row r="103" customFormat="false" ht="15" hidden="false" customHeight="true" outlineLevel="0" collapsed="false">
      <c r="A103" s="4" t="s">
        <v>1784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I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113" activePane="bottomRight" state="frozen"/>
      <selection pane="topLeft" activeCell="A1" activeCellId="0" sqref="A1"/>
      <selection pane="topRight" activeCell="C1" activeCellId="0" sqref="C1"/>
      <selection pane="bottomLeft" activeCell="A113" activeCellId="0" sqref="A113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1"/>
    <col collapsed="false" customWidth="true" hidden="false" outlineLevel="0" max="8" min="3" style="1" width="13"/>
    <col collapsed="false" customWidth="true" hidden="false" outlineLevel="0" max="9" min="9" style="1" width="60"/>
  </cols>
  <sheetData>
    <row r="1" customFormat="false" ht="17.25" hidden="false" customHeight="true" outlineLevel="0" collapsed="false">
      <c r="A1" s="2" t="s">
        <v>1785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4" t="s">
        <v>1786</v>
      </c>
    </row>
    <row r="4" customFormat="false" ht="15" hidden="false" customHeight="true" outlineLevel="0" collapsed="false">
      <c r="A4" s="10" t="s">
        <v>1787</v>
      </c>
      <c r="B4" s="11"/>
      <c r="C4" s="11"/>
      <c r="D4" s="11"/>
      <c r="E4" s="11"/>
      <c r="F4" s="11"/>
      <c r="G4" s="11"/>
      <c r="H4" s="11"/>
      <c r="I4" s="11"/>
    </row>
    <row r="5" customFormat="false" ht="15" hidden="false" customHeight="true" outlineLevel="0" collapsed="false">
      <c r="A5" s="15" t="s">
        <v>1788</v>
      </c>
      <c r="B5" s="15" t="s">
        <v>42</v>
      </c>
      <c r="C5" s="15" t="s">
        <v>68</v>
      </c>
      <c r="D5" s="15" t="s">
        <v>69</v>
      </c>
      <c r="E5" s="15" t="s">
        <v>70</v>
      </c>
      <c r="F5" s="15" t="s">
        <v>77</v>
      </c>
      <c r="G5" s="15"/>
      <c r="H5" s="15"/>
      <c r="I5" s="15" t="s">
        <v>1789</v>
      </c>
    </row>
    <row r="6" customFormat="false" ht="15" hidden="false" customHeight="true" outlineLevel="0" collapsed="false">
      <c r="A6" s="12" t="s">
        <v>1790</v>
      </c>
      <c r="B6" s="4" t="s">
        <v>335</v>
      </c>
      <c r="C6" s="23" t="n">
        <f aca="false">Inputs!D151</f>
        <v>200</v>
      </c>
      <c r="D6" s="23" t="n">
        <f aca="false">Inputs!E151</f>
        <v>400</v>
      </c>
      <c r="E6" s="23" t="n">
        <f aca="false">Inputs!F151</f>
        <v>600</v>
      </c>
      <c r="F6" s="4" t="s">
        <v>336</v>
      </c>
      <c r="I6" s="4"/>
    </row>
    <row r="7" customFormat="false" ht="15" hidden="false" customHeight="true" outlineLevel="0" collapsed="false">
      <c r="A7" s="12" t="s">
        <v>177</v>
      </c>
      <c r="B7" s="4" t="s">
        <v>46</v>
      </c>
      <c r="C7" s="37" t="n">
        <f aca="false">Inputs!D50</f>
        <v>0.15</v>
      </c>
      <c r="D7" s="37" t="n">
        <f aca="false">Inputs!E50</f>
        <v>0.09</v>
      </c>
      <c r="E7" s="37" t="n">
        <f aca="false">Inputs!F50</f>
        <v>0.06</v>
      </c>
      <c r="F7" s="4" t="s">
        <v>117</v>
      </c>
      <c r="I7" s="4" t="s">
        <v>1791</v>
      </c>
    </row>
    <row r="8" customFormat="false" ht="15" hidden="false" customHeight="true" outlineLevel="0" collapsed="false">
      <c r="A8" s="12" t="s">
        <v>116</v>
      </c>
      <c r="B8" s="4" t="s">
        <v>29</v>
      </c>
      <c r="C8" s="25" t="n">
        <f aca="false">Inputs!D22</f>
        <v>2</v>
      </c>
      <c r="D8" s="25" t="n">
        <f aca="false">Inputs!E22</f>
        <v>3</v>
      </c>
      <c r="E8" s="25" t="n">
        <f aca="false">Inputs!F22</f>
        <v>4</v>
      </c>
      <c r="F8" s="4" t="s">
        <v>117</v>
      </c>
      <c r="I8" s="4"/>
    </row>
    <row r="9" customFormat="false" ht="15" hidden="false" customHeight="true" outlineLevel="0" collapsed="false">
      <c r="A9" s="12" t="s">
        <v>1792</v>
      </c>
      <c r="B9" s="4" t="s">
        <v>46</v>
      </c>
      <c r="C9" s="37" t="n">
        <f aca="false">Inputs!D25</f>
        <v>0.25</v>
      </c>
      <c r="D9" s="37" t="n">
        <f aca="false">Inputs!E25</f>
        <v>0.3</v>
      </c>
      <c r="E9" s="37" t="n">
        <f aca="false">Inputs!F25</f>
        <v>0.35</v>
      </c>
      <c r="F9" s="4" t="s">
        <v>117</v>
      </c>
      <c r="I9" s="4"/>
    </row>
    <row r="10" customFormat="false" ht="15" hidden="false" customHeight="true" outlineLevel="0" collapsed="false">
      <c r="A10" s="12" t="s">
        <v>1793</v>
      </c>
      <c r="B10" s="4" t="s">
        <v>46</v>
      </c>
      <c r="C10" s="37" t="n">
        <f aca="false">Inputs!D26</f>
        <v>0.3</v>
      </c>
      <c r="D10" s="37" t="n">
        <f aca="false">Inputs!E26</f>
        <v>0.35</v>
      </c>
      <c r="E10" s="37" t="n">
        <f aca="false">Inputs!F26</f>
        <v>0.4</v>
      </c>
      <c r="F10" s="4" t="s">
        <v>83</v>
      </c>
      <c r="I10" s="4"/>
    </row>
    <row r="11" customFormat="false" ht="15" hidden="false" customHeight="true" outlineLevel="0" collapsed="false">
      <c r="A11" s="12" t="s">
        <v>1794</v>
      </c>
      <c r="B11" s="4" t="s">
        <v>46</v>
      </c>
      <c r="C11" s="37" t="n">
        <f aca="false">Inputs!D29</f>
        <v>0.4</v>
      </c>
      <c r="D11" s="37" t="n">
        <f aca="false">Inputs!E29</f>
        <v>0.55</v>
      </c>
      <c r="E11" s="37" t="n">
        <f aca="false">Inputs!F29</f>
        <v>0.65</v>
      </c>
      <c r="F11" s="4" t="s">
        <v>117</v>
      </c>
      <c r="I11" s="4"/>
    </row>
    <row r="12" customFormat="false" ht="15" hidden="false" customHeight="true" outlineLevel="0" collapsed="false">
      <c r="A12" s="12" t="s">
        <v>1795</v>
      </c>
      <c r="B12" s="4" t="s">
        <v>62</v>
      </c>
      <c r="C12" s="23" t="n">
        <f aca="false">Inputs!D27</f>
        <v>4</v>
      </c>
      <c r="D12" s="23" t="n">
        <f aca="false">Inputs!E27</f>
        <v>3</v>
      </c>
      <c r="E12" s="23" t="n">
        <f aca="false">Inputs!F27</f>
        <v>2</v>
      </c>
      <c r="F12" s="4" t="s">
        <v>117</v>
      </c>
      <c r="I12" s="4"/>
    </row>
    <row r="13" customFormat="false" ht="15" hidden="false" customHeight="true" outlineLevel="0" collapsed="false">
      <c r="A13" s="12" t="s">
        <v>1796</v>
      </c>
      <c r="B13" s="4" t="s">
        <v>37</v>
      </c>
      <c r="C13" s="25" t="n">
        <f aca="false">IF(Inputs!D30="",Inputs!E30,Inputs!D30)</f>
        <v>0.5</v>
      </c>
      <c r="D13" s="25" t="n">
        <f aca="false">IF(Inputs!E30="",Inputs!E30,Inputs!E30)</f>
        <v>1</v>
      </c>
      <c r="E13" s="25" t="n">
        <f aca="false">IF(Inputs!F30="",Inputs!E30,Inputs!F30)</f>
        <v>1.5</v>
      </c>
      <c r="F13" s="4" t="s">
        <v>83</v>
      </c>
      <c r="I13" s="4"/>
    </row>
    <row r="14" customFormat="false" ht="15" hidden="false" customHeight="true" outlineLevel="0" collapsed="false">
      <c r="A14" s="12" t="s">
        <v>1797</v>
      </c>
      <c r="B14" s="4" t="s">
        <v>37</v>
      </c>
      <c r="C14" s="25" t="n">
        <f aca="false">Inputs!D152</f>
        <v>21.149983</v>
      </c>
      <c r="D14" s="25" t="n">
        <f aca="false">Inputs!E152</f>
        <v>8.415056</v>
      </c>
      <c r="E14" s="25" t="n">
        <f aca="false">Inputs!F152</f>
        <v>3.394444</v>
      </c>
      <c r="F14" s="4" t="s">
        <v>341</v>
      </c>
      <c r="I14" s="4" t="s">
        <v>1798</v>
      </c>
    </row>
    <row r="15" customFormat="false" ht="15" hidden="false" customHeight="true" outlineLevel="0" collapsed="false">
      <c r="A15" s="12" t="s">
        <v>1799</v>
      </c>
      <c r="B15" s="4" t="s">
        <v>725</v>
      </c>
      <c r="C15" s="23" t="n">
        <f aca="false">Inputs!G134</f>
        <v>25</v>
      </c>
      <c r="D15" s="23" t="n">
        <f aca="false">Inputs!G134</f>
        <v>25</v>
      </c>
      <c r="E15" s="23" t="n">
        <f aca="false">Inputs!G134</f>
        <v>25</v>
      </c>
      <c r="F15" s="4" t="s">
        <v>471</v>
      </c>
      <c r="I15" s="4"/>
    </row>
    <row r="16" customFormat="false" ht="15" hidden="false" customHeight="true" outlineLevel="0" collapsed="false">
      <c r="A16" s="12" t="s">
        <v>1800</v>
      </c>
      <c r="B16" s="4" t="s">
        <v>212</v>
      </c>
      <c r="C16" s="21" t="n">
        <f aca="false">3_Pricing!C51</f>
        <v>12</v>
      </c>
      <c r="D16" s="21" t="n">
        <f aca="false">3_Pricing!C52</f>
        <v>15</v>
      </c>
      <c r="E16" s="21" t="n">
        <f aca="false">3_Pricing!C53</f>
        <v>18</v>
      </c>
      <c r="F16" s="4" t="s">
        <v>1747</v>
      </c>
      <c r="I16" s="4"/>
    </row>
    <row r="17" customFormat="false" ht="15" hidden="false" customHeight="true" outlineLevel="0" collapsed="false">
      <c r="A17" s="12" t="s">
        <v>1801</v>
      </c>
      <c r="B17" s="4" t="s">
        <v>212</v>
      </c>
      <c r="C17" s="21" t="n">
        <f aca="false">3_Pricing!D51</f>
        <v>24</v>
      </c>
      <c r="D17" s="21" t="n">
        <f aca="false">3_Pricing!D52</f>
        <v>30</v>
      </c>
      <c r="E17" s="21" t="n">
        <f aca="false">3_Pricing!D53</f>
        <v>36</v>
      </c>
      <c r="F17" s="4" t="s">
        <v>1747</v>
      </c>
      <c r="I17" s="4"/>
    </row>
    <row r="18" customFormat="false" ht="15" hidden="false" customHeight="true" outlineLevel="0" collapsed="false">
      <c r="A18" s="12" t="s">
        <v>1802</v>
      </c>
      <c r="B18" s="4" t="s">
        <v>212</v>
      </c>
      <c r="C18" s="21" t="n">
        <f aca="false">3_Pricing!E51</f>
        <v>40</v>
      </c>
      <c r="D18" s="21" t="n">
        <f aca="false">3_Pricing!E52</f>
        <v>50</v>
      </c>
      <c r="E18" s="21" t="n">
        <f aca="false">3_Pricing!E53</f>
        <v>60</v>
      </c>
      <c r="F18" s="4" t="s">
        <v>1747</v>
      </c>
      <c r="I18" s="4"/>
    </row>
    <row r="19" customFormat="false" ht="15" hidden="false" customHeight="true" outlineLevel="0" collapsed="false">
      <c r="A19" s="12" t="s">
        <v>1803</v>
      </c>
      <c r="B19" s="4" t="s">
        <v>46</v>
      </c>
      <c r="C19" s="37" t="n">
        <f aca="false">3_Pricing!C54</f>
        <v>0.5</v>
      </c>
      <c r="D19" s="37" t="n">
        <f aca="false">3_Pricing!C55</f>
        <v>0.35</v>
      </c>
      <c r="E19" s="37" t="n">
        <f aca="false">3_Pricing!C56</f>
        <v>0.25</v>
      </c>
      <c r="F19" s="4" t="s">
        <v>1747</v>
      </c>
      <c r="I19" s="4"/>
    </row>
    <row r="20" customFormat="false" ht="15" hidden="false" customHeight="true" outlineLevel="0" collapsed="false">
      <c r="A20" s="12" t="s">
        <v>1572</v>
      </c>
      <c r="B20" s="4" t="s">
        <v>46</v>
      </c>
      <c r="C20" s="37" t="n">
        <f aca="false">3_Pricing!D54</f>
        <v>0.4</v>
      </c>
      <c r="D20" s="37" t="n">
        <f aca="false">3_Pricing!D55</f>
        <v>0.45</v>
      </c>
      <c r="E20" s="37" t="n">
        <f aca="false">3_Pricing!D56</f>
        <v>0.45</v>
      </c>
      <c r="F20" s="4" t="s">
        <v>1747</v>
      </c>
      <c r="I20" s="4"/>
    </row>
    <row r="21" customFormat="false" ht="15" hidden="false" customHeight="true" outlineLevel="0" collapsed="false">
      <c r="A21" s="12" t="s">
        <v>1575</v>
      </c>
      <c r="B21" s="4" t="s">
        <v>46</v>
      </c>
      <c r="C21" s="37" t="n">
        <f aca="false">3_Pricing!E54</f>
        <v>0.1</v>
      </c>
      <c r="D21" s="37" t="n">
        <f aca="false">3_Pricing!E55</f>
        <v>0.2</v>
      </c>
      <c r="E21" s="37" t="n">
        <f aca="false">3_Pricing!E56</f>
        <v>0.3</v>
      </c>
      <c r="F21" s="4" t="s">
        <v>1747</v>
      </c>
      <c r="I21" s="4"/>
    </row>
    <row r="22" customFormat="false" ht="15" hidden="false" customHeight="true" outlineLevel="0" collapsed="false">
      <c r="A22" s="12" t="s">
        <v>1804</v>
      </c>
      <c r="B22" s="4" t="s">
        <v>212</v>
      </c>
      <c r="C22" s="21" t="n">
        <f aca="false">3_Pricing!F51</f>
        <v>19.6</v>
      </c>
      <c r="D22" s="21" t="n">
        <f aca="false">3_Pricing!F52</f>
        <v>28.75</v>
      </c>
      <c r="E22" s="21" t="n">
        <f aca="false">3_Pricing!F53</f>
        <v>38.7</v>
      </c>
      <c r="F22" s="4" t="s">
        <v>183</v>
      </c>
      <c r="I22" s="4" t="s">
        <v>1805</v>
      </c>
    </row>
    <row r="23" customFormat="false" ht="15" hidden="false" customHeight="true" outlineLevel="0" collapsed="false">
      <c r="A23" s="12" t="s">
        <v>1806</v>
      </c>
      <c r="B23" s="4" t="s">
        <v>46</v>
      </c>
      <c r="C23" s="37" t="n">
        <f aca="false">Inputs!D153</f>
        <v>0</v>
      </c>
      <c r="D23" s="37" t="n">
        <f aca="false">Inputs!E153</f>
        <v>0.2</v>
      </c>
      <c r="E23" s="37" t="n">
        <f aca="false">Inputs!F153</f>
        <v>0.3</v>
      </c>
      <c r="F23" s="4" t="s">
        <v>117</v>
      </c>
      <c r="I23" s="4"/>
    </row>
    <row r="24" customFormat="false" ht="15" hidden="false" customHeight="true" outlineLevel="0" collapsed="false">
      <c r="A24" s="12" t="s">
        <v>1807</v>
      </c>
      <c r="B24" s="4" t="s">
        <v>46</v>
      </c>
      <c r="C24" s="37" t="n">
        <f aca="false">Inputs!D155</f>
        <v>0</v>
      </c>
      <c r="D24" s="37" t="n">
        <f aca="false">Inputs!E155</f>
        <v>0.15</v>
      </c>
      <c r="E24" s="37" t="n">
        <f aca="false">Inputs!F155</f>
        <v>0.2</v>
      </c>
      <c r="F24" s="4" t="s">
        <v>117</v>
      </c>
      <c r="I24" s="4"/>
    </row>
    <row r="25" customFormat="false" ht="15" hidden="false" customHeight="true" outlineLevel="0" collapsed="false">
      <c r="A25" s="12" t="s">
        <v>1808</v>
      </c>
      <c r="B25" s="4" t="s">
        <v>46</v>
      </c>
      <c r="C25" s="37" t="n">
        <f aca="false">Inputs!D156</f>
        <v>0</v>
      </c>
      <c r="D25" s="37" t="n">
        <f aca="false">Inputs!E156</f>
        <v>0.5</v>
      </c>
      <c r="E25" s="37" t="n">
        <f aca="false">Inputs!F156</f>
        <v>0.7</v>
      </c>
      <c r="F25" s="4" t="s">
        <v>117</v>
      </c>
      <c r="I25" s="4"/>
    </row>
    <row r="27" customFormat="false" ht="15" hidden="false" customHeight="true" outlineLevel="0" collapsed="false">
      <c r="A27" s="10" t="s">
        <v>1809</v>
      </c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true" outlineLevel="0" collapsed="false">
      <c r="A28" s="15" t="s">
        <v>1810</v>
      </c>
      <c r="B28" s="15" t="s">
        <v>42</v>
      </c>
      <c r="C28" s="15" t="s">
        <v>302</v>
      </c>
      <c r="D28" s="15" t="s">
        <v>303</v>
      </c>
      <c r="E28" s="15" t="s">
        <v>304</v>
      </c>
      <c r="F28" s="15" t="s">
        <v>305</v>
      </c>
      <c r="G28" s="15" t="s">
        <v>306</v>
      </c>
      <c r="H28" s="15" t="s">
        <v>1811</v>
      </c>
      <c r="I28" s="15" t="s">
        <v>477</v>
      </c>
    </row>
    <row r="29" customFormat="false" ht="15" hidden="false" customHeight="true" outlineLevel="0" collapsed="false">
      <c r="A29" s="12" t="s">
        <v>1812</v>
      </c>
      <c r="B29" s="4" t="s">
        <v>29</v>
      </c>
      <c r="C29" s="16" t="n">
        <f aca="false">0</f>
        <v>0</v>
      </c>
      <c r="D29" s="16" t="n">
        <f aca="false">C32</f>
        <v>0.198654805298813</v>
      </c>
      <c r="E29" s="16" t="n">
        <f aca="false">D32</f>
        <v>5.71667191158226</v>
      </c>
      <c r="F29" s="16" t="n">
        <f aca="false">E32</f>
        <v>34.063417486037</v>
      </c>
      <c r="G29" s="16" t="n">
        <f aca="false">F32</f>
        <v>99.0590482080638</v>
      </c>
      <c r="I29" s="4"/>
    </row>
    <row r="30" customFormat="false" ht="15" hidden="false" customHeight="true" outlineLevel="0" collapsed="false">
      <c r="A30" s="12" t="s">
        <v>1813</v>
      </c>
      <c r="B30" s="4" t="s">
        <v>29</v>
      </c>
      <c r="C30" s="45" t="n">
        <v>0.2</v>
      </c>
      <c r="D30" s="45" t="n">
        <v>5.73799796</v>
      </c>
      <c r="E30" s="45" t="n">
        <v>31.00398368</v>
      </c>
      <c r="F30" s="45" t="n">
        <v>74.9599592</v>
      </c>
      <c r="G30" s="45" t="n">
        <v>124.11593472</v>
      </c>
      <c r="H30" s="16" t="n">
        <f aca="false">SUM(C30:G30)</f>
        <v>236.01787556</v>
      </c>
      <c r="I30" s="4" t="s">
        <v>1814</v>
      </c>
    </row>
    <row r="31" customFormat="false" ht="15" hidden="false" customHeight="true" outlineLevel="0" collapsed="false">
      <c r="A31" s="12" t="s">
        <v>1815</v>
      </c>
      <c r="B31" s="4" t="s">
        <v>29</v>
      </c>
      <c r="C31" s="45" t="n">
        <v>0.00134519470118689</v>
      </c>
      <c r="D31" s="45" t="n">
        <v>0.219980853716554</v>
      </c>
      <c r="E31" s="45" t="n">
        <v>2.65723810554524</v>
      </c>
      <c r="F31" s="45" t="n">
        <v>9.96432847797322</v>
      </c>
      <c r="G31" s="45" t="n">
        <v>23.1749830860754</v>
      </c>
      <c r="H31" s="16" t="n">
        <f aca="false">SUM(C31:G31)</f>
        <v>36.0178757180116</v>
      </c>
      <c r="I31" s="4"/>
    </row>
    <row r="32" customFormat="false" ht="15" hidden="false" customHeight="true" outlineLevel="0" collapsed="false">
      <c r="A32" s="5" t="s">
        <v>1816</v>
      </c>
      <c r="B32" s="4" t="s">
        <v>29</v>
      </c>
      <c r="C32" s="52" t="n">
        <f aca="false">C29+C30-C31</f>
        <v>0.198654805298813</v>
      </c>
      <c r="D32" s="52" t="n">
        <f aca="false">D29+D30-D31</f>
        <v>5.71667191158226</v>
      </c>
      <c r="E32" s="52" t="n">
        <f aca="false">E29+E30-E31</f>
        <v>34.063417486037</v>
      </c>
      <c r="F32" s="52" t="n">
        <f aca="false">F29+F30-F31</f>
        <v>99.0590482080638</v>
      </c>
      <c r="G32" s="52" t="n">
        <f aca="false">G29+G30-G31</f>
        <v>199.999999841988</v>
      </c>
      <c r="I32" s="4"/>
    </row>
    <row r="33" customFormat="false" ht="15" hidden="false" customHeight="true" outlineLevel="0" collapsed="false">
      <c r="A33" s="12" t="s">
        <v>1817</v>
      </c>
      <c r="B33" s="4" t="s">
        <v>29</v>
      </c>
      <c r="C33" s="18" t="n">
        <f aca="false">ROUND(C32-0.198654805298813,3)</f>
        <v>0</v>
      </c>
      <c r="D33" s="18" t="n">
        <f aca="false">ROUND(D32-5.71667191158226,3)</f>
        <v>0</v>
      </c>
      <c r="E33" s="18" t="n">
        <f aca="false">ROUND(E32-34.063417486037,3)</f>
        <v>0</v>
      </c>
      <c r="F33" s="18" t="n">
        <f aca="false">ROUND(F32-99.0590482080638,3)</f>
        <v>0</v>
      </c>
      <c r="G33" s="18" t="n">
        <f aca="false">ROUND(G32-199.999999841988,3)</f>
        <v>0</v>
      </c>
      <c r="I33" s="4"/>
    </row>
    <row r="34" customFormat="false" ht="15" hidden="false" customHeight="true" outlineLevel="0" collapsed="false">
      <c r="A34" s="12" t="s">
        <v>1818</v>
      </c>
      <c r="B34" s="4" t="s">
        <v>29</v>
      </c>
      <c r="C34" s="45" t="n">
        <v>0.6</v>
      </c>
      <c r="D34" s="45" t="n">
        <v>11.2449949</v>
      </c>
      <c r="E34" s="45" t="n">
        <v>41.46797756</v>
      </c>
      <c r="F34" s="45" t="n">
        <v>86.97395308</v>
      </c>
      <c r="G34" s="45" t="n">
        <v>136.1299286</v>
      </c>
      <c r="H34" s="16" t="n">
        <f aca="false">SUM(C34:G34)</f>
        <v>276.41685414</v>
      </c>
      <c r="I34" s="4" t="s">
        <v>1819</v>
      </c>
    </row>
    <row r="35" customFormat="false" ht="15" hidden="false" customHeight="true" outlineLevel="0" collapsed="false">
      <c r="A35" s="12" t="s">
        <v>641</v>
      </c>
      <c r="B35" s="4" t="s">
        <v>29</v>
      </c>
      <c r="C35" s="45" t="n">
        <v>3.25</v>
      </c>
      <c r="D35" s="45" t="n">
        <v>42.6299796</v>
      </c>
      <c r="E35" s="45" t="n">
        <v>131.3299286</v>
      </c>
      <c r="F35" s="45" t="n">
        <v>248.4698674</v>
      </c>
      <c r="G35" s="45" t="n">
        <v>369.8598062</v>
      </c>
      <c r="H35" s="16" t="n">
        <f aca="false">SUM(C35:G35)</f>
        <v>795.5395818</v>
      </c>
      <c r="I35" s="4"/>
    </row>
    <row r="36" customFormat="false" ht="15" hidden="false" customHeight="true" outlineLevel="0" collapsed="false">
      <c r="A36" s="12" t="s">
        <v>639</v>
      </c>
      <c r="B36" s="4" t="s">
        <v>29</v>
      </c>
      <c r="C36" s="45" t="n">
        <v>25</v>
      </c>
      <c r="D36" s="45" t="n">
        <v>219.899898</v>
      </c>
      <c r="E36" s="45" t="n">
        <v>596.699694</v>
      </c>
      <c r="F36" s="45" t="n">
        <v>1032.49949</v>
      </c>
      <c r="G36" s="45" t="n">
        <v>1459.299286</v>
      </c>
      <c r="H36" s="16" t="n">
        <f aca="false">SUM(C36:G36)</f>
        <v>3333.398368</v>
      </c>
      <c r="I36" s="4"/>
    </row>
    <row r="37" customFormat="false" ht="15" hidden="false" customHeight="true" outlineLevel="0" collapsed="false">
      <c r="A37" s="12" t="s">
        <v>1820</v>
      </c>
      <c r="B37" s="4" t="s">
        <v>29</v>
      </c>
      <c r="C37" s="45" t="n">
        <v>0</v>
      </c>
      <c r="D37" s="45" t="n">
        <v>126.899898</v>
      </c>
      <c r="E37" s="45" t="n">
        <v>380.699694</v>
      </c>
      <c r="F37" s="45" t="n">
        <v>634.49949</v>
      </c>
      <c r="G37" s="45" t="n">
        <v>888.299286</v>
      </c>
      <c r="H37" s="16" t="n">
        <f aca="false">SUM(C37:G37)</f>
        <v>2030.398368</v>
      </c>
      <c r="I37" s="4"/>
    </row>
    <row r="38" customFormat="false" ht="15" hidden="false" customHeight="true" outlineLevel="0" collapsed="false">
      <c r="A38" s="12" t="s">
        <v>1821</v>
      </c>
      <c r="B38" s="4" t="s">
        <v>1822</v>
      </c>
      <c r="C38" s="16" t="n">
        <f aca="false">C37/12</f>
        <v>0</v>
      </c>
      <c r="D38" s="16" t="n">
        <f aca="false">D37/12</f>
        <v>10.5749915</v>
      </c>
      <c r="E38" s="16" t="n">
        <f aca="false">E37/12</f>
        <v>31.7249745</v>
      </c>
      <c r="F38" s="16" t="n">
        <f aca="false">F37/12</f>
        <v>52.8749575</v>
      </c>
      <c r="G38" s="16" t="n">
        <f aca="false">G37/12</f>
        <v>74.0249405</v>
      </c>
      <c r="I38" s="4"/>
    </row>
    <row r="39" customFormat="false" ht="15" hidden="false" customHeight="true" outlineLevel="0" collapsed="false">
      <c r="A39" s="12" t="s">
        <v>914</v>
      </c>
      <c r="B39" s="4" t="s">
        <v>725</v>
      </c>
      <c r="C39" s="45" t="n">
        <v>1</v>
      </c>
      <c r="D39" s="45" t="n">
        <v>4</v>
      </c>
      <c r="E39" s="45" t="n">
        <v>10</v>
      </c>
      <c r="F39" s="45" t="n">
        <v>18</v>
      </c>
      <c r="G39" s="45" t="n">
        <v>25</v>
      </c>
      <c r="I39" s="4"/>
    </row>
    <row r="40" customFormat="false" ht="15" hidden="false" customHeight="true" outlineLevel="0" collapsed="false">
      <c r="A40" s="12" t="s">
        <v>1823</v>
      </c>
      <c r="B40" s="4" t="s">
        <v>725</v>
      </c>
      <c r="C40" s="45" t="n">
        <v>1</v>
      </c>
      <c r="D40" s="45" t="n">
        <v>7</v>
      </c>
      <c r="E40" s="45" t="n">
        <v>19</v>
      </c>
      <c r="F40" s="45" t="n">
        <v>33</v>
      </c>
      <c r="G40" s="45" t="n">
        <v>46</v>
      </c>
      <c r="I40" s="4"/>
    </row>
    <row r="41" customFormat="false" ht="15" hidden="false" customHeight="true" outlineLevel="0" collapsed="false">
      <c r="A41" s="12" t="s">
        <v>1824</v>
      </c>
      <c r="H41" s="18" t="n">
        <f aca="false">IFERROR(H35/H34,0)</f>
        <v>2.878042962594</v>
      </c>
      <c r="I41" s="4" t="str">
        <f aca="false">"Input implies "&amp;TEXT(1/C11,"0.00")&amp;" (1 ÷ pilot-to-paid); the gap is pilots still running at FY31."</f>
        <v>Input implies 2.50 (1 ÷ pilot-to-paid); the gap is pilots still running at FY31.</v>
      </c>
    </row>
    <row r="42" customFormat="false" ht="15" hidden="false" customHeight="true" outlineLevel="0" collapsed="false">
      <c r="A42" s="12" t="s">
        <v>1825</v>
      </c>
      <c r="H42" s="18" t="n">
        <f aca="false">IFERROR(H36/H34,0)</f>
        <v>12.0593166374424</v>
      </c>
    </row>
    <row r="43" customFormat="false" ht="15" hidden="false" customHeight="true" outlineLevel="0" collapsed="false">
      <c r="A43" s="5" t="s">
        <v>1826</v>
      </c>
      <c r="G43" s="9" t="str">
        <f aca="false">IF(ABS(G32-C6)&lt;0.5,"Hits target","MISSES TARGET")</f>
        <v>Hits target</v>
      </c>
    </row>
    <row r="45" customFormat="false" ht="15" hidden="false" customHeight="true" outlineLevel="0" collapsed="false">
      <c r="A45" s="15" t="s">
        <v>1827</v>
      </c>
      <c r="B45" s="15" t="s">
        <v>42</v>
      </c>
      <c r="C45" s="15" t="s">
        <v>302</v>
      </c>
      <c r="D45" s="15" t="s">
        <v>303</v>
      </c>
      <c r="E45" s="15" t="s">
        <v>304</v>
      </c>
      <c r="F45" s="15" t="s">
        <v>305</v>
      </c>
      <c r="G45" s="15" t="s">
        <v>306</v>
      </c>
      <c r="H45" s="15" t="s">
        <v>1811</v>
      </c>
      <c r="I45" s="15" t="s">
        <v>477</v>
      </c>
    </row>
    <row r="46" customFormat="false" ht="15" hidden="false" customHeight="true" outlineLevel="0" collapsed="false">
      <c r="A46" s="12" t="s">
        <v>1812</v>
      </c>
      <c r="B46" s="4" t="s">
        <v>29</v>
      </c>
      <c r="C46" s="16" t="n">
        <f aca="false">0</f>
        <v>0</v>
      </c>
      <c r="D46" s="16" t="n">
        <f aca="false">C49</f>
        <v>1.06093534837466</v>
      </c>
      <c r="E46" s="16" t="n">
        <f aca="false">D49</f>
        <v>17.5985909615109</v>
      </c>
      <c r="F46" s="16" t="n">
        <f aca="false">E49</f>
        <v>77.249595001917</v>
      </c>
      <c r="G46" s="16" t="n">
        <f aca="false">F49</f>
        <v>203.400031810899</v>
      </c>
      <c r="I46" s="4"/>
    </row>
    <row r="47" customFormat="false" ht="15" hidden="false" customHeight="true" outlineLevel="0" collapsed="false">
      <c r="A47" s="12" t="s">
        <v>1813</v>
      </c>
      <c r="B47" s="4" t="s">
        <v>29</v>
      </c>
      <c r="C47" s="45" t="n">
        <v>1.0725</v>
      </c>
      <c r="D47" s="45" t="n">
        <v>17.03959312</v>
      </c>
      <c r="E47" s="45" t="n">
        <v>63.3354656</v>
      </c>
      <c r="F47" s="45" t="n">
        <v>138.26552432</v>
      </c>
      <c r="G47" s="45" t="n">
        <v>223.67308304</v>
      </c>
      <c r="H47" s="16" t="n">
        <f aca="false">SUM(C47:G47)</f>
        <v>443.38616608</v>
      </c>
      <c r="I47" s="4" t="s">
        <v>1814</v>
      </c>
    </row>
    <row r="48" customFormat="false" ht="15" hidden="false" customHeight="true" outlineLevel="0" collapsed="false">
      <c r="A48" s="12" t="s">
        <v>1815</v>
      </c>
      <c r="B48" s="4" t="s">
        <v>29</v>
      </c>
      <c r="C48" s="45" t="n">
        <v>0.0115646516253351</v>
      </c>
      <c r="D48" s="45" t="n">
        <v>0.501937506863721</v>
      </c>
      <c r="E48" s="45" t="n">
        <v>3.68446155959396</v>
      </c>
      <c r="F48" s="45" t="n">
        <v>12.1150875110178</v>
      </c>
      <c r="G48" s="45" t="n">
        <v>27.0731057766244</v>
      </c>
      <c r="H48" s="16" t="n">
        <f aca="false">SUM(C48:G48)</f>
        <v>43.3861570057252</v>
      </c>
      <c r="I48" s="4"/>
    </row>
    <row r="49" customFormat="false" ht="15" hidden="false" customHeight="true" outlineLevel="0" collapsed="false">
      <c r="A49" s="5" t="s">
        <v>1816</v>
      </c>
      <c r="B49" s="4" t="s">
        <v>29</v>
      </c>
      <c r="C49" s="52" t="n">
        <f aca="false">C46+C47-C48</f>
        <v>1.06093534837466</v>
      </c>
      <c r="D49" s="52" t="n">
        <f aca="false">D46+D47-D48</f>
        <v>17.5985909615109</v>
      </c>
      <c r="E49" s="52" t="n">
        <f aca="false">E46+E47-E48</f>
        <v>77.249595001917</v>
      </c>
      <c r="F49" s="52" t="n">
        <f aca="false">F46+F47-F48</f>
        <v>203.400031810899</v>
      </c>
      <c r="G49" s="52" t="n">
        <f aca="false">G46+G47-G48</f>
        <v>400.000009074275</v>
      </c>
      <c r="I49" s="4"/>
    </row>
    <row r="50" customFormat="false" ht="15" hidden="false" customHeight="true" outlineLevel="0" collapsed="false">
      <c r="A50" s="12" t="s">
        <v>1817</v>
      </c>
      <c r="B50" s="4" t="s">
        <v>29</v>
      </c>
      <c r="C50" s="18" t="n">
        <f aca="false">ROUND(C49-1.06093534837466,3)</f>
        <v>0</v>
      </c>
      <c r="D50" s="18" t="n">
        <f aca="false">ROUND(D49-17.5985909615109,3)</f>
        <v>0</v>
      </c>
      <c r="E50" s="18" t="n">
        <f aca="false">ROUND(E49-77.249595001917,3)</f>
        <v>0</v>
      </c>
      <c r="F50" s="18" t="n">
        <f aca="false">ROUND(F49-203.400031810899,3)</f>
        <v>0</v>
      </c>
      <c r="G50" s="18" t="n">
        <f aca="false">ROUND(G49-400.000009074275,3)</f>
        <v>0</v>
      </c>
      <c r="I50" s="4"/>
    </row>
    <row r="51" customFormat="false" ht="15" hidden="false" customHeight="true" outlineLevel="0" collapsed="false">
      <c r="A51" s="12" t="s">
        <v>1818</v>
      </c>
      <c r="B51" s="4" t="s">
        <v>29</v>
      </c>
      <c r="C51" s="45" t="n">
        <v>1.98</v>
      </c>
      <c r="D51" s="45" t="n">
        <v>23.57938968</v>
      </c>
      <c r="E51" s="45" t="n">
        <v>75.26005872</v>
      </c>
      <c r="F51" s="45" t="n">
        <v>152.50011744</v>
      </c>
      <c r="G51" s="45" t="n">
        <v>237.16517616</v>
      </c>
      <c r="H51" s="16" t="n">
        <f aca="false">SUM(C51:G51)</f>
        <v>490.484742</v>
      </c>
      <c r="I51" s="4" t="s">
        <v>1819</v>
      </c>
    </row>
    <row r="52" customFormat="false" ht="15" hidden="false" customHeight="true" outlineLevel="0" collapsed="false">
      <c r="A52" s="12" t="s">
        <v>641</v>
      </c>
      <c r="B52" s="4" t="s">
        <v>29</v>
      </c>
      <c r="C52" s="45" t="n">
        <v>7.2</v>
      </c>
      <c r="D52" s="45" t="n">
        <v>60.2574264</v>
      </c>
      <c r="E52" s="45" t="n">
        <v>170.033088</v>
      </c>
      <c r="F52" s="45" t="n">
        <v>316.5445584</v>
      </c>
      <c r="G52" s="45" t="n">
        <v>467.7810288</v>
      </c>
      <c r="H52" s="16" t="n">
        <f aca="false">SUM(C52:G52)</f>
        <v>1021.8161016</v>
      </c>
      <c r="I52" s="4"/>
    </row>
    <row r="53" customFormat="false" ht="15" hidden="false" customHeight="true" outlineLevel="0" collapsed="false">
      <c r="A53" s="12" t="s">
        <v>639</v>
      </c>
      <c r="B53" s="4" t="s">
        <v>29</v>
      </c>
      <c r="C53" s="45" t="n">
        <v>37.5</v>
      </c>
      <c r="D53" s="45" t="n">
        <v>240.480672</v>
      </c>
      <c r="E53" s="45" t="n">
        <v>626.942016</v>
      </c>
      <c r="F53" s="45" t="n">
        <v>1101.90336</v>
      </c>
      <c r="G53" s="45" t="n">
        <v>1563.364704</v>
      </c>
      <c r="H53" s="16" t="n">
        <f aca="false">SUM(C53:G53)</f>
        <v>3570.190752</v>
      </c>
      <c r="I53" s="4"/>
    </row>
    <row r="54" customFormat="false" ht="15" hidden="false" customHeight="true" outlineLevel="0" collapsed="false">
      <c r="A54" s="12" t="s">
        <v>1820</v>
      </c>
      <c r="B54" s="4" t="s">
        <v>29</v>
      </c>
      <c r="C54" s="45" t="n">
        <v>0</v>
      </c>
      <c r="D54" s="45" t="n">
        <v>100.980672</v>
      </c>
      <c r="E54" s="45" t="n">
        <v>302.942016</v>
      </c>
      <c r="F54" s="45" t="n">
        <v>504.90336</v>
      </c>
      <c r="G54" s="45" t="n">
        <v>706.864704</v>
      </c>
      <c r="H54" s="16" t="n">
        <f aca="false">SUM(C54:G54)</f>
        <v>1615.690752</v>
      </c>
      <c r="I54" s="4"/>
    </row>
    <row r="55" customFormat="false" ht="15" hidden="false" customHeight="true" outlineLevel="0" collapsed="false">
      <c r="A55" s="12" t="s">
        <v>1821</v>
      </c>
      <c r="B55" s="4" t="s">
        <v>1822</v>
      </c>
      <c r="C55" s="16" t="n">
        <f aca="false">C54/12</f>
        <v>0</v>
      </c>
      <c r="D55" s="16" t="n">
        <f aca="false">D54/12</f>
        <v>8.415056</v>
      </c>
      <c r="E55" s="16" t="n">
        <f aca="false">E54/12</f>
        <v>25.245168</v>
      </c>
      <c r="F55" s="16" t="n">
        <f aca="false">F54/12</f>
        <v>42.07528</v>
      </c>
      <c r="G55" s="16" t="n">
        <f aca="false">G54/12</f>
        <v>58.905392</v>
      </c>
      <c r="I55" s="4"/>
    </row>
    <row r="56" customFormat="false" ht="15" hidden="false" customHeight="true" outlineLevel="0" collapsed="false">
      <c r="A56" s="12" t="s">
        <v>914</v>
      </c>
      <c r="B56" s="4" t="s">
        <v>725</v>
      </c>
      <c r="C56" s="45" t="n">
        <v>1</v>
      </c>
      <c r="D56" s="45" t="n">
        <v>4</v>
      </c>
      <c r="E56" s="45" t="n">
        <v>10</v>
      </c>
      <c r="F56" s="45" t="n">
        <v>18</v>
      </c>
      <c r="G56" s="45" t="n">
        <v>25</v>
      </c>
      <c r="I56" s="4"/>
    </row>
    <row r="57" customFormat="false" ht="15" hidden="false" customHeight="true" outlineLevel="0" collapsed="false">
      <c r="A57" s="12" t="s">
        <v>1823</v>
      </c>
      <c r="B57" s="4" t="s">
        <v>725</v>
      </c>
      <c r="C57" s="45" t="n">
        <v>1</v>
      </c>
      <c r="D57" s="45" t="n">
        <v>6</v>
      </c>
      <c r="E57" s="45" t="n">
        <v>16</v>
      </c>
      <c r="F57" s="45" t="n">
        <v>27</v>
      </c>
      <c r="G57" s="45" t="n">
        <v>37</v>
      </c>
      <c r="I57" s="4"/>
    </row>
    <row r="58" customFormat="false" ht="15" hidden="false" customHeight="true" outlineLevel="0" collapsed="false">
      <c r="A58" s="12" t="s">
        <v>1824</v>
      </c>
      <c r="H58" s="18" t="n">
        <f aca="false">IFERROR(H52/H51,0)</f>
        <v>2.08327805964655</v>
      </c>
      <c r="I58" s="4" t="str">
        <f aca="false">"Input implies "&amp;TEXT(1/D11,"0.00")&amp;" (1 ÷ pilot-to-paid); the gap is pilots still running at FY31."</f>
        <v>Input implies 1.82 (1 ÷ pilot-to-paid); the gap is pilots still running at FY31.</v>
      </c>
    </row>
    <row r="59" customFormat="false" ht="15" hidden="false" customHeight="true" outlineLevel="0" collapsed="false">
      <c r="A59" s="12" t="s">
        <v>1825</v>
      </c>
      <c r="H59" s="18" t="n">
        <f aca="false">IFERROR(H53/H51,0)</f>
        <v>7.27890277981369</v>
      </c>
    </row>
    <row r="60" customFormat="false" ht="15" hidden="false" customHeight="true" outlineLevel="0" collapsed="false">
      <c r="A60" s="5" t="s">
        <v>1826</v>
      </c>
      <c r="G60" s="9" t="str">
        <f aca="false">IF(ABS(G49-D6)&lt;0.5,"Hits target","MISSES TARGET")</f>
        <v>Hits target</v>
      </c>
    </row>
    <row r="62" customFormat="false" ht="15" hidden="false" customHeight="true" outlineLevel="0" collapsed="false">
      <c r="A62" s="15" t="s">
        <v>1828</v>
      </c>
      <c r="B62" s="15" t="s">
        <v>42</v>
      </c>
      <c r="C62" s="15" t="s">
        <v>302</v>
      </c>
      <c r="D62" s="15" t="s">
        <v>303</v>
      </c>
      <c r="E62" s="15" t="s">
        <v>304</v>
      </c>
      <c r="F62" s="15" t="s">
        <v>305</v>
      </c>
      <c r="G62" s="15" t="s">
        <v>306</v>
      </c>
      <c r="H62" s="15" t="s">
        <v>1811</v>
      </c>
      <c r="I62" s="15" t="s">
        <v>477</v>
      </c>
    </row>
    <row r="63" customFormat="false" ht="15" hidden="false" customHeight="true" outlineLevel="0" collapsed="false">
      <c r="A63" s="12" t="s">
        <v>1812</v>
      </c>
      <c r="B63" s="4" t="s">
        <v>29</v>
      </c>
      <c r="C63" s="16" t="n">
        <f aca="false">0</f>
        <v>0</v>
      </c>
      <c r="D63" s="16" t="n">
        <f aca="false">C66</f>
        <v>2.93304929717663</v>
      </c>
      <c r="E63" s="16" t="n">
        <f aca="false">D66</f>
        <v>34.503126998575</v>
      </c>
      <c r="F63" s="16" t="n">
        <f aca="false">E66</f>
        <v>126.597882646579</v>
      </c>
      <c r="G63" s="16" t="n">
        <f aca="false">F66</f>
        <v>312.54868203381</v>
      </c>
      <c r="I63" s="4"/>
    </row>
    <row r="64" customFormat="false" ht="15" hidden="false" customHeight="true" outlineLevel="0" collapsed="false">
      <c r="A64" s="12" t="s">
        <v>1813</v>
      </c>
      <c r="B64" s="4" t="s">
        <v>29</v>
      </c>
      <c r="C64" s="45" t="n">
        <v>2.9575</v>
      </c>
      <c r="D64" s="45" t="n">
        <v>32.3266658</v>
      </c>
      <c r="E64" s="45" t="n">
        <v>96.23682952</v>
      </c>
      <c r="F64" s="45" t="n">
        <v>198.30632536</v>
      </c>
      <c r="G64" s="45" t="n">
        <v>314.2533212</v>
      </c>
      <c r="H64" s="16" t="n">
        <f aca="false">SUM(C64:G64)</f>
        <v>644.08064188</v>
      </c>
      <c r="I64" s="4" t="s">
        <v>1814</v>
      </c>
    </row>
    <row r="65" customFormat="false" ht="15" hidden="false" customHeight="true" outlineLevel="0" collapsed="false">
      <c r="A65" s="12" t="s">
        <v>1815</v>
      </c>
      <c r="B65" s="4" t="s">
        <v>29</v>
      </c>
      <c r="C65" s="45" t="n">
        <v>0.0244507028233704</v>
      </c>
      <c r="D65" s="45" t="n">
        <v>0.756588098601608</v>
      </c>
      <c r="E65" s="45" t="n">
        <v>4.1420738719959</v>
      </c>
      <c r="F65" s="45" t="n">
        <v>12.3555259727688</v>
      </c>
      <c r="G65" s="45" t="n">
        <v>26.8019915911931</v>
      </c>
      <c r="H65" s="16" t="n">
        <f aca="false">SUM(C65:G65)</f>
        <v>44.0806302373828</v>
      </c>
      <c r="I65" s="4"/>
    </row>
    <row r="66" customFormat="false" ht="15" hidden="false" customHeight="true" outlineLevel="0" collapsed="false">
      <c r="A66" s="5" t="s">
        <v>1816</v>
      </c>
      <c r="B66" s="4" t="s">
        <v>29</v>
      </c>
      <c r="C66" s="52" t="n">
        <f aca="false">C63+C64-C65</f>
        <v>2.93304929717663</v>
      </c>
      <c r="D66" s="52" t="n">
        <f aca="false">D63+D64-D65</f>
        <v>34.503126998575</v>
      </c>
      <c r="E66" s="52" t="n">
        <f aca="false">E63+E64-E65</f>
        <v>126.597882646579</v>
      </c>
      <c r="F66" s="52" t="n">
        <f aca="false">F63+F64-F65</f>
        <v>312.54868203381</v>
      </c>
      <c r="G66" s="52" t="n">
        <f aca="false">G63+G64-G65</f>
        <v>600.000011642617</v>
      </c>
      <c r="I66" s="4"/>
    </row>
    <row r="67" customFormat="false" ht="15" hidden="false" customHeight="true" outlineLevel="0" collapsed="false">
      <c r="A67" s="12" t="s">
        <v>1817</v>
      </c>
      <c r="B67" s="4" t="s">
        <v>29</v>
      </c>
      <c r="C67" s="18" t="n">
        <f aca="false">ROUND(C66-2.93304929717663,3)</f>
        <v>0</v>
      </c>
      <c r="D67" s="18" t="n">
        <f aca="false">ROUND(D66-34.503126998575,3)</f>
        <v>0</v>
      </c>
      <c r="E67" s="18" t="n">
        <f aca="false">ROUND(E66-126.597882646579,3)</f>
        <v>0</v>
      </c>
      <c r="F67" s="18" t="n">
        <f aca="false">ROUND(F66-312.54868203381,3)</f>
        <v>0</v>
      </c>
      <c r="G67" s="18" t="n">
        <f aca="false">ROUND(G66-600.000011642617,3)</f>
        <v>0</v>
      </c>
      <c r="I67" s="4"/>
    </row>
    <row r="68" customFormat="false" ht="15" hidden="false" customHeight="true" outlineLevel="0" collapsed="false">
      <c r="A68" s="12" t="s">
        <v>1818</v>
      </c>
      <c r="B68" s="4" t="s">
        <v>29</v>
      </c>
      <c r="C68" s="45" t="n">
        <v>5.46</v>
      </c>
      <c r="D68" s="45" t="n">
        <v>40.66183212</v>
      </c>
      <c r="E68" s="45" t="n">
        <v>111.99716216</v>
      </c>
      <c r="F68" s="45" t="n">
        <v>218.161658</v>
      </c>
      <c r="G68" s="45" t="n">
        <v>332.28865384</v>
      </c>
      <c r="H68" s="16" t="n">
        <f aca="false">SUM(C68:G68)</f>
        <v>708.56930612</v>
      </c>
      <c r="I68" s="4" t="s">
        <v>1819</v>
      </c>
    </row>
    <row r="69" customFormat="false" ht="15" hidden="false" customHeight="true" outlineLevel="0" collapsed="false">
      <c r="A69" s="12" t="s">
        <v>641</v>
      </c>
      <c r="B69" s="4" t="s">
        <v>29</v>
      </c>
      <c r="C69" s="45" t="n">
        <v>14.7</v>
      </c>
      <c r="D69" s="45" t="n">
        <v>81.266664</v>
      </c>
      <c r="E69" s="45" t="n">
        <v>208.6733248</v>
      </c>
      <c r="F69" s="45" t="n">
        <v>381.4533184</v>
      </c>
      <c r="G69" s="45" t="n">
        <v>552.833312</v>
      </c>
      <c r="H69" s="16" t="n">
        <f aca="false">SUM(C69:G69)</f>
        <v>1238.9266192</v>
      </c>
      <c r="I69" s="4"/>
    </row>
    <row r="70" customFormat="false" ht="15" hidden="false" customHeight="true" outlineLevel="0" collapsed="false">
      <c r="A70" s="12" t="s">
        <v>639</v>
      </c>
      <c r="B70" s="4" t="s">
        <v>29</v>
      </c>
      <c r="C70" s="45" t="n">
        <v>54</v>
      </c>
      <c r="D70" s="45" t="n">
        <v>259.099992</v>
      </c>
      <c r="E70" s="45" t="n">
        <v>639.299976</v>
      </c>
      <c r="F70" s="45" t="n">
        <v>1133.49996</v>
      </c>
      <c r="G70" s="45" t="n">
        <v>1597.699944</v>
      </c>
      <c r="H70" s="16" t="n">
        <f aca="false">SUM(C70:G70)</f>
        <v>3683.599872</v>
      </c>
      <c r="I70" s="4"/>
    </row>
    <row r="71" customFormat="false" ht="15" hidden="false" customHeight="true" outlineLevel="0" collapsed="false">
      <c r="A71" s="12" t="s">
        <v>1820</v>
      </c>
      <c r="B71" s="4" t="s">
        <v>29</v>
      </c>
      <c r="C71" s="45" t="n">
        <v>0</v>
      </c>
      <c r="D71" s="45" t="n">
        <v>61.099992</v>
      </c>
      <c r="E71" s="45" t="n">
        <v>183.299976</v>
      </c>
      <c r="F71" s="45" t="n">
        <v>305.49996</v>
      </c>
      <c r="G71" s="45" t="n">
        <v>427.699944</v>
      </c>
      <c r="H71" s="16" t="n">
        <f aca="false">SUM(C71:G71)</f>
        <v>977.599872</v>
      </c>
      <c r="I71" s="4"/>
    </row>
    <row r="72" customFormat="false" ht="15" hidden="false" customHeight="true" outlineLevel="0" collapsed="false">
      <c r="A72" s="12" t="s">
        <v>1821</v>
      </c>
      <c r="B72" s="4" t="s">
        <v>1822</v>
      </c>
      <c r="C72" s="16" t="n">
        <f aca="false">C71/12</f>
        <v>0</v>
      </c>
      <c r="D72" s="16" t="n">
        <f aca="false">D71/12</f>
        <v>5.091666</v>
      </c>
      <c r="E72" s="16" t="n">
        <f aca="false">E71/12</f>
        <v>15.274998</v>
      </c>
      <c r="F72" s="16" t="n">
        <f aca="false">F71/12</f>
        <v>25.45833</v>
      </c>
      <c r="G72" s="16" t="n">
        <f aca="false">G71/12</f>
        <v>35.641662</v>
      </c>
      <c r="I72" s="4"/>
    </row>
    <row r="73" customFormat="false" ht="15" hidden="false" customHeight="true" outlineLevel="0" collapsed="false">
      <c r="A73" s="12" t="s">
        <v>914</v>
      </c>
      <c r="B73" s="4" t="s">
        <v>725</v>
      </c>
      <c r="C73" s="45" t="n">
        <v>1</v>
      </c>
      <c r="D73" s="45" t="n">
        <v>4</v>
      </c>
      <c r="E73" s="45" t="n">
        <v>10</v>
      </c>
      <c r="F73" s="45" t="n">
        <v>18</v>
      </c>
      <c r="G73" s="45" t="n">
        <v>25</v>
      </c>
      <c r="I73" s="4"/>
    </row>
    <row r="74" customFormat="false" ht="15" hidden="false" customHeight="true" outlineLevel="0" collapsed="false">
      <c r="A74" s="12" t="s">
        <v>1823</v>
      </c>
      <c r="B74" s="4" t="s">
        <v>725</v>
      </c>
      <c r="C74" s="45" t="n">
        <v>2</v>
      </c>
      <c r="D74" s="45" t="n">
        <v>7</v>
      </c>
      <c r="E74" s="45" t="n">
        <v>17</v>
      </c>
      <c r="F74" s="45" t="n">
        <v>29</v>
      </c>
      <c r="G74" s="45" t="n">
        <v>40</v>
      </c>
      <c r="I74" s="4"/>
    </row>
    <row r="75" customFormat="false" ht="15" hidden="false" customHeight="true" outlineLevel="0" collapsed="false">
      <c r="A75" s="12" t="s">
        <v>1824</v>
      </c>
      <c r="H75" s="18" t="n">
        <f aca="false">IFERROR(H69/H68,0)</f>
        <v>1.74849038548416</v>
      </c>
      <c r="I75" s="4" t="str">
        <f aca="false">"Input implies "&amp;TEXT(1/E11,"0.00")&amp;" (1 ÷ pilot-to-paid); the gap is pilots still running at FY31."</f>
        <v>Input implies 1.54 (1 ÷ pilot-to-paid); the gap is pilots still running at FY31.</v>
      </c>
    </row>
    <row r="76" customFormat="false" ht="15" hidden="false" customHeight="true" outlineLevel="0" collapsed="false">
      <c r="A76" s="12" t="s">
        <v>1825</v>
      </c>
      <c r="H76" s="18" t="n">
        <f aca="false">IFERROR(H70/H68,0)</f>
        <v>5.19864442360726</v>
      </c>
    </row>
    <row r="77" customFormat="false" ht="15" hidden="false" customHeight="true" outlineLevel="0" collapsed="false">
      <c r="A77" s="5" t="s">
        <v>1826</v>
      </c>
      <c r="G77" s="9" t="str">
        <f aca="false">IF(ABS(G66-E6)&lt;0.5,"Hits target","MISSES TARGET")</f>
        <v>Hits target</v>
      </c>
    </row>
    <row r="79" customFormat="false" ht="15" hidden="false" customHeight="true" outlineLevel="0" collapsed="false">
      <c r="A79" s="10" t="s">
        <v>1829</v>
      </c>
      <c r="B79" s="11"/>
      <c r="C79" s="11"/>
      <c r="D79" s="11"/>
      <c r="E79" s="11"/>
      <c r="F79" s="11"/>
      <c r="G79" s="11"/>
      <c r="H79" s="11"/>
      <c r="I79" s="11"/>
    </row>
    <row r="80" customFormat="false" ht="15" hidden="false" customHeight="true" outlineLevel="0" collapsed="false">
      <c r="A80" s="15" t="s">
        <v>67</v>
      </c>
      <c r="B80" s="15" t="s">
        <v>42</v>
      </c>
      <c r="C80" s="15" t="s">
        <v>68</v>
      </c>
      <c r="D80" s="15" t="s">
        <v>69</v>
      </c>
      <c r="E80" s="15" t="s">
        <v>70</v>
      </c>
      <c r="F80" s="15" t="s">
        <v>1830</v>
      </c>
      <c r="G80" s="15"/>
      <c r="H80" s="15"/>
      <c r="I80" s="15" t="s">
        <v>477</v>
      </c>
    </row>
    <row r="81" customFormat="false" ht="15" hidden="false" customHeight="true" outlineLevel="0" collapsed="false">
      <c r="A81" s="12" t="s">
        <v>1831</v>
      </c>
      <c r="B81" s="4" t="s">
        <v>29</v>
      </c>
      <c r="C81" s="44" t="n">
        <v>199.999999841988</v>
      </c>
      <c r="D81" s="44" t="n">
        <v>400.000009074275</v>
      </c>
      <c r="E81" s="44" t="n">
        <v>600.000011642617</v>
      </c>
      <c r="F81" s="23" t="n">
        <f aca="false">4_Revenue_Build!G21</f>
        <v>400.000009074275</v>
      </c>
    </row>
    <row r="82" customFormat="false" ht="15" hidden="false" customHeight="true" outlineLevel="0" collapsed="false">
      <c r="A82" s="12" t="s">
        <v>1832</v>
      </c>
      <c r="B82" s="4" t="s">
        <v>44</v>
      </c>
      <c r="C82" s="45" t="n">
        <v>4678.53257211694</v>
      </c>
      <c r="D82" s="45" t="n">
        <v>15745.7780317477</v>
      </c>
      <c r="E82" s="45" t="n">
        <v>33677.8881742944</v>
      </c>
      <c r="F82" s="21" t="n">
        <f aca="false">4_Revenue_Build!G30</f>
        <v>15745.7780317477</v>
      </c>
    </row>
    <row r="83" customFormat="false" ht="15" hidden="false" customHeight="true" outlineLevel="0" collapsed="false">
      <c r="A83" s="12" t="s">
        <v>1833</v>
      </c>
      <c r="B83" s="4" t="s">
        <v>44</v>
      </c>
      <c r="C83" s="100" t="n">
        <v>23.3926628790662</v>
      </c>
      <c r="D83" s="100" t="n">
        <v>39.3644441863599</v>
      </c>
      <c r="E83" s="100" t="n">
        <v>56.1298125346608</v>
      </c>
      <c r="F83" s="25" t="n">
        <f aca="false">4_Revenue_Build!G34</f>
        <v>39.3644441863599</v>
      </c>
    </row>
    <row r="84" customFormat="false" ht="15" hidden="false" customHeight="true" outlineLevel="0" collapsed="false">
      <c r="A84" s="12" t="s">
        <v>1834</v>
      </c>
      <c r="B84" s="4" t="s">
        <v>44</v>
      </c>
      <c r="C84" s="100" t="n">
        <v>22.059972676</v>
      </c>
      <c r="D84" s="100" t="n">
        <v>34.9458046875</v>
      </c>
      <c r="E84" s="100" t="n">
        <v>47.040091875</v>
      </c>
      <c r="F84" s="25" t="n">
        <f aca="false">4_Revenue_Build!G33</f>
        <v>34.9458046875</v>
      </c>
    </row>
    <row r="85" customFormat="false" ht="15" hidden="false" customHeight="true" outlineLevel="0" collapsed="false">
      <c r="A85" s="12" t="s">
        <v>1835</v>
      </c>
      <c r="B85" s="4" t="s">
        <v>44</v>
      </c>
      <c r="C85" s="45" t="n">
        <v>3399.32264210329</v>
      </c>
      <c r="D85" s="45" t="n">
        <v>11320.2833399539</v>
      </c>
      <c r="E85" s="45" t="n">
        <v>24161.7564831534</v>
      </c>
      <c r="F85" s="21" t="n">
        <f aca="false">7_Financials!G7</f>
        <v>11320.2833399539</v>
      </c>
    </row>
    <row r="86" customFormat="false" ht="15" hidden="false" customHeight="true" outlineLevel="0" collapsed="false">
      <c r="A86" s="12" t="s">
        <v>1836</v>
      </c>
      <c r="B86" s="4" t="s">
        <v>44</v>
      </c>
      <c r="C86" s="45" t="n">
        <v>712.437247742599</v>
      </c>
      <c r="D86" s="45" t="n">
        <v>1672.03758691012</v>
      </c>
      <c r="E86" s="45" t="n">
        <v>2692.9369758131</v>
      </c>
      <c r="F86" s="21" t="n">
        <f aca="false">7_Financials!G8</f>
        <v>1672.03758691012</v>
      </c>
    </row>
    <row r="87" customFormat="false" ht="15" hidden="false" customHeight="true" outlineLevel="0" collapsed="false">
      <c r="A87" s="12" t="s">
        <v>1837</v>
      </c>
      <c r="B87" s="4" t="s">
        <v>44</v>
      </c>
      <c r="C87" s="45" t="n">
        <v>540.02221695</v>
      </c>
      <c r="D87" s="45" t="n">
        <v>1138.976224</v>
      </c>
      <c r="E87" s="45" t="n">
        <v>1616.8799376</v>
      </c>
      <c r="F87" s="21" t="n">
        <f aca="false">4_Revenue_Build!G40</f>
        <v>1138.976224</v>
      </c>
    </row>
    <row r="88" customFormat="false" ht="15" hidden="false" customHeight="true" outlineLevel="0" collapsed="false">
      <c r="A88" s="12" t="s">
        <v>1838</v>
      </c>
      <c r="B88" s="4" t="s">
        <v>44</v>
      </c>
      <c r="C88" s="45" t="n">
        <v>286.7078092032</v>
      </c>
      <c r="D88" s="45" t="n">
        <v>430.570684852</v>
      </c>
      <c r="E88" s="45" t="n">
        <v>483.950114648</v>
      </c>
      <c r="F88" s="21" t="n">
        <f aca="false">4_Revenue_Build!G41</f>
        <v>430.570684852</v>
      </c>
    </row>
    <row r="89" customFormat="false" ht="15" hidden="false" customHeight="true" outlineLevel="0" collapsed="false">
      <c r="A89" s="12" t="s">
        <v>1839</v>
      </c>
      <c r="B89" s="4" t="s">
        <v>44</v>
      </c>
      <c r="C89" s="45" t="n">
        <v>0</v>
      </c>
      <c r="D89" s="45" t="n">
        <v>531.104132466704</v>
      </c>
      <c r="E89" s="45" t="n">
        <v>2237.32096749826</v>
      </c>
      <c r="F89" s="21" t="n">
        <f aca="false">7_Financials!G10</f>
        <v>531.104132466704</v>
      </c>
    </row>
    <row r="90" customFormat="false" ht="15" hidden="false" customHeight="true" outlineLevel="0" collapsed="false">
      <c r="A90" s="12" t="s">
        <v>667</v>
      </c>
      <c r="B90" s="4" t="s">
        <v>44</v>
      </c>
      <c r="C90" s="45" t="n">
        <v>4938.48991599909</v>
      </c>
      <c r="D90" s="45" t="n">
        <v>15092.9719681828</v>
      </c>
      <c r="E90" s="45" t="n">
        <v>31192.8444787127</v>
      </c>
      <c r="F90" s="21" t="n">
        <f aca="false">7_Financials!G11</f>
        <v>15092.9719681828</v>
      </c>
    </row>
    <row r="91" customFormat="false" ht="15" hidden="false" customHeight="true" outlineLevel="0" collapsed="false">
      <c r="A91" s="12" t="s">
        <v>54</v>
      </c>
      <c r="B91" s="4" t="s">
        <v>44</v>
      </c>
      <c r="C91" s="45" t="n">
        <v>-160.229558026852</v>
      </c>
      <c r="D91" s="45" t="n">
        <v>8786.09553021468</v>
      </c>
      <c r="E91" s="45" t="n">
        <v>23770.2690890305</v>
      </c>
      <c r="F91" s="21" t="n">
        <f aca="false">7_Financials!G19</f>
        <v>8786.09553021468</v>
      </c>
    </row>
    <row r="92" customFormat="false" ht="15" hidden="false" customHeight="true" outlineLevel="0" collapsed="false">
      <c r="A92" s="12" t="s">
        <v>1028</v>
      </c>
      <c r="B92" s="4" t="s">
        <v>44</v>
      </c>
      <c r="C92" s="45" t="n">
        <v>-2660.60513055878</v>
      </c>
      <c r="D92" s="45" t="n">
        <v>11649.3977554798</v>
      </c>
      <c r="E92" s="45" t="n">
        <v>36128.1713126672</v>
      </c>
      <c r="F92" s="21" t="n">
        <f aca="false">12_Scenarios!F33</f>
        <v>11649.3977554798</v>
      </c>
    </row>
    <row r="93" customFormat="false" ht="15" hidden="false" customHeight="true" outlineLevel="0" collapsed="false">
      <c r="A93" s="12" t="s">
        <v>1840</v>
      </c>
      <c r="B93" s="4" t="s">
        <v>44</v>
      </c>
      <c r="C93" s="45" t="n">
        <v>3391.86255148631</v>
      </c>
      <c r="D93" s="45" t="n">
        <v>692.949528528841</v>
      </c>
      <c r="E93" s="45" t="n">
        <v>285.760471449417</v>
      </c>
      <c r="F93" s="21" t="n">
        <f aca="false">11_Funding!C5</f>
        <v>692.949528528841</v>
      </c>
    </row>
    <row r="94" customFormat="false" ht="15" hidden="false" customHeight="true" outlineLevel="0" collapsed="false">
      <c r="A94" s="12" t="s">
        <v>1030</v>
      </c>
      <c r="B94" s="4" t="s">
        <v>44</v>
      </c>
      <c r="C94" s="45" t="n">
        <v>4666.73944099613</v>
      </c>
      <c r="D94" s="45" t="n">
        <v>1102.91147268624</v>
      </c>
      <c r="E94" s="45" t="n">
        <v>508.942751029139</v>
      </c>
      <c r="F94" s="21" t="n">
        <f aca="false">12_Scenarios!F36</f>
        <v>1102.91147268624</v>
      </c>
    </row>
    <row r="95" customFormat="false" ht="15" hidden="false" customHeight="true" outlineLevel="0" collapsed="false">
      <c r="A95" s="12" t="s">
        <v>1841</v>
      </c>
      <c r="B95" s="4" t="s">
        <v>44</v>
      </c>
      <c r="C95" s="45" t="n">
        <v>-1591.86255148631</v>
      </c>
      <c r="D95" s="45" t="n">
        <v>321.2553530481</v>
      </c>
      <c r="E95" s="45" t="n">
        <v>614.239528550584</v>
      </c>
      <c r="F95" s="21" t="n">
        <f aca="false">12_Scenarios!F38</f>
        <v>321.2553530481</v>
      </c>
    </row>
    <row r="96" customFormat="false" ht="15" hidden="false" customHeight="true" outlineLevel="0" collapsed="false">
      <c r="A96" s="12" t="s">
        <v>1031</v>
      </c>
      <c r="B96" s="4" t="s">
        <v>148</v>
      </c>
      <c r="C96" s="44" t="n">
        <v>57</v>
      </c>
      <c r="D96" s="44" t="n">
        <v>29</v>
      </c>
      <c r="E96" s="44" t="n">
        <v>20</v>
      </c>
      <c r="F96" s="23" t="n">
        <f aca="false">12_Scenarios!F37</f>
        <v>29</v>
      </c>
    </row>
    <row r="97" customFormat="false" ht="15" hidden="false" customHeight="true" outlineLevel="0" collapsed="false">
      <c r="A97" s="12" t="s">
        <v>1842</v>
      </c>
      <c r="B97" s="4" t="s">
        <v>27</v>
      </c>
      <c r="C97" s="45" t="n">
        <v>41.5972724242349</v>
      </c>
      <c r="D97" s="45" t="n">
        <v>367.698339337244</v>
      </c>
      <c r="E97" s="45" t="n">
        <v>2140.16833381844</v>
      </c>
      <c r="F97" s="21" t="n">
        <f aca="false">14_Valuation!C75</f>
        <v>367.698339337244</v>
      </c>
    </row>
    <row r="98" customFormat="false" ht="15" hidden="false" customHeight="true" outlineLevel="0" collapsed="false">
      <c r="A98" s="12" t="s">
        <v>1843</v>
      </c>
      <c r="B98" s="4" t="s">
        <v>29</v>
      </c>
      <c r="C98" s="44" t="n">
        <v>505.481162556292</v>
      </c>
      <c r="D98" s="44" t="n">
        <v>388.302421038131</v>
      </c>
      <c r="E98" s="44" t="n">
        <v>1457.81319310141</v>
      </c>
      <c r="F98" s="23" t="n">
        <f aca="false">2_Market!C37</f>
        <v>388.302421038131</v>
      </c>
    </row>
    <row r="99" customFormat="false" ht="15" hidden="false" customHeight="true" outlineLevel="0" collapsed="false">
      <c r="A99" s="12" t="s">
        <v>1844</v>
      </c>
      <c r="B99" s="4" t="s">
        <v>46</v>
      </c>
      <c r="C99" s="17" t="n">
        <f aca="false">IFERROR(C89/C90,0)</f>
        <v>0</v>
      </c>
      <c r="D99" s="17" t="n">
        <f aca="false">IFERROR(D89/D90,0)</f>
        <v>0.0351888371346819</v>
      </c>
      <c r="E99" s="17" t="n">
        <f aca="false">IFERROR(E89/E90,0)</f>
        <v>0.0717254551448523</v>
      </c>
      <c r="F99" s="17" t="n">
        <f aca="false">IFERROR(F89/F90,0)</f>
        <v>0.035188837134682</v>
      </c>
    </row>
    <row r="100" customFormat="false" ht="15" hidden="false" customHeight="true" outlineLevel="0" collapsed="false">
      <c r="A100" s="12" t="s">
        <v>1845</v>
      </c>
      <c r="B100" s="4" t="s">
        <v>46</v>
      </c>
      <c r="C100" s="17" t="n">
        <f aca="false">IFERROR(C85/C90,0)</f>
        <v>0.688332405233956</v>
      </c>
      <c r="D100" s="17" t="n">
        <f aca="false">IFERROR(D85/D90,0)</f>
        <v>0.750036729930856</v>
      </c>
      <c r="E100" s="17" t="n">
        <f aca="false">IFERROR(E85/E90,0)</f>
        <v>0.77459291984873</v>
      </c>
      <c r="F100" s="17" t="n">
        <f aca="false">IFERROR(F85/F90,0)</f>
        <v>0.75003672993086</v>
      </c>
    </row>
    <row r="101" customFormat="false" ht="15" hidden="false" customHeight="true" outlineLevel="0" collapsed="false">
      <c r="A101" s="5" t="s">
        <v>1846</v>
      </c>
      <c r="D101" s="21" t="n">
        <f aca="false">14_Valuation!F195</f>
        <v>503.128421023422</v>
      </c>
      <c r="I101" s="4" t="s">
        <v>1847</v>
      </c>
    </row>
    <row r="103" customFormat="false" ht="15" hidden="false" customHeight="true" outlineLevel="0" collapsed="false">
      <c r="A103" s="10" t="s">
        <v>1848</v>
      </c>
      <c r="B103" s="11"/>
      <c r="C103" s="11"/>
      <c r="D103" s="11"/>
      <c r="E103" s="11"/>
      <c r="F103" s="11"/>
      <c r="G103" s="11"/>
      <c r="H103" s="11"/>
      <c r="I103" s="11"/>
    </row>
    <row r="104" customFormat="false" ht="15" hidden="false" customHeight="true" outlineLevel="0" collapsed="false">
      <c r="A104" s="5" t="s">
        <v>1849</v>
      </c>
      <c r="F104" s="75" t="b">
        <f aca="false">AND(ABS(INDEX(C81:E81,1,Inputs!$C$3)-F81)&lt;0.01,ABS(INDEX(C82:E82,1,Inputs!$C$3)-F82)&lt;0.5,ABS(INDEX(C90:E90,1,Inputs!$C$3)-F90)&lt;0.5)</f>
        <v>1</v>
      </c>
    </row>
    <row r="105" customFormat="false" ht="15" hidden="false" customHeight="true" outlineLevel="0" collapsed="false">
      <c r="A105" s="5" t="s">
        <v>1850</v>
      </c>
      <c r="F105" s="75" t="b">
        <f aca="false">AND(G43="Hits target",G60="Hits target",G77="Hits target")</f>
        <v>1</v>
      </c>
    </row>
    <row r="107" customFormat="false" ht="15" hidden="false" customHeight="true" outlineLevel="0" collapsed="false">
      <c r="A107" s="10" t="s">
        <v>1851</v>
      </c>
      <c r="B107" s="11"/>
      <c r="C107" s="11"/>
      <c r="D107" s="11"/>
      <c r="E107" s="11"/>
      <c r="F107" s="11"/>
      <c r="G107" s="11"/>
      <c r="H107" s="11"/>
      <c r="I107" s="11"/>
    </row>
    <row r="108" customFormat="false" ht="15" hidden="false" customHeight="true" outlineLevel="0" collapsed="false">
      <c r="A108" s="15" t="s">
        <v>1852</v>
      </c>
      <c r="B108" s="15" t="s">
        <v>42</v>
      </c>
      <c r="C108" s="15" t="s">
        <v>68</v>
      </c>
      <c r="D108" s="15" t="s">
        <v>69</v>
      </c>
      <c r="E108" s="15" t="s">
        <v>70</v>
      </c>
      <c r="F108" s="15" t="s">
        <v>1853</v>
      </c>
      <c r="G108" s="15"/>
      <c r="H108" s="15"/>
      <c r="I108" s="15" t="s">
        <v>1854</v>
      </c>
    </row>
    <row r="109" customFormat="false" ht="39.75" hidden="false" customHeight="true" outlineLevel="0" collapsed="false">
      <c r="A109" s="6" t="s">
        <v>1855</v>
      </c>
      <c r="B109" s="4" t="s">
        <v>1822</v>
      </c>
      <c r="C109" s="16" t="n">
        <f aca="false">G38</f>
        <v>74.0249405</v>
      </c>
      <c r="D109" s="16" t="n">
        <f aca="false">G55</f>
        <v>58.905392</v>
      </c>
      <c r="E109" s="16" t="n">
        <f aca="false">G72</f>
        <v>35.641662</v>
      </c>
      <c r="F109" s="101" t="str">
        <f aca="false">IF(MAX(C109:E109)&gt;3*7,"CONFLICT","FLAG")</f>
        <v>CONFLICT</v>
      </c>
      <c r="I109" s="30" t="s">
        <v>1856</v>
      </c>
    </row>
    <row r="110" customFormat="false" ht="39.75" hidden="false" customHeight="true" outlineLevel="0" collapsed="false">
      <c r="A110" s="6" t="s">
        <v>1857</v>
      </c>
      <c r="B110" s="4" t="s">
        <v>1858</v>
      </c>
      <c r="C110" s="19" t="n">
        <f aca="false">C109/D109</f>
        <v>1.25667511897722</v>
      </c>
      <c r="D110" s="84" t="n">
        <v>1</v>
      </c>
      <c r="E110" s="19" t="n">
        <f aca="false">E109/D109</f>
        <v>0.605066205144684</v>
      </c>
      <c r="F110" s="101" t="str">
        <f aca="false">IF(C110&gt;1,"CONFLICT","OK")</f>
        <v>CONFLICT</v>
      </c>
      <c r="I110" s="30" t="s">
        <v>1859</v>
      </c>
    </row>
    <row r="111" customFormat="false" ht="39.75" hidden="false" customHeight="true" outlineLevel="0" collapsed="false">
      <c r="A111" s="6" t="s">
        <v>1860</v>
      </c>
      <c r="B111" s="4" t="s">
        <v>725</v>
      </c>
      <c r="C111" s="20" t="n">
        <f aca="false">Inputs!G134</f>
        <v>25</v>
      </c>
      <c r="D111" s="20" t="n">
        <f aca="false">Inputs!G134</f>
        <v>25</v>
      </c>
      <c r="E111" s="20" t="n">
        <f aca="false">Inputs!G134</f>
        <v>25</v>
      </c>
      <c r="F111" s="101" t="str">
        <f aca="false">"FLAG"</f>
        <v>FLAG</v>
      </c>
      <c r="I111" s="30" t="s">
        <v>1861</v>
      </c>
    </row>
    <row r="112" customFormat="false" ht="39.75" hidden="false" customHeight="true" outlineLevel="0" collapsed="false">
      <c r="A112" s="6" t="s">
        <v>1862</v>
      </c>
      <c r="B112" s="4" t="s">
        <v>46</v>
      </c>
      <c r="C112" s="17" t="n">
        <f aca="false">H36/2_Market!$C$34</f>
        <v>1.04017950214227</v>
      </c>
      <c r="D112" s="17" t="n">
        <f aca="false">H53/2_Market!$C$34</f>
        <v>1.11407003573847</v>
      </c>
      <c r="E112" s="17" t="n">
        <f aca="false">H70/2_Market!$C$34</f>
        <v>1.14945909787771</v>
      </c>
      <c r="F112" s="101" t="str">
        <f aca="false">IF(MAX(C112:E112)&gt;1,"CONFLICT",IF(MAX(C112:E112)&gt;0.5,"FLAG","OK"))</f>
        <v>CONFLICT</v>
      </c>
      <c r="I112" s="30" t="s">
        <v>1863</v>
      </c>
    </row>
    <row r="113" customFormat="false" ht="39.75" hidden="false" customHeight="true" outlineLevel="0" collapsed="false">
      <c r="A113" s="6" t="s">
        <v>1864</v>
      </c>
      <c r="B113" s="4" t="s">
        <v>46</v>
      </c>
      <c r="C113" s="17" t="n">
        <f aca="false">2_Market!C66</f>
        <v>0.0624095524932035</v>
      </c>
      <c r="D113" s="17" t="n">
        <f aca="false">2_Market!D66</f>
        <v>0.124819104986407</v>
      </c>
      <c r="E113" s="17" t="n">
        <f aca="false">2_Market!E66</f>
        <v>0.187228657479611</v>
      </c>
      <c r="F113" s="101" t="str">
        <f aca="false">IF(MAX(C113:E113)&gt;0.2,"CONFLICT",IF(MAX(C113:E113)&gt;0.1,"FLAG","OK"))</f>
        <v>FLAG</v>
      </c>
      <c r="I113" s="30" t="s">
        <v>1865</v>
      </c>
    </row>
    <row r="114" customFormat="false" ht="39.75" hidden="false" customHeight="true" outlineLevel="0" collapsed="false">
      <c r="A114" s="6" t="s">
        <v>1866</v>
      </c>
      <c r="B114" s="4" t="s">
        <v>46</v>
      </c>
      <c r="C114" s="17" t="n">
        <f aca="false">C98/2_Market!$C$34</f>
        <v>0.157734265744412</v>
      </c>
      <c r="D114" s="17" t="n">
        <f aca="false">D98/2_Market!$C$34</f>
        <v>0.121168901645086</v>
      </c>
      <c r="E114" s="17" t="n">
        <f aca="false">E98/2_Market!$C$34</f>
        <v>0.454907345000736</v>
      </c>
      <c r="F114" s="101" t="str">
        <f aca="false">IF(MAX(C114:E114)&gt;0.25,"CONFLICT","OK")</f>
        <v>CONFLICT</v>
      </c>
      <c r="I114" s="30" t="s">
        <v>1867</v>
      </c>
    </row>
    <row r="115" customFormat="false" ht="39.75" hidden="false" customHeight="true" outlineLevel="0" collapsed="false">
      <c r="A115" s="6" t="s">
        <v>1868</v>
      </c>
      <c r="B115" s="4" t="s">
        <v>27</v>
      </c>
      <c r="D115" s="20" t="n">
        <f aca="false">9_Customer_ROI!D7/100</f>
        <v>400</v>
      </c>
      <c r="F115" s="101" t="str">
        <f aca="false">"CONFLICT"</f>
        <v>CONFLICT</v>
      </c>
      <c r="I115" s="30" t="s">
        <v>1869</v>
      </c>
    </row>
    <row r="116" customFormat="false" ht="39.75" hidden="false" customHeight="true" outlineLevel="0" collapsed="false">
      <c r="A116" s="6" t="s">
        <v>1870</v>
      </c>
      <c r="B116" s="4" t="s">
        <v>37</v>
      </c>
      <c r="C116" s="19" t="n">
        <f aca="false">3_Pricing!D51/3_Pricing!E43</f>
        <v>2.10526315789474</v>
      </c>
      <c r="D116" s="19" t="n">
        <f aca="false">3_Pricing!D52/3_Pricing!E43</f>
        <v>2.63157894736842</v>
      </c>
      <c r="E116" s="19" t="n">
        <f aca="false">3_Pricing!D53/3_Pricing!E43</f>
        <v>3.15789473684211</v>
      </c>
      <c r="F116" s="101" t="str">
        <f aca="false">IF(D116&gt;2,"FLAG","OK")</f>
        <v>FLAG</v>
      </c>
      <c r="I116" s="30" t="s">
        <v>1871</v>
      </c>
    </row>
    <row r="117" customFormat="false" ht="39.75" hidden="false" customHeight="true" outlineLevel="0" collapsed="false">
      <c r="A117" s="6" t="s">
        <v>1872</v>
      </c>
      <c r="B117" s="4" t="s">
        <v>37</v>
      </c>
      <c r="C117" s="19" t="n">
        <f aca="false">9_Customer_ROI!D37/3_Pricing!E51</f>
        <v>2.90625</v>
      </c>
      <c r="D117" s="19" t="n">
        <f aca="false">9_Customer_ROI!D37/3_Pricing!E52</f>
        <v>2.325</v>
      </c>
      <c r="E117" s="19" t="n">
        <f aca="false">9_Customer_ROI!D37/3_Pricing!E53</f>
        <v>1.9375</v>
      </c>
      <c r="F117" s="101" t="str">
        <f aca="false">IF(MIN(C117:E117)&lt;3,"FLAG","OK")</f>
        <v>FLAG</v>
      </c>
      <c r="I117" s="30" t="s">
        <v>1873</v>
      </c>
    </row>
    <row r="118" customFormat="false" ht="39.75" hidden="false" customHeight="true" outlineLevel="0" collapsed="false">
      <c r="A118" s="6" t="s">
        <v>1874</v>
      </c>
      <c r="B118" s="4" t="s">
        <v>37</v>
      </c>
      <c r="C118" s="19" t="n">
        <f aca="false">9_Customer_ROI!C37/3_Pricing!D51</f>
        <v>0.868055555555556</v>
      </c>
      <c r="F118" s="101" t="str">
        <f aca="false">IF(C118&lt;3,"FLAG","OK")</f>
        <v>FLAG</v>
      </c>
      <c r="I118" s="30" t="s">
        <v>1875</v>
      </c>
    </row>
    <row r="119" customFormat="false" ht="39.75" hidden="false" customHeight="true" outlineLevel="0" collapsed="false">
      <c r="A119" s="6" t="s">
        <v>1876</v>
      </c>
      <c r="B119" s="4" t="s">
        <v>44</v>
      </c>
      <c r="C119" s="16" t="n">
        <f aca="false">C95</f>
        <v>-1591.86255148631</v>
      </c>
      <c r="D119" s="16" t="n">
        <f aca="false">D95</f>
        <v>321.2553530481</v>
      </c>
      <c r="E119" s="16" t="n">
        <f aca="false">E95</f>
        <v>614.239528550584</v>
      </c>
      <c r="F119" s="101" t="str">
        <f aca="false">IF(MIN(C119:E119)&lt;0,"CONFLICT","OK")</f>
        <v>CONFLICT</v>
      </c>
      <c r="I119" s="30" t="s">
        <v>1877</v>
      </c>
    </row>
    <row r="120" customFormat="false" ht="39.75" hidden="false" customHeight="true" outlineLevel="0" collapsed="false">
      <c r="A120" s="6" t="s">
        <v>1878</v>
      </c>
      <c r="B120" s="4" t="s">
        <v>44</v>
      </c>
      <c r="D120" s="16" t="n">
        <f aca="false">11_Funding!C15</f>
        <v>971.575858872754</v>
      </c>
      <c r="F120" s="101" t="str">
        <f aca="false">IF(D120&gt;Inputs!E108,"FLAG","OK")</f>
        <v>FLAG</v>
      </c>
      <c r="I120" s="30" t="s">
        <v>1879</v>
      </c>
    </row>
    <row r="121" customFormat="false" ht="39.75" hidden="false" customHeight="true" outlineLevel="0" collapsed="false">
      <c r="A121" s="6" t="s">
        <v>1880</v>
      </c>
      <c r="B121" s="4" t="s">
        <v>46</v>
      </c>
      <c r="C121" s="17" t="n">
        <f aca="false">C99</f>
        <v>0</v>
      </c>
      <c r="D121" s="17" t="n">
        <f aca="false">D99</f>
        <v>0.0351888371346819</v>
      </c>
      <c r="E121" s="17" t="n">
        <f aca="false">E99</f>
        <v>0.0717254551448523</v>
      </c>
      <c r="F121" s="101" t="str">
        <f aca="false">IF(MAX(C121:E121)&gt;0.1,"FLAG","OK")</f>
        <v>OK</v>
      </c>
      <c r="I121" s="30" t="s">
        <v>1881</v>
      </c>
    </row>
    <row r="122" customFormat="false" ht="39.75" hidden="false" customHeight="true" outlineLevel="0" collapsed="false">
      <c r="A122" s="6" t="s">
        <v>1882</v>
      </c>
      <c r="B122" s="4" t="s">
        <v>335</v>
      </c>
      <c r="D122" s="20" t="n">
        <f aca="false">2_Market!D56</f>
        <v>63728</v>
      </c>
      <c r="F122" s="101" t="str">
        <f aca="false">"FLAG"</f>
        <v>FLAG</v>
      </c>
      <c r="I122" s="30" t="s">
        <v>1883</v>
      </c>
    </row>
    <row r="123" customFormat="false" ht="39.75" hidden="false" customHeight="true" outlineLevel="0" collapsed="false">
      <c r="A123" s="6" t="s">
        <v>1884</v>
      </c>
      <c r="B123" s="4"/>
      <c r="F123" s="101" t="str">
        <f aca="false">"INFO"</f>
        <v>INFO</v>
      </c>
      <c r="I123" s="30" t="s">
        <v>1885</v>
      </c>
    </row>
    <row r="124" customFormat="false" ht="39.75" hidden="false" customHeight="true" outlineLevel="0" collapsed="false">
      <c r="A124" s="102" t="s">
        <v>1886</v>
      </c>
      <c r="B124" s="103" t="s">
        <v>46</v>
      </c>
      <c r="C124" s="104" t="n">
        <f aca="false">IFERROR(C91/C90,0)</f>
        <v>-0.0324450511699458</v>
      </c>
      <c r="D124" s="104" t="n">
        <f aca="false">IFERROR(D91/D90,0)</f>
        <v>0.582131574135066</v>
      </c>
      <c r="E124" s="104" t="n">
        <f aca="false">IFERROR(E91/E90,0)</f>
        <v>0.762042368571174</v>
      </c>
      <c r="F124" s="105" t="str">
        <f aca="false">IF(MAX(C124:E124)&gt;0.4,"CONFLICT","OK")</f>
        <v>CONFLICT</v>
      </c>
      <c r="I124" s="103" t="s">
        <v>1887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K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55" activePane="bottomRight" state="frozen"/>
      <selection pane="topLeft" activeCell="A1" activeCellId="0" sqref="A1"/>
      <selection pane="topRight" activeCell="D1" activeCellId="0" sqref="D1"/>
      <selection pane="bottomLeft" activeCell="A155" activeCellId="0" sqref="A15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2"/>
    <col collapsed="false" customWidth="true" hidden="false" outlineLevel="0" max="3" min="3" style="1" width="9"/>
    <col collapsed="false" customWidth="true" hidden="false" outlineLevel="0" max="63" min="4" style="1" width="9.56"/>
  </cols>
  <sheetData>
    <row r="1" customFormat="false" ht="17.25" hidden="false" customHeight="true" outlineLevel="0" collapsed="false">
      <c r="A1" s="2" t="s">
        <v>1888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4" customFormat="false" ht="15" hidden="false" customHeight="true" outlineLevel="0" collapsed="false">
      <c r="A4" s="5" t="s">
        <v>1889</v>
      </c>
      <c r="D4" s="106" t="n">
        <v>1</v>
      </c>
      <c r="E4" s="106" t="n">
        <v>2</v>
      </c>
      <c r="F4" s="106" t="n">
        <v>3</v>
      </c>
      <c r="G4" s="106" t="n">
        <v>4</v>
      </c>
      <c r="H4" s="106" t="n">
        <v>5</v>
      </c>
      <c r="I4" s="106" t="n">
        <v>6</v>
      </c>
      <c r="J4" s="106" t="n">
        <v>7</v>
      </c>
      <c r="K4" s="106" t="n">
        <v>8</v>
      </c>
      <c r="L4" s="106" t="n">
        <v>9</v>
      </c>
      <c r="M4" s="106" t="n">
        <v>10</v>
      </c>
      <c r="N4" s="106" t="n">
        <v>11</v>
      </c>
      <c r="O4" s="106" t="n">
        <v>12</v>
      </c>
      <c r="P4" s="106" t="n">
        <v>13</v>
      </c>
      <c r="Q4" s="106" t="n">
        <v>14</v>
      </c>
      <c r="R4" s="106" t="n">
        <v>15</v>
      </c>
      <c r="S4" s="106" t="n">
        <v>16</v>
      </c>
      <c r="T4" s="106" t="n">
        <v>17</v>
      </c>
      <c r="U4" s="106" t="n">
        <v>18</v>
      </c>
      <c r="V4" s="106" t="n">
        <v>19</v>
      </c>
      <c r="W4" s="106" t="n">
        <v>20</v>
      </c>
      <c r="X4" s="106" t="n">
        <v>21</v>
      </c>
      <c r="Y4" s="106" t="n">
        <v>22</v>
      </c>
      <c r="Z4" s="106" t="n">
        <v>23</v>
      </c>
      <c r="AA4" s="106" t="n">
        <v>24</v>
      </c>
      <c r="AB4" s="106" t="n">
        <v>25</v>
      </c>
      <c r="AC4" s="106" t="n">
        <v>26</v>
      </c>
      <c r="AD4" s="106" t="n">
        <v>27</v>
      </c>
      <c r="AE4" s="106" t="n">
        <v>28</v>
      </c>
      <c r="AF4" s="106" t="n">
        <v>29</v>
      </c>
      <c r="AG4" s="106" t="n">
        <v>30</v>
      </c>
      <c r="AH4" s="106" t="n">
        <v>31</v>
      </c>
      <c r="AI4" s="106" t="n">
        <v>32</v>
      </c>
      <c r="AJ4" s="106" t="n">
        <v>33</v>
      </c>
      <c r="AK4" s="106" t="n">
        <v>34</v>
      </c>
      <c r="AL4" s="106" t="n">
        <v>35</v>
      </c>
      <c r="AM4" s="106" t="n">
        <v>36</v>
      </c>
      <c r="AN4" s="106" t="n">
        <v>37</v>
      </c>
      <c r="AO4" s="106" t="n">
        <v>38</v>
      </c>
      <c r="AP4" s="106" t="n">
        <v>39</v>
      </c>
      <c r="AQ4" s="106" t="n">
        <v>40</v>
      </c>
      <c r="AR4" s="106" t="n">
        <v>41</v>
      </c>
      <c r="AS4" s="106" t="n">
        <v>42</v>
      </c>
      <c r="AT4" s="106" t="n">
        <v>43</v>
      </c>
      <c r="AU4" s="106" t="n">
        <v>44</v>
      </c>
      <c r="AV4" s="106" t="n">
        <v>45</v>
      </c>
      <c r="AW4" s="106" t="n">
        <v>46</v>
      </c>
      <c r="AX4" s="106" t="n">
        <v>47</v>
      </c>
      <c r="AY4" s="106" t="n">
        <v>48</v>
      </c>
      <c r="AZ4" s="106" t="n">
        <v>49</v>
      </c>
      <c r="BA4" s="106" t="n">
        <v>50</v>
      </c>
      <c r="BB4" s="106" t="n">
        <v>51</v>
      </c>
      <c r="BC4" s="106" t="n">
        <v>52</v>
      </c>
      <c r="BD4" s="106" t="n">
        <v>53</v>
      </c>
      <c r="BE4" s="106" t="n">
        <v>54</v>
      </c>
      <c r="BF4" s="106" t="n">
        <v>55</v>
      </c>
      <c r="BG4" s="106" t="n">
        <v>56</v>
      </c>
      <c r="BH4" s="106" t="n">
        <v>57</v>
      </c>
      <c r="BI4" s="106" t="n">
        <v>58</v>
      </c>
      <c r="BJ4" s="106" t="n">
        <v>59</v>
      </c>
      <c r="BK4" s="106" t="n">
        <v>60</v>
      </c>
    </row>
    <row r="5" customFormat="false" ht="15" hidden="false" customHeight="true" outlineLevel="0" collapsed="false">
      <c r="A5" s="10" t="s">
        <v>1890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15" hidden="false" customHeight="true" outlineLevel="0" collapsed="false">
      <c r="A6" s="12" t="s">
        <v>1891</v>
      </c>
      <c r="B6" s="4" t="s">
        <v>29</v>
      </c>
      <c r="D6" s="44" t="n">
        <v>1</v>
      </c>
      <c r="E6" s="44" t="n">
        <v>2</v>
      </c>
      <c r="F6" s="44" t="n">
        <v>3</v>
      </c>
      <c r="G6" s="44" t="n">
        <v>4</v>
      </c>
      <c r="H6" s="44" t="n">
        <v>5</v>
      </c>
      <c r="I6" s="44" t="n">
        <v>6</v>
      </c>
      <c r="J6" s="44" t="n">
        <v>7</v>
      </c>
      <c r="K6" s="44" t="n">
        <v>8</v>
      </c>
      <c r="L6" s="44" t="n">
        <v>9</v>
      </c>
      <c r="M6" s="44" t="n">
        <v>10</v>
      </c>
      <c r="N6" s="44" t="n">
        <v>11</v>
      </c>
      <c r="O6" s="44" t="n">
        <v>12</v>
      </c>
      <c r="P6" s="44" t="n">
        <v>13</v>
      </c>
      <c r="Q6" s="44" t="n">
        <v>14</v>
      </c>
      <c r="R6" s="44" t="n">
        <v>15</v>
      </c>
      <c r="S6" s="44" t="n">
        <v>16</v>
      </c>
      <c r="T6" s="44" t="n">
        <v>17</v>
      </c>
      <c r="U6" s="44" t="n">
        <v>18</v>
      </c>
      <c r="V6" s="44" t="n">
        <v>19</v>
      </c>
      <c r="W6" s="44" t="n">
        <v>20</v>
      </c>
      <c r="X6" s="44" t="n">
        <v>21</v>
      </c>
      <c r="Y6" s="44" t="n">
        <v>22</v>
      </c>
      <c r="Z6" s="44" t="n">
        <v>23</v>
      </c>
      <c r="AA6" s="44" t="n">
        <v>24</v>
      </c>
      <c r="AB6" s="44" t="n">
        <v>25</v>
      </c>
      <c r="AC6" s="44" t="n">
        <v>26</v>
      </c>
      <c r="AD6" s="44" t="n">
        <v>27</v>
      </c>
      <c r="AE6" s="44" t="n">
        <v>28</v>
      </c>
      <c r="AF6" s="44" t="n">
        <v>29</v>
      </c>
      <c r="AG6" s="44" t="n">
        <v>30</v>
      </c>
      <c r="AH6" s="44" t="n">
        <v>31</v>
      </c>
      <c r="AI6" s="44" t="n">
        <v>32</v>
      </c>
      <c r="AJ6" s="44" t="n">
        <v>33</v>
      </c>
      <c r="AK6" s="44" t="n">
        <v>34</v>
      </c>
      <c r="AL6" s="44" t="n">
        <v>35</v>
      </c>
      <c r="AM6" s="44" t="n">
        <v>36</v>
      </c>
      <c r="AN6" s="44" t="n">
        <v>37</v>
      </c>
      <c r="AO6" s="44" t="n">
        <v>38</v>
      </c>
      <c r="AP6" s="44" t="n">
        <v>39</v>
      </c>
      <c r="AQ6" s="44" t="n">
        <v>40</v>
      </c>
      <c r="AR6" s="44" t="n">
        <v>41</v>
      </c>
      <c r="AS6" s="44" t="n">
        <v>42</v>
      </c>
      <c r="AT6" s="44" t="n">
        <v>43</v>
      </c>
      <c r="AU6" s="44" t="n">
        <v>44</v>
      </c>
      <c r="AV6" s="44" t="n">
        <v>45</v>
      </c>
      <c r="AW6" s="44" t="n">
        <v>46</v>
      </c>
      <c r="AX6" s="44" t="n">
        <v>47</v>
      </c>
      <c r="AY6" s="44" t="n">
        <v>48</v>
      </c>
      <c r="AZ6" s="44" t="n">
        <v>49</v>
      </c>
      <c r="BA6" s="44" t="n">
        <v>50</v>
      </c>
      <c r="BB6" s="44" t="n">
        <v>51</v>
      </c>
      <c r="BC6" s="44" t="n">
        <v>52</v>
      </c>
      <c r="BD6" s="44" t="n">
        <v>53</v>
      </c>
      <c r="BE6" s="44" t="n">
        <v>54</v>
      </c>
      <c r="BF6" s="44" t="n">
        <v>55</v>
      </c>
      <c r="BG6" s="44" t="n">
        <v>56</v>
      </c>
      <c r="BH6" s="44" t="n">
        <v>57</v>
      </c>
      <c r="BI6" s="44" t="n">
        <v>58</v>
      </c>
      <c r="BJ6" s="44" t="n">
        <v>59</v>
      </c>
      <c r="BK6" s="44" t="n">
        <v>60</v>
      </c>
    </row>
    <row r="7" customFormat="false" ht="15" hidden="false" customHeight="true" outlineLevel="0" collapsed="false">
      <c r="A7" s="12" t="s">
        <v>1892</v>
      </c>
      <c r="B7" s="4" t="s">
        <v>29</v>
      </c>
      <c r="D7" s="20" t="n">
        <f aca="false">ROUNDUP(D$6/12,0)</f>
        <v>1</v>
      </c>
      <c r="E7" s="20" t="n">
        <f aca="false">ROUNDUP(E$6/12,0)</f>
        <v>1</v>
      </c>
      <c r="F7" s="20" t="n">
        <f aca="false">ROUNDUP(F$6/12,0)</f>
        <v>1</v>
      </c>
      <c r="G7" s="20" t="n">
        <f aca="false">ROUNDUP(G$6/12,0)</f>
        <v>1</v>
      </c>
      <c r="H7" s="20" t="n">
        <f aca="false">ROUNDUP(H$6/12,0)</f>
        <v>1</v>
      </c>
      <c r="I7" s="20" t="n">
        <f aca="false">ROUNDUP(I$6/12,0)</f>
        <v>1</v>
      </c>
      <c r="J7" s="20" t="n">
        <f aca="false">ROUNDUP(J$6/12,0)</f>
        <v>1</v>
      </c>
      <c r="K7" s="20" t="n">
        <f aca="false">ROUNDUP(K$6/12,0)</f>
        <v>1</v>
      </c>
      <c r="L7" s="20" t="n">
        <f aca="false">ROUNDUP(L$6/12,0)</f>
        <v>1</v>
      </c>
      <c r="M7" s="20" t="n">
        <f aca="false">ROUNDUP(M$6/12,0)</f>
        <v>1</v>
      </c>
      <c r="N7" s="20" t="n">
        <f aca="false">ROUNDUP(N$6/12,0)</f>
        <v>1</v>
      </c>
      <c r="O7" s="20" t="n">
        <f aca="false">ROUNDUP(O$6/12,0)</f>
        <v>1</v>
      </c>
      <c r="P7" s="20" t="n">
        <f aca="false">ROUNDUP(P$6/12,0)</f>
        <v>2</v>
      </c>
      <c r="Q7" s="20" t="n">
        <f aca="false">ROUNDUP(Q$6/12,0)</f>
        <v>2</v>
      </c>
      <c r="R7" s="20" t="n">
        <f aca="false">ROUNDUP(R$6/12,0)</f>
        <v>2</v>
      </c>
      <c r="S7" s="20" t="n">
        <f aca="false">ROUNDUP(S$6/12,0)</f>
        <v>2</v>
      </c>
      <c r="T7" s="20" t="n">
        <f aca="false">ROUNDUP(T$6/12,0)</f>
        <v>2</v>
      </c>
      <c r="U7" s="20" t="n">
        <f aca="false">ROUNDUP(U$6/12,0)</f>
        <v>2</v>
      </c>
      <c r="V7" s="20" t="n">
        <f aca="false">ROUNDUP(V$6/12,0)</f>
        <v>2</v>
      </c>
      <c r="W7" s="20" t="n">
        <f aca="false">ROUNDUP(W$6/12,0)</f>
        <v>2</v>
      </c>
      <c r="X7" s="20" t="n">
        <f aca="false">ROUNDUP(X$6/12,0)</f>
        <v>2</v>
      </c>
      <c r="Y7" s="20" t="n">
        <f aca="false">ROUNDUP(Y$6/12,0)</f>
        <v>2</v>
      </c>
      <c r="Z7" s="20" t="n">
        <f aca="false">ROUNDUP(Z$6/12,0)</f>
        <v>2</v>
      </c>
      <c r="AA7" s="20" t="n">
        <f aca="false">ROUNDUP(AA$6/12,0)</f>
        <v>2</v>
      </c>
      <c r="AB7" s="20" t="n">
        <f aca="false">ROUNDUP(AB$6/12,0)</f>
        <v>3</v>
      </c>
      <c r="AC7" s="20" t="n">
        <f aca="false">ROUNDUP(AC$6/12,0)</f>
        <v>3</v>
      </c>
      <c r="AD7" s="20" t="n">
        <f aca="false">ROUNDUP(AD$6/12,0)</f>
        <v>3</v>
      </c>
      <c r="AE7" s="20" t="n">
        <f aca="false">ROUNDUP(AE$6/12,0)</f>
        <v>3</v>
      </c>
      <c r="AF7" s="20" t="n">
        <f aca="false">ROUNDUP(AF$6/12,0)</f>
        <v>3</v>
      </c>
      <c r="AG7" s="20" t="n">
        <f aca="false">ROUNDUP(AG$6/12,0)</f>
        <v>3</v>
      </c>
      <c r="AH7" s="20" t="n">
        <f aca="false">ROUNDUP(AH$6/12,0)</f>
        <v>3</v>
      </c>
      <c r="AI7" s="20" t="n">
        <f aca="false">ROUNDUP(AI$6/12,0)</f>
        <v>3</v>
      </c>
      <c r="AJ7" s="20" t="n">
        <f aca="false">ROUNDUP(AJ$6/12,0)</f>
        <v>3</v>
      </c>
      <c r="AK7" s="20" t="n">
        <f aca="false">ROUNDUP(AK$6/12,0)</f>
        <v>3</v>
      </c>
      <c r="AL7" s="20" t="n">
        <f aca="false">ROUNDUP(AL$6/12,0)</f>
        <v>3</v>
      </c>
      <c r="AM7" s="20" t="n">
        <f aca="false">ROUNDUP(AM$6/12,0)</f>
        <v>3</v>
      </c>
      <c r="AN7" s="20" t="n">
        <f aca="false">ROUNDUP(AN$6/12,0)</f>
        <v>4</v>
      </c>
      <c r="AO7" s="20" t="n">
        <f aca="false">ROUNDUP(AO$6/12,0)</f>
        <v>4</v>
      </c>
      <c r="AP7" s="20" t="n">
        <f aca="false">ROUNDUP(AP$6/12,0)</f>
        <v>4</v>
      </c>
      <c r="AQ7" s="20" t="n">
        <f aca="false">ROUNDUP(AQ$6/12,0)</f>
        <v>4</v>
      </c>
      <c r="AR7" s="20" t="n">
        <f aca="false">ROUNDUP(AR$6/12,0)</f>
        <v>4</v>
      </c>
      <c r="AS7" s="20" t="n">
        <f aca="false">ROUNDUP(AS$6/12,0)</f>
        <v>4</v>
      </c>
      <c r="AT7" s="20" t="n">
        <f aca="false">ROUNDUP(AT$6/12,0)</f>
        <v>4</v>
      </c>
      <c r="AU7" s="20" t="n">
        <f aca="false">ROUNDUP(AU$6/12,0)</f>
        <v>4</v>
      </c>
      <c r="AV7" s="20" t="n">
        <f aca="false">ROUNDUP(AV$6/12,0)</f>
        <v>4</v>
      </c>
      <c r="AW7" s="20" t="n">
        <f aca="false">ROUNDUP(AW$6/12,0)</f>
        <v>4</v>
      </c>
      <c r="AX7" s="20" t="n">
        <f aca="false">ROUNDUP(AX$6/12,0)</f>
        <v>4</v>
      </c>
      <c r="AY7" s="20" t="n">
        <f aca="false">ROUNDUP(AY$6/12,0)</f>
        <v>4</v>
      </c>
      <c r="AZ7" s="20" t="n">
        <f aca="false">ROUNDUP(AZ$6/12,0)</f>
        <v>5</v>
      </c>
      <c r="BA7" s="20" t="n">
        <f aca="false">ROUNDUP(BA$6/12,0)</f>
        <v>5</v>
      </c>
      <c r="BB7" s="20" t="n">
        <f aca="false">ROUNDUP(BB$6/12,0)</f>
        <v>5</v>
      </c>
      <c r="BC7" s="20" t="n">
        <f aca="false">ROUNDUP(BC$6/12,0)</f>
        <v>5</v>
      </c>
      <c r="BD7" s="20" t="n">
        <f aca="false">ROUNDUP(BD$6/12,0)</f>
        <v>5</v>
      </c>
      <c r="BE7" s="20" t="n">
        <f aca="false">ROUNDUP(BE$6/12,0)</f>
        <v>5</v>
      </c>
      <c r="BF7" s="20" t="n">
        <f aca="false">ROUNDUP(BF$6/12,0)</f>
        <v>5</v>
      </c>
      <c r="BG7" s="20" t="n">
        <f aca="false">ROUNDUP(BG$6/12,0)</f>
        <v>5</v>
      </c>
      <c r="BH7" s="20" t="n">
        <f aca="false">ROUNDUP(BH$6/12,0)</f>
        <v>5</v>
      </c>
      <c r="BI7" s="20" t="n">
        <f aca="false">ROUNDUP(BI$6/12,0)</f>
        <v>5</v>
      </c>
      <c r="BJ7" s="20" t="n">
        <f aca="false">ROUNDUP(BJ$6/12,0)</f>
        <v>5</v>
      </c>
      <c r="BK7" s="20" t="n">
        <f aca="false">ROUNDUP(BK$6/12,0)</f>
        <v>5</v>
      </c>
    </row>
    <row r="8" customFormat="false" ht="15" hidden="false" customHeight="true" outlineLevel="0" collapsed="false">
      <c r="A8" s="12" t="s">
        <v>1893</v>
      </c>
      <c r="B8" s="4" t="s">
        <v>29</v>
      </c>
      <c r="D8" s="20" t="n">
        <f aca="false">D6-(D7-1)*12</f>
        <v>1</v>
      </c>
      <c r="E8" s="20" t="n">
        <f aca="false">E6-(E7-1)*12</f>
        <v>2</v>
      </c>
      <c r="F8" s="20" t="n">
        <f aca="false">F6-(F7-1)*12</f>
        <v>3</v>
      </c>
      <c r="G8" s="20" t="n">
        <f aca="false">G6-(G7-1)*12</f>
        <v>4</v>
      </c>
      <c r="H8" s="20" t="n">
        <f aca="false">H6-(H7-1)*12</f>
        <v>5</v>
      </c>
      <c r="I8" s="20" t="n">
        <f aca="false">I6-(I7-1)*12</f>
        <v>6</v>
      </c>
      <c r="J8" s="20" t="n">
        <f aca="false">J6-(J7-1)*12</f>
        <v>7</v>
      </c>
      <c r="K8" s="20" t="n">
        <f aca="false">K6-(K7-1)*12</f>
        <v>8</v>
      </c>
      <c r="L8" s="20" t="n">
        <f aca="false">L6-(L7-1)*12</f>
        <v>9</v>
      </c>
      <c r="M8" s="20" t="n">
        <f aca="false">M6-(M7-1)*12</f>
        <v>10</v>
      </c>
      <c r="N8" s="20" t="n">
        <f aca="false">N6-(N7-1)*12</f>
        <v>11</v>
      </c>
      <c r="O8" s="20" t="n">
        <f aca="false">O6-(O7-1)*12</f>
        <v>12</v>
      </c>
      <c r="P8" s="20" t="n">
        <f aca="false">P6-(P7-1)*12</f>
        <v>1</v>
      </c>
      <c r="Q8" s="20" t="n">
        <f aca="false">Q6-(Q7-1)*12</f>
        <v>2</v>
      </c>
      <c r="R8" s="20" t="n">
        <f aca="false">R6-(R7-1)*12</f>
        <v>3</v>
      </c>
      <c r="S8" s="20" t="n">
        <f aca="false">S6-(S7-1)*12</f>
        <v>4</v>
      </c>
      <c r="T8" s="20" t="n">
        <f aca="false">T6-(T7-1)*12</f>
        <v>5</v>
      </c>
      <c r="U8" s="20" t="n">
        <f aca="false">U6-(U7-1)*12</f>
        <v>6</v>
      </c>
      <c r="V8" s="20" t="n">
        <f aca="false">V6-(V7-1)*12</f>
        <v>7</v>
      </c>
      <c r="W8" s="20" t="n">
        <f aca="false">W6-(W7-1)*12</f>
        <v>8</v>
      </c>
      <c r="X8" s="20" t="n">
        <f aca="false">X6-(X7-1)*12</f>
        <v>9</v>
      </c>
      <c r="Y8" s="20" t="n">
        <f aca="false">Y6-(Y7-1)*12</f>
        <v>10</v>
      </c>
      <c r="Z8" s="20" t="n">
        <f aca="false">Z6-(Z7-1)*12</f>
        <v>11</v>
      </c>
      <c r="AA8" s="20" t="n">
        <f aca="false">AA6-(AA7-1)*12</f>
        <v>12</v>
      </c>
      <c r="AB8" s="20" t="n">
        <f aca="false">AB6-(AB7-1)*12</f>
        <v>1</v>
      </c>
      <c r="AC8" s="20" t="n">
        <f aca="false">AC6-(AC7-1)*12</f>
        <v>2</v>
      </c>
      <c r="AD8" s="20" t="n">
        <f aca="false">AD6-(AD7-1)*12</f>
        <v>3</v>
      </c>
      <c r="AE8" s="20" t="n">
        <f aca="false">AE6-(AE7-1)*12</f>
        <v>4</v>
      </c>
      <c r="AF8" s="20" t="n">
        <f aca="false">AF6-(AF7-1)*12</f>
        <v>5</v>
      </c>
      <c r="AG8" s="20" t="n">
        <f aca="false">AG6-(AG7-1)*12</f>
        <v>6</v>
      </c>
      <c r="AH8" s="20" t="n">
        <f aca="false">AH6-(AH7-1)*12</f>
        <v>7</v>
      </c>
      <c r="AI8" s="20" t="n">
        <f aca="false">AI6-(AI7-1)*12</f>
        <v>8</v>
      </c>
      <c r="AJ8" s="20" t="n">
        <f aca="false">AJ6-(AJ7-1)*12</f>
        <v>9</v>
      </c>
      <c r="AK8" s="20" t="n">
        <f aca="false">AK6-(AK7-1)*12</f>
        <v>10</v>
      </c>
      <c r="AL8" s="20" t="n">
        <f aca="false">AL6-(AL7-1)*12</f>
        <v>11</v>
      </c>
      <c r="AM8" s="20" t="n">
        <f aca="false">AM6-(AM7-1)*12</f>
        <v>12</v>
      </c>
      <c r="AN8" s="20" t="n">
        <f aca="false">AN6-(AN7-1)*12</f>
        <v>1</v>
      </c>
      <c r="AO8" s="20" t="n">
        <f aca="false">AO6-(AO7-1)*12</f>
        <v>2</v>
      </c>
      <c r="AP8" s="20" t="n">
        <f aca="false">AP6-(AP7-1)*12</f>
        <v>3</v>
      </c>
      <c r="AQ8" s="20" t="n">
        <f aca="false">AQ6-(AQ7-1)*12</f>
        <v>4</v>
      </c>
      <c r="AR8" s="20" t="n">
        <f aca="false">AR6-(AR7-1)*12</f>
        <v>5</v>
      </c>
      <c r="AS8" s="20" t="n">
        <f aca="false">AS6-(AS7-1)*12</f>
        <v>6</v>
      </c>
      <c r="AT8" s="20" t="n">
        <f aca="false">AT6-(AT7-1)*12</f>
        <v>7</v>
      </c>
      <c r="AU8" s="20" t="n">
        <f aca="false">AU6-(AU7-1)*12</f>
        <v>8</v>
      </c>
      <c r="AV8" s="20" t="n">
        <f aca="false">AV6-(AV7-1)*12</f>
        <v>9</v>
      </c>
      <c r="AW8" s="20" t="n">
        <f aca="false">AW6-(AW7-1)*12</f>
        <v>10</v>
      </c>
      <c r="AX8" s="20" t="n">
        <f aca="false">AX6-(AX7-1)*12</f>
        <v>11</v>
      </c>
      <c r="AY8" s="20" t="n">
        <f aca="false">AY6-(AY7-1)*12</f>
        <v>12</v>
      </c>
      <c r="AZ8" s="20" t="n">
        <f aca="false">AZ6-(AZ7-1)*12</f>
        <v>1</v>
      </c>
      <c r="BA8" s="20" t="n">
        <f aca="false">BA6-(BA7-1)*12</f>
        <v>2</v>
      </c>
      <c r="BB8" s="20" t="n">
        <f aca="false">BB6-(BB7-1)*12</f>
        <v>3</v>
      </c>
      <c r="BC8" s="20" t="n">
        <f aca="false">BC6-(BC7-1)*12</f>
        <v>4</v>
      </c>
      <c r="BD8" s="20" t="n">
        <f aca="false">BD6-(BD7-1)*12</f>
        <v>5</v>
      </c>
      <c r="BE8" s="20" t="n">
        <f aca="false">BE6-(BE7-1)*12</f>
        <v>6</v>
      </c>
      <c r="BF8" s="20" t="n">
        <f aca="false">BF6-(BF7-1)*12</f>
        <v>7</v>
      </c>
      <c r="BG8" s="20" t="n">
        <f aca="false">BG6-(BG7-1)*12</f>
        <v>8</v>
      </c>
      <c r="BH8" s="20" t="n">
        <f aca="false">BH6-(BH7-1)*12</f>
        <v>9</v>
      </c>
      <c r="BI8" s="20" t="n">
        <f aca="false">BI6-(BI7-1)*12</f>
        <v>10</v>
      </c>
      <c r="BJ8" s="20" t="n">
        <f aca="false">BJ6-(BJ7-1)*12</f>
        <v>11</v>
      </c>
      <c r="BK8" s="20" t="n">
        <f aca="false">BK6-(BK7-1)*12</f>
        <v>12</v>
      </c>
    </row>
    <row r="9" customFormat="false" ht="15" hidden="false" customHeight="true" outlineLevel="0" collapsed="false">
      <c r="A9" s="5" t="s">
        <v>1894</v>
      </c>
      <c r="B9" s="4" t="s">
        <v>82</v>
      </c>
      <c r="D9" s="107" t="n">
        <f aca="false">EDATE(Inputs!$C$8,D6-1)</f>
        <v>46113</v>
      </c>
      <c r="E9" s="107" t="n">
        <f aca="false">EDATE(Inputs!$C$8,E6-1)</f>
        <v>46143</v>
      </c>
      <c r="F9" s="107" t="n">
        <f aca="false">EDATE(Inputs!$C$8,F6-1)</f>
        <v>46174</v>
      </c>
      <c r="G9" s="107" t="n">
        <f aca="false">EDATE(Inputs!$C$8,G6-1)</f>
        <v>46204</v>
      </c>
      <c r="H9" s="107" t="n">
        <f aca="false">EDATE(Inputs!$C$8,H6-1)</f>
        <v>46235</v>
      </c>
      <c r="I9" s="107" t="n">
        <f aca="false">EDATE(Inputs!$C$8,I6-1)</f>
        <v>46266</v>
      </c>
      <c r="J9" s="107" t="n">
        <f aca="false">EDATE(Inputs!$C$8,J6-1)</f>
        <v>46296</v>
      </c>
      <c r="K9" s="107" t="n">
        <f aca="false">EDATE(Inputs!$C$8,K6-1)</f>
        <v>46327</v>
      </c>
      <c r="L9" s="107" t="n">
        <f aca="false">EDATE(Inputs!$C$8,L6-1)</f>
        <v>46357</v>
      </c>
      <c r="M9" s="107" t="n">
        <f aca="false">EDATE(Inputs!$C$8,M6-1)</f>
        <v>46388</v>
      </c>
      <c r="N9" s="107" t="n">
        <f aca="false">EDATE(Inputs!$C$8,N6-1)</f>
        <v>46419</v>
      </c>
      <c r="O9" s="107" t="n">
        <f aca="false">EDATE(Inputs!$C$8,O6-1)</f>
        <v>46447</v>
      </c>
      <c r="P9" s="107" t="n">
        <f aca="false">EDATE(Inputs!$C$8,P6-1)</f>
        <v>46478</v>
      </c>
      <c r="Q9" s="107" t="n">
        <f aca="false">EDATE(Inputs!$C$8,Q6-1)</f>
        <v>46508</v>
      </c>
      <c r="R9" s="107" t="n">
        <f aca="false">EDATE(Inputs!$C$8,R6-1)</f>
        <v>46539</v>
      </c>
      <c r="S9" s="107" t="n">
        <f aca="false">EDATE(Inputs!$C$8,S6-1)</f>
        <v>46569</v>
      </c>
      <c r="T9" s="107" t="n">
        <f aca="false">EDATE(Inputs!$C$8,T6-1)</f>
        <v>46600</v>
      </c>
      <c r="U9" s="107" t="n">
        <f aca="false">EDATE(Inputs!$C$8,U6-1)</f>
        <v>46631</v>
      </c>
      <c r="V9" s="107" t="n">
        <f aca="false">EDATE(Inputs!$C$8,V6-1)</f>
        <v>46661</v>
      </c>
      <c r="W9" s="107" t="n">
        <f aca="false">EDATE(Inputs!$C$8,W6-1)</f>
        <v>46692</v>
      </c>
      <c r="X9" s="107" t="n">
        <f aca="false">EDATE(Inputs!$C$8,X6-1)</f>
        <v>46722</v>
      </c>
      <c r="Y9" s="107" t="n">
        <f aca="false">EDATE(Inputs!$C$8,Y6-1)</f>
        <v>46753</v>
      </c>
      <c r="Z9" s="107" t="n">
        <f aca="false">EDATE(Inputs!$C$8,Z6-1)</f>
        <v>46784</v>
      </c>
      <c r="AA9" s="107" t="n">
        <f aca="false">EDATE(Inputs!$C$8,AA6-1)</f>
        <v>46813</v>
      </c>
      <c r="AB9" s="107" t="n">
        <f aca="false">EDATE(Inputs!$C$8,AB6-1)</f>
        <v>46844</v>
      </c>
      <c r="AC9" s="107" t="n">
        <f aca="false">EDATE(Inputs!$C$8,AC6-1)</f>
        <v>46874</v>
      </c>
      <c r="AD9" s="107" t="n">
        <f aca="false">EDATE(Inputs!$C$8,AD6-1)</f>
        <v>46905</v>
      </c>
      <c r="AE9" s="107" t="n">
        <f aca="false">EDATE(Inputs!$C$8,AE6-1)</f>
        <v>46935</v>
      </c>
      <c r="AF9" s="107" t="n">
        <f aca="false">EDATE(Inputs!$C$8,AF6-1)</f>
        <v>46966</v>
      </c>
      <c r="AG9" s="107" t="n">
        <f aca="false">EDATE(Inputs!$C$8,AG6-1)</f>
        <v>46997</v>
      </c>
      <c r="AH9" s="107" t="n">
        <f aca="false">EDATE(Inputs!$C$8,AH6-1)</f>
        <v>47027</v>
      </c>
      <c r="AI9" s="107" t="n">
        <f aca="false">EDATE(Inputs!$C$8,AI6-1)</f>
        <v>47058</v>
      </c>
      <c r="AJ9" s="107" t="n">
        <f aca="false">EDATE(Inputs!$C$8,AJ6-1)</f>
        <v>47088</v>
      </c>
      <c r="AK9" s="107" t="n">
        <f aca="false">EDATE(Inputs!$C$8,AK6-1)</f>
        <v>47119</v>
      </c>
      <c r="AL9" s="107" t="n">
        <f aca="false">EDATE(Inputs!$C$8,AL6-1)</f>
        <v>47150</v>
      </c>
      <c r="AM9" s="107" t="n">
        <f aca="false">EDATE(Inputs!$C$8,AM6-1)</f>
        <v>47178</v>
      </c>
      <c r="AN9" s="107" t="n">
        <f aca="false">EDATE(Inputs!$C$8,AN6-1)</f>
        <v>47209</v>
      </c>
      <c r="AO9" s="107" t="n">
        <f aca="false">EDATE(Inputs!$C$8,AO6-1)</f>
        <v>47239</v>
      </c>
      <c r="AP9" s="107" t="n">
        <f aca="false">EDATE(Inputs!$C$8,AP6-1)</f>
        <v>47270</v>
      </c>
      <c r="AQ9" s="107" t="n">
        <f aca="false">EDATE(Inputs!$C$8,AQ6-1)</f>
        <v>47300</v>
      </c>
      <c r="AR9" s="107" t="n">
        <f aca="false">EDATE(Inputs!$C$8,AR6-1)</f>
        <v>47331</v>
      </c>
      <c r="AS9" s="107" t="n">
        <f aca="false">EDATE(Inputs!$C$8,AS6-1)</f>
        <v>47362</v>
      </c>
      <c r="AT9" s="107" t="n">
        <f aca="false">EDATE(Inputs!$C$8,AT6-1)</f>
        <v>47392</v>
      </c>
      <c r="AU9" s="107" t="n">
        <f aca="false">EDATE(Inputs!$C$8,AU6-1)</f>
        <v>47423</v>
      </c>
      <c r="AV9" s="107" t="n">
        <f aca="false">EDATE(Inputs!$C$8,AV6-1)</f>
        <v>47453</v>
      </c>
      <c r="AW9" s="107" t="n">
        <f aca="false">EDATE(Inputs!$C$8,AW6-1)</f>
        <v>47484</v>
      </c>
      <c r="AX9" s="107" t="n">
        <f aca="false">EDATE(Inputs!$C$8,AX6-1)</f>
        <v>47515</v>
      </c>
      <c r="AY9" s="107" t="n">
        <f aca="false">EDATE(Inputs!$C$8,AY6-1)</f>
        <v>47543</v>
      </c>
      <c r="AZ9" s="107" t="n">
        <f aca="false">EDATE(Inputs!$C$8,AZ6-1)</f>
        <v>47574</v>
      </c>
      <c r="BA9" s="107" t="n">
        <f aca="false">EDATE(Inputs!$C$8,BA6-1)</f>
        <v>47604</v>
      </c>
      <c r="BB9" s="107" t="n">
        <f aca="false">EDATE(Inputs!$C$8,BB6-1)</f>
        <v>47635</v>
      </c>
      <c r="BC9" s="107" t="n">
        <f aca="false">EDATE(Inputs!$C$8,BC6-1)</f>
        <v>47665</v>
      </c>
      <c r="BD9" s="107" t="n">
        <f aca="false">EDATE(Inputs!$C$8,BD6-1)</f>
        <v>47696</v>
      </c>
      <c r="BE9" s="107" t="n">
        <f aca="false">EDATE(Inputs!$C$8,BE6-1)</f>
        <v>47727</v>
      </c>
      <c r="BF9" s="107" t="n">
        <f aca="false">EDATE(Inputs!$C$8,BF6-1)</f>
        <v>47757</v>
      </c>
      <c r="BG9" s="107" t="n">
        <f aca="false">EDATE(Inputs!$C$8,BG6-1)</f>
        <v>47788</v>
      </c>
      <c r="BH9" s="107" t="n">
        <f aca="false">EDATE(Inputs!$C$8,BH6-1)</f>
        <v>47818</v>
      </c>
      <c r="BI9" s="107" t="n">
        <f aca="false">EDATE(Inputs!$C$8,BI6-1)</f>
        <v>47849</v>
      </c>
      <c r="BJ9" s="107" t="n">
        <f aca="false">EDATE(Inputs!$C$8,BJ6-1)</f>
        <v>47880</v>
      </c>
      <c r="BK9" s="107" t="n">
        <f aca="false">EDATE(Inputs!$C$8,BK6-1)</f>
        <v>47908</v>
      </c>
    </row>
    <row r="10" customFormat="false" ht="15" hidden="false" customHeight="true" outlineLevel="0" collapsed="false">
      <c r="A10" s="5" t="s">
        <v>1895</v>
      </c>
      <c r="B10" s="4"/>
      <c r="D10" s="5" t="str">
        <f aca="false">"FY"&amp;TEXT(MOD(YEAR(Inputs!$C$8)+D7,100),"00")</f>
        <v>FY27</v>
      </c>
      <c r="E10" s="5" t="str">
        <f aca="false">"FY"&amp;TEXT(MOD(YEAR(Inputs!$C$8)+E7,100),"00")</f>
        <v>FY27</v>
      </c>
      <c r="F10" s="5" t="str">
        <f aca="false">"FY"&amp;TEXT(MOD(YEAR(Inputs!$C$8)+F7,100),"00")</f>
        <v>FY27</v>
      </c>
      <c r="G10" s="5" t="str">
        <f aca="false">"FY"&amp;TEXT(MOD(YEAR(Inputs!$C$8)+G7,100),"00")</f>
        <v>FY27</v>
      </c>
      <c r="H10" s="5" t="str">
        <f aca="false">"FY"&amp;TEXT(MOD(YEAR(Inputs!$C$8)+H7,100),"00")</f>
        <v>FY27</v>
      </c>
      <c r="I10" s="5" t="str">
        <f aca="false">"FY"&amp;TEXT(MOD(YEAR(Inputs!$C$8)+I7,100),"00")</f>
        <v>FY27</v>
      </c>
      <c r="J10" s="5" t="str">
        <f aca="false">"FY"&amp;TEXT(MOD(YEAR(Inputs!$C$8)+J7,100),"00")</f>
        <v>FY27</v>
      </c>
      <c r="K10" s="5" t="str">
        <f aca="false">"FY"&amp;TEXT(MOD(YEAR(Inputs!$C$8)+K7,100),"00")</f>
        <v>FY27</v>
      </c>
      <c r="L10" s="5" t="str">
        <f aca="false">"FY"&amp;TEXT(MOD(YEAR(Inputs!$C$8)+L7,100),"00")</f>
        <v>FY27</v>
      </c>
      <c r="M10" s="5" t="str">
        <f aca="false">"FY"&amp;TEXT(MOD(YEAR(Inputs!$C$8)+M7,100),"00")</f>
        <v>FY27</v>
      </c>
      <c r="N10" s="5" t="str">
        <f aca="false">"FY"&amp;TEXT(MOD(YEAR(Inputs!$C$8)+N7,100),"00")</f>
        <v>FY27</v>
      </c>
      <c r="O10" s="5" t="str">
        <f aca="false">"FY"&amp;TEXT(MOD(YEAR(Inputs!$C$8)+O7,100),"00")</f>
        <v>FY27</v>
      </c>
      <c r="P10" s="5" t="str">
        <f aca="false">"FY"&amp;TEXT(MOD(YEAR(Inputs!$C$8)+P7,100),"00")</f>
        <v>FY28</v>
      </c>
      <c r="Q10" s="5" t="str">
        <f aca="false">"FY"&amp;TEXT(MOD(YEAR(Inputs!$C$8)+Q7,100),"00")</f>
        <v>FY28</v>
      </c>
      <c r="R10" s="5" t="str">
        <f aca="false">"FY"&amp;TEXT(MOD(YEAR(Inputs!$C$8)+R7,100),"00")</f>
        <v>FY28</v>
      </c>
      <c r="S10" s="5" t="str">
        <f aca="false">"FY"&amp;TEXT(MOD(YEAR(Inputs!$C$8)+S7,100),"00")</f>
        <v>FY28</v>
      </c>
      <c r="T10" s="5" t="str">
        <f aca="false">"FY"&amp;TEXT(MOD(YEAR(Inputs!$C$8)+T7,100),"00")</f>
        <v>FY28</v>
      </c>
      <c r="U10" s="5" t="str">
        <f aca="false">"FY"&amp;TEXT(MOD(YEAR(Inputs!$C$8)+U7,100),"00")</f>
        <v>FY28</v>
      </c>
      <c r="V10" s="5" t="str">
        <f aca="false">"FY"&amp;TEXT(MOD(YEAR(Inputs!$C$8)+V7,100),"00")</f>
        <v>FY28</v>
      </c>
      <c r="W10" s="5" t="str">
        <f aca="false">"FY"&amp;TEXT(MOD(YEAR(Inputs!$C$8)+W7,100),"00")</f>
        <v>FY28</v>
      </c>
      <c r="X10" s="5" t="str">
        <f aca="false">"FY"&amp;TEXT(MOD(YEAR(Inputs!$C$8)+X7,100),"00")</f>
        <v>FY28</v>
      </c>
      <c r="Y10" s="5" t="str">
        <f aca="false">"FY"&amp;TEXT(MOD(YEAR(Inputs!$C$8)+Y7,100),"00")</f>
        <v>FY28</v>
      </c>
      <c r="Z10" s="5" t="str">
        <f aca="false">"FY"&amp;TEXT(MOD(YEAR(Inputs!$C$8)+Z7,100),"00")</f>
        <v>FY28</v>
      </c>
      <c r="AA10" s="5" t="str">
        <f aca="false">"FY"&amp;TEXT(MOD(YEAR(Inputs!$C$8)+AA7,100),"00")</f>
        <v>FY28</v>
      </c>
      <c r="AB10" s="5" t="str">
        <f aca="false">"FY"&amp;TEXT(MOD(YEAR(Inputs!$C$8)+AB7,100),"00")</f>
        <v>FY29</v>
      </c>
      <c r="AC10" s="5" t="str">
        <f aca="false">"FY"&amp;TEXT(MOD(YEAR(Inputs!$C$8)+AC7,100),"00")</f>
        <v>FY29</v>
      </c>
      <c r="AD10" s="5" t="str">
        <f aca="false">"FY"&amp;TEXT(MOD(YEAR(Inputs!$C$8)+AD7,100),"00")</f>
        <v>FY29</v>
      </c>
      <c r="AE10" s="5" t="str">
        <f aca="false">"FY"&amp;TEXT(MOD(YEAR(Inputs!$C$8)+AE7,100),"00")</f>
        <v>FY29</v>
      </c>
      <c r="AF10" s="5" t="str">
        <f aca="false">"FY"&amp;TEXT(MOD(YEAR(Inputs!$C$8)+AF7,100),"00")</f>
        <v>FY29</v>
      </c>
      <c r="AG10" s="5" t="str">
        <f aca="false">"FY"&amp;TEXT(MOD(YEAR(Inputs!$C$8)+AG7,100),"00")</f>
        <v>FY29</v>
      </c>
      <c r="AH10" s="5" t="str">
        <f aca="false">"FY"&amp;TEXT(MOD(YEAR(Inputs!$C$8)+AH7,100),"00")</f>
        <v>FY29</v>
      </c>
      <c r="AI10" s="5" t="str">
        <f aca="false">"FY"&amp;TEXT(MOD(YEAR(Inputs!$C$8)+AI7,100),"00")</f>
        <v>FY29</v>
      </c>
      <c r="AJ10" s="5" t="str">
        <f aca="false">"FY"&amp;TEXT(MOD(YEAR(Inputs!$C$8)+AJ7,100),"00")</f>
        <v>FY29</v>
      </c>
      <c r="AK10" s="5" t="str">
        <f aca="false">"FY"&amp;TEXT(MOD(YEAR(Inputs!$C$8)+AK7,100),"00")</f>
        <v>FY29</v>
      </c>
      <c r="AL10" s="5" t="str">
        <f aca="false">"FY"&amp;TEXT(MOD(YEAR(Inputs!$C$8)+AL7,100),"00")</f>
        <v>FY29</v>
      </c>
      <c r="AM10" s="5" t="str">
        <f aca="false">"FY"&amp;TEXT(MOD(YEAR(Inputs!$C$8)+AM7,100),"00")</f>
        <v>FY29</v>
      </c>
      <c r="AN10" s="5" t="str">
        <f aca="false">"FY"&amp;TEXT(MOD(YEAR(Inputs!$C$8)+AN7,100),"00")</f>
        <v>FY30</v>
      </c>
      <c r="AO10" s="5" t="str">
        <f aca="false">"FY"&amp;TEXT(MOD(YEAR(Inputs!$C$8)+AO7,100),"00")</f>
        <v>FY30</v>
      </c>
      <c r="AP10" s="5" t="str">
        <f aca="false">"FY"&amp;TEXT(MOD(YEAR(Inputs!$C$8)+AP7,100),"00")</f>
        <v>FY30</v>
      </c>
      <c r="AQ10" s="5" t="str">
        <f aca="false">"FY"&amp;TEXT(MOD(YEAR(Inputs!$C$8)+AQ7,100),"00")</f>
        <v>FY30</v>
      </c>
      <c r="AR10" s="5" t="str">
        <f aca="false">"FY"&amp;TEXT(MOD(YEAR(Inputs!$C$8)+AR7,100),"00")</f>
        <v>FY30</v>
      </c>
      <c r="AS10" s="5" t="str">
        <f aca="false">"FY"&amp;TEXT(MOD(YEAR(Inputs!$C$8)+AS7,100),"00")</f>
        <v>FY30</v>
      </c>
      <c r="AT10" s="5" t="str">
        <f aca="false">"FY"&amp;TEXT(MOD(YEAR(Inputs!$C$8)+AT7,100),"00")</f>
        <v>FY30</v>
      </c>
      <c r="AU10" s="5" t="str">
        <f aca="false">"FY"&amp;TEXT(MOD(YEAR(Inputs!$C$8)+AU7,100),"00")</f>
        <v>FY30</v>
      </c>
      <c r="AV10" s="5" t="str">
        <f aca="false">"FY"&amp;TEXT(MOD(YEAR(Inputs!$C$8)+AV7,100),"00")</f>
        <v>FY30</v>
      </c>
      <c r="AW10" s="5" t="str">
        <f aca="false">"FY"&amp;TEXT(MOD(YEAR(Inputs!$C$8)+AW7,100),"00")</f>
        <v>FY30</v>
      </c>
      <c r="AX10" s="5" t="str">
        <f aca="false">"FY"&amp;TEXT(MOD(YEAR(Inputs!$C$8)+AX7,100),"00")</f>
        <v>FY30</v>
      </c>
      <c r="AY10" s="5" t="str">
        <f aca="false">"FY"&amp;TEXT(MOD(YEAR(Inputs!$C$8)+AY7,100),"00")</f>
        <v>FY30</v>
      </c>
      <c r="AZ10" s="5" t="str">
        <f aca="false">"FY"&amp;TEXT(MOD(YEAR(Inputs!$C$8)+AZ7,100),"00")</f>
        <v>FY31</v>
      </c>
      <c r="BA10" s="5" t="str">
        <f aca="false">"FY"&amp;TEXT(MOD(YEAR(Inputs!$C$8)+BA7,100),"00")</f>
        <v>FY31</v>
      </c>
      <c r="BB10" s="5" t="str">
        <f aca="false">"FY"&amp;TEXT(MOD(YEAR(Inputs!$C$8)+BB7,100),"00")</f>
        <v>FY31</v>
      </c>
      <c r="BC10" s="5" t="str">
        <f aca="false">"FY"&amp;TEXT(MOD(YEAR(Inputs!$C$8)+BC7,100),"00")</f>
        <v>FY31</v>
      </c>
      <c r="BD10" s="5" t="str">
        <f aca="false">"FY"&amp;TEXT(MOD(YEAR(Inputs!$C$8)+BD7,100),"00")</f>
        <v>FY31</v>
      </c>
      <c r="BE10" s="5" t="str">
        <f aca="false">"FY"&amp;TEXT(MOD(YEAR(Inputs!$C$8)+BE7,100),"00")</f>
        <v>FY31</v>
      </c>
      <c r="BF10" s="5" t="str">
        <f aca="false">"FY"&amp;TEXT(MOD(YEAR(Inputs!$C$8)+BF7,100),"00")</f>
        <v>FY31</v>
      </c>
      <c r="BG10" s="5" t="str">
        <f aca="false">"FY"&amp;TEXT(MOD(YEAR(Inputs!$C$8)+BG7,100),"00")</f>
        <v>FY31</v>
      </c>
      <c r="BH10" s="5" t="str">
        <f aca="false">"FY"&amp;TEXT(MOD(YEAR(Inputs!$C$8)+BH7,100),"00")</f>
        <v>FY31</v>
      </c>
      <c r="BI10" s="5" t="str">
        <f aca="false">"FY"&amp;TEXT(MOD(YEAR(Inputs!$C$8)+BI7,100),"00")</f>
        <v>FY31</v>
      </c>
      <c r="BJ10" s="5" t="str">
        <f aca="false">"FY"&amp;TEXT(MOD(YEAR(Inputs!$C$8)+BJ7,100),"00")</f>
        <v>FY31</v>
      </c>
      <c r="BK10" s="5" t="str">
        <f aca="false">"FY"&amp;TEXT(MOD(YEAR(Inputs!$C$8)+BK7,100),"00")</f>
        <v>FY31</v>
      </c>
    </row>
    <row r="12" customFormat="false" ht="15" hidden="false" customHeight="true" outlineLevel="0" collapsed="false">
      <c r="A12" s="10" t="s">
        <v>1896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15" hidden="false" customHeight="true" outlineLevel="0" collapsed="false">
      <c r="A13" s="12" t="s">
        <v>1897</v>
      </c>
      <c r="B13" s="4" t="s">
        <v>725</v>
      </c>
      <c r="D13" s="16" t="n">
        <f aca="false">IF(AND(D7=1,D8&lt;Inputs!$C$18),0,INDEX(Inputs!$C$134:$G$134,1,D7))</f>
        <v>0</v>
      </c>
      <c r="E13" s="16" t="n">
        <f aca="false">IF(AND(E7=1,E8&lt;Inputs!$C$18),0,INDEX(Inputs!$C$134:$G$134,1,E7))</f>
        <v>0</v>
      </c>
      <c r="F13" s="16" t="n">
        <f aca="false">IF(AND(F7=1,F8&lt;Inputs!$C$18),0,INDEX(Inputs!$C$134:$G$134,1,F7))</f>
        <v>0</v>
      </c>
      <c r="G13" s="16" t="n">
        <f aca="false">IF(AND(G7=1,G8&lt;Inputs!$C$18),0,INDEX(Inputs!$C$134:$G$134,1,G7))</f>
        <v>1</v>
      </c>
      <c r="H13" s="16" t="n">
        <f aca="false">IF(AND(H7=1,H8&lt;Inputs!$C$18),0,INDEX(Inputs!$C$134:$G$134,1,H7))</f>
        <v>1</v>
      </c>
      <c r="I13" s="16" t="n">
        <f aca="false">IF(AND(I7=1,I8&lt;Inputs!$C$18),0,INDEX(Inputs!$C$134:$G$134,1,I7))</f>
        <v>1</v>
      </c>
      <c r="J13" s="16" t="n">
        <f aca="false">IF(AND(J7=1,J8&lt;Inputs!$C$18),0,INDEX(Inputs!$C$134:$G$134,1,J7))</f>
        <v>1</v>
      </c>
      <c r="K13" s="16" t="n">
        <f aca="false">IF(AND(K7=1,K8&lt;Inputs!$C$18),0,INDEX(Inputs!$C$134:$G$134,1,K7))</f>
        <v>1</v>
      </c>
      <c r="L13" s="16" t="n">
        <f aca="false">IF(AND(L7=1,L8&lt;Inputs!$C$18),0,INDEX(Inputs!$C$134:$G$134,1,L7))</f>
        <v>1</v>
      </c>
      <c r="M13" s="16" t="n">
        <f aca="false">IF(AND(M7=1,M8&lt;Inputs!$C$18),0,INDEX(Inputs!$C$134:$G$134,1,M7))</f>
        <v>1</v>
      </c>
      <c r="N13" s="16" t="n">
        <f aca="false">IF(AND(N7=1,N8&lt;Inputs!$C$18),0,INDEX(Inputs!$C$134:$G$134,1,N7))</f>
        <v>1</v>
      </c>
      <c r="O13" s="16" t="n">
        <f aca="false">IF(AND(O7=1,O8&lt;Inputs!$C$18),0,INDEX(Inputs!$C$134:$G$134,1,O7))</f>
        <v>1</v>
      </c>
      <c r="P13" s="16" t="n">
        <f aca="false">IF(AND(P7=1,P8&lt;Inputs!$C$18),0,INDEX(Inputs!$C$134:$G$134,1,P7))</f>
        <v>4</v>
      </c>
      <c r="Q13" s="16" t="n">
        <f aca="false">IF(AND(Q7=1,Q8&lt;Inputs!$C$18),0,INDEX(Inputs!$C$134:$G$134,1,Q7))</f>
        <v>4</v>
      </c>
      <c r="R13" s="16" t="n">
        <f aca="false">IF(AND(R7=1,R8&lt;Inputs!$C$18),0,INDEX(Inputs!$C$134:$G$134,1,R7))</f>
        <v>4</v>
      </c>
      <c r="S13" s="16" t="n">
        <f aca="false">IF(AND(S7=1,S8&lt;Inputs!$C$18),0,INDEX(Inputs!$C$134:$G$134,1,S7))</f>
        <v>4</v>
      </c>
      <c r="T13" s="16" t="n">
        <f aca="false">IF(AND(T7=1,T8&lt;Inputs!$C$18),0,INDEX(Inputs!$C$134:$G$134,1,T7))</f>
        <v>4</v>
      </c>
      <c r="U13" s="16" t="n">
        <f aca="false">IF(AND(U7=1,U8&lt;Inputs!$C$18),0,INDEX(Inputs!$C$134:$G$134,1,U7))</f>
        <v>4</v>
      </c>
      <c r="V13" s="16" t="n">
        <f aca="false">IF(AND(V7=1,V8&lt;Inputs!$C$18),0,INDEX(Inputs!$C$134:$G$134,1,V7))</f>
        <v>4</v>
      </c>
      <c r="W13" s="16" t="n">
        <f aca="false">IF(AND(W7=1,W8&lt;Inputs!$C$18),0,INDEX(Inputs!$C$134:$G$134,1,W7))</f>
        <v>4</v>
      </c>
      <c r="X13" s="16" t="n">
        <f aca="false">IF(AND(X7=1,X8&lt;Inputs!$C$18),0,INDEX(Inputs!$C$134:$G$134,1,X7))</f>
        <v>4</v>
      </c>
      <c r="Y13" s="16" t="n">
        <f aca="false">IF(AND(Y7=1,Y8&lt;Inputs!$C$18),0,INDEX(Inputs!$C$134:$G$134,1,Y7))</f>
        <v>4</v>
      </c>
      <c r="Z13" s="16" t="n">
        <f aca="false">IF(AND(Z7=1,Z8&lt;Inputs!$C$18),0,INDEX(Inputs!$C$134:$G$134,1,Z7))</f>
        <v>4</v>
      </c>
      <c r="AA13" s="16" t="n">
        <f aca="false">IF(AND(AA7=1,AA8&lt;Inputs!$C$18),0,INDEX(Inputs!$C$134:$G$134,1,AA7))</f>
        <v>4</v>
      </c>
      <c r="AB13" s="16" t="n">
        <f aca="false">IF(AND(AB7=1,AB8&lt;Inputs!$C$18),0,INDEX(Inputs!$C$134:$G$134,1,AB7))</f>
        <v>10</v>
      </c>
      <c r="AC13" s="16" t="n">
        <f aca="false">IF(AND(AC7=1,AC8&lt;Inputs!$C$18),0,INDEX(Inputs!$C$134:$G$134,1,AC7))</f>
        <v>10</v>
      </c>
      <c r="AD13" s="16" t="n">
        <f aca="false">IF(AND(AD7=1,AD8&lt;Inputs!$C$18),0,INDEX(Inputs!$C$134:$G$134,1,AD7))</f>
        <v>10</v>
      </c>
      <c r="AE13" s="16" t="n">
        <f aca="false">IF(AND(AE7=1,AE8&lt;Inputs!$C$18),0,INDEX(Inputs!$C$134:$G$134,1,AE7))</f>
        <v>10</v>
      </c>
      <c r="AF13" s="16" t="n">
        <f aca="false">IF(AND(AF7=1,AF8&lt;Inputs!$C$18),0,INDEX(Inputs!$C$134:$G$134,1,AF7))</f>
        <v>10</v>
      </c>
      <c r="AG13" s="16" t="n">
        <f aca="false">IF(AND(AG7=1,AG8&lt;Inputs!$C$18),0,INDEX(Inputs!$C$134:$G$134,1,AG7))</f>
        <v>10</v>
      </c>
      <c r="AH13" s="16" t="n">
        <f aca="false">IF(AND(AH7=1,AH8&lt;Inputs!$C$18),0,INDEX(Inputs!$C$134:$G$134,1,AH7))</f>
        <v>10</v>
      </c>
      <c r="AI13" s="16" t="n">
        <f aca="false">IF(AND(AI7=1,AI8&lt;Inputs!$C$18),0,INDEX(Inputs!$C$134:$G$134,1,AI7))</f>
        <v>10</v>
      </c>
      <c r="AJ13" s="16" t="n">
        <f aca="false">IF(AND(AJ7=1,AJ8&lt;Inputs!$C$18),0,INDEX(Inputs!$C$134:$G$134,1,AJ7))</f>
        <v>10</v>
      </c>
      <c r="AK13" s="16" t="n">
        <f aca="false">IF(AND(AK7=1,AK8&lt;Inputs!$C$18),0,INDEX(Inputs!$C$134:$G$134,1,AK7))</f>
        <v>10</v>
      </c>
      <c r="AL13" s="16" t="n">
        <f aca="false">IF(AND(AL7=1,AL8&lt;Inputs!$C$18),0,INDEX(Inputs!$C$134:$G$134,1,AL7))</f>
        <v>10</v>
      </c>
      <c r="AM13" s="16" t="n">
        <f aca="false">IF(AND(AM7=1,AM8&lt;Inputs!$C$18),0,INDEX(Inputs!$C$134:$G$134,1,AM7))</f>
        <v>10</v>
      </c>
      <c r="AN13" s="16" t="n">
        <f aca="false">IF(AND(AN7=1,AN8&lt;Inputs!$C$18),0,INDEX(Inputs!$C$134:$G$134,1,AN7))</f>
        <v>18</v>
      </c>
      <c r="AO13" s="16" t="n">
        <f aca="false">IF(AND(AO7=1,AO8&lt;Inputs!$C$18),0,INDEX(Inputs!$C$134:$G$134,1,AO7))</f>
        <v>18</v>
      </c>
      <c r="AP13" s="16" t="n">
        <f aca="false">IF(AND(AP7=1,AP8&lt;Inputs!$C$18),0,INDEX(Inputs!$C$134:$G$134,1,AP7))</f>
        <v>18</v>
      </c>
      <c r="AQ13" s="16" t="n">
        <f aca="false">IF(AND(AQ7=1,AQ8&lt;Inputs!$C$18),0,INDEX(Inputs!$C$134:$G$134,1,AQ7))</f>
        <v>18</v>
      </c>
      <c r="AR13" s="16" t="n">
        <f aca="false">IF(AND(AR7=1,AR8&lt;Inputs!$C$18),0,INDEX(Inputs!$C$134:$G$134,1,AR7))</f>
        <v>18</v>
      </c>
      <c r="AS13" s="16" t="n">
        <f aca="false">IF(AND(AS7=1,AS8&lt;Inputs!$C$18),0,INDEX(Inputs!$C$134:$G$134,1,AS7))</f>
        <v>18</v>
      </c>
      <c r="AT13" s="16" t="n">
        <f aca="false">IF(AND(AT7=1,AT8&lt;Inputs!$C$18),0,INDEX(Inputs!$C$134:$G$134,1,AT7))</f>
        <v>18</v>
      </c>
      <c r="AU13" s="16" t="n">
        <f aca="false">IF(AND(AU7=1,AU8&lt;Inputs!$C$18),0,INDEX(Inputs!$C$134:$G$134,1,AU7))</f>
        <v>18</v>
      </c>
      <c r="AV13" s="16" t="n">
        <f aca="false">IF(AND(AV7=1,AV8&lt;Inputs!$C$18),0,INDEX(Inputs!$C$134:$G$134,1,AV7))</f>
        <v>18</v>
      </c>
      <c r="AW13" s="16" t="n">
        <f aca="false">IF(AND(AW7=1,AW8&lt;Inputs!$C$18),0,INDEX(Inputs!$C$134:$G$134,1,AW7))</f>
        <v>18</v>
      </c>
      <c r="AX13" s="16" t="n">
        <f aca="false">IF(AND(AX7=1,AX8&lt;Inputs!$C$18),0,INDEX(Inputs!$C$134:$G$134,1,AX7))</f>
        <v>18</v>
      </c>
      <c r="AY13" s="16" t="n">
        <f aca="false">IF(AND(AY7=1,AY8&lt;Inputs!$C$18),0,INDEX(Inputs!$C$134:$G$134,1,AY7))</f>
        <v>18</v>
      </c>
      <c r="AZ13" s="16" t="n">
        <f aca="false">IF(AND(AZ7=1,AZ8&lt;Inputs!$C$18),0,INDEX(Inputs!$C$134:$G$134,1,AZ7))</f>
        <v>25</v>
      </c>
      <c r="BA13" s="16" t="n">
        <f aca="false">IF(AND(BA7=1,BA8&lt;Inputs!$C$18),0,INDEX(Inputs!$C$134:$G$134,1,BA7))</f>
        <v>25</v>
      </c>
      <c r="BB13" s="16" t="n">
        <f aca="false">IF(AND(BB7=1,BB8&lt;Inputs!$C$18),0,INDEX(Inputs!$C$134:$G$134,1,BB7))</f>
        <v>25</v>
      </c>
      <c r="BC13" s="16" t="n">
        <f aca="false">IF(AND(BC7=1,BC8&lt;Inputs!$C$18),0,INDEX(Inputs!$C$134:$G$134,1,BC7))</f>
        <v>25</v>
      </c>
      <c r="BD13" s="16" t="n">
        <f aca="false">IF(AND(BD7=1,BD8&lt;Inputs!$C$18),0,INDEX(Inputs!$C$134:$G$134,1,BD7))</f>
        <v>25</v>
      </c>
      <c r="BE13" s="16" t="n">
        <f aca="false">IF(AND(BE7=1,BE8&lt;Inputs!$C$18),0,INDEX(Inputs!$C$134:$G$134,1,BE7))</f>
        <v>25</v>
      </c>
      <c r="BF13" s="16" t="n">
        <f aca="false">IF(AND(BF7=1,BF8&lt;Inputs!$C$18),0,INDEX(Inputs!$C$134:$G$134,1,BF7))</f>
        <v>25</v>
      </c>
      <c r="BG13" s="16" t="n">
        <f aca="false">IF(AND(BG7=1,BG8&lt;Inputs!$C$18),0,INDEX(Inputs!$C$134:$G$134,1,BG7))</f>
        <v>25</v>
      </c>
      <c r="BH13" s="16" t="n">
        <f aca="false">IF(AND(BH7=1,BH8&lt;Inputs!$C$18),0,INDEX(Inputs!$C$134:$G$134,1,BH7))</f>
        <v>25</v>
      </c>
      <c r="BI13" s="16" t="n">
        <f aca="false">IF(AND(BI7=1,BI8&lt;Inputs!$C$18),0,INDEX(Inputs!$C$134:$G$134,1,BI7))</f>
        <v>25</v>
      </c>
      <c r="BJ13" s="16" t="n">
        <f aca="false">IF(AND(BJ7=1,BJ8&lt;Inputs!$C$18),0,INDEX(Inputs!$C$134:$G$134,1,BJ7))</f>
        <v>25</v>
      </c>
      <c r="BK13" s="16" t="n">
        <f aca="false">IF(AND(BK7=1,BK8&lt;Inputs!$C$18),0,INDEX(Inputs!$C$134:$G$134,1,BK7))</f>
        <v>25</v>
      </c>
    </row>
    <row r="14" customFormat="false" ht="15" hidden="false" customHeight="true" outlineLevel="0" collapsed="false">
      <c r="A14" s="12" t="s">
        <v>1898</v>
      </c>
      <c r="B14" s="4" t="s">
        <v>62</v>
      </c>
      <c r="D14" s="20" t="n">
        <f aca="false">MAX(1,ROUND(Inputs!$C$19,0))</f>
        <v>6</v>
      </c>
      <c r="E14" s="20" t="n">
        <f aca="false">MAX(1,ROUND(Inputs!$C$19,0))</f>
        <v>6</v>
      </c>
      <c r="F14" s="20" t="n">
        <f aca="false">MAX(1,ROUND(Inputs!$C$19,0))</f>
        <v>6</v>
      </c>
      <c r="G14" s="20" t="n">
        <f aca="false">MAX(1,ROUND(Inputs!$C$19,0))</f>
        <v>6</v>
      </c>
      <c r="H14" s="20" t="n">
        <f aca="false">MAX(1,ROUND(Inputs!$C$19,0))</f>
        <v>6</v>
      </c>
      <c r="I14" s="20" t="n">
        <f aca="false">MAX(1,ROUND(Inputs!$C$19,0))</f>
        <v>6</v>
      </c>
      <c r="J14" s="20" t="n">
        <f aca="false">MAX(1,ROUND(Inputs!$C$19,0))</f>
        <v>6</v>
      </c>
      <c r="K14" s="20" t="n">
        <f aca="false">MAX(1,ROUND(Inputs!$C$19,0))</f>
        <v>6</v>
      </c>
      <c r="L14" s="20" t="n">
        <f aca="false">MAX(1,ROUND(Inputs!$C$19,0))</f>
        <v>6</v>
      </c>
      <c r="M14" s="20" t="n">
        <f aca="false">MAX(1,ROUND(Inputs!$C$19,0))</f>
        <v>6</v>
      </c>
      <c r="N14" s="20" t="n">
        <f aca="false">MAX(1,ROUND(Inputs!$C$19,0))</f>
        <v>6</v>
      </c>
      <c r="O14" s="20" t="n">
        <f aca="false">MAX(1,ROUND(Inputs!$C$19,0))</f>
        <v>6</v>
      </c>
      <c r="P14" s="20" t="n">
        <f aca="false">MAX(1,ROUND(Inputs!$C$19,0))</f>
        <v>6</v>
      </c>
      <c r="Q14" s="20" t="n">
        <f aca="false">MAX(1,ROUND(Inputs!$C$19,0))</f>
        <v>6</v>
      </c>
      <c r="R14" s="20" t="n">
        <f aca="false">MAX(1,ROUND(Inputs!$C$19,0))</f>
        <v>6</v>
      </c>
      <c r="S14" s="20" t="n">
        <f aca="false">MAX(1,ROUND(Inputs!$C$19,0))</f>
        <v>6</v>
      </c>
      <c r="T14" s="20" t="n">
        <f aca="false">MAX(1,ROUND(Inputs!$C$19,0))</f>
        <v>6</v>
      </c>
      <c r="U14" s="20" t="n">
        <f aca="false">MAX(1,ROUND(Inputs!$C$19,0))</f>
        <v>6</v>
      </c>
      <c r="V14" s="20" t="n">
        <f aca="false">MAX(1,ROUND(Inputs!$C$19,0))</f>
        <v>6</v>
      </c>
      <c r="W14" s="20" t="n">
        <f aca="false">MAX(1,ROUND(Inputs!$C$19,0))</f>
        <v>6</v>
      </c>
      <c r="X14" s="20" t="n">
        <f aca="false">MAX(1,ROUND(Inputs!$C$19,0))</f>
        <v>6</v>
      </c>
      <c r="Y14" s="20" t="n">
        <f aca="false">MAX(1,ROUND(Inputs!$C$19,0))</f>
        <v>6</v>
      </c>
      <c r="Z14" s="20" t="n">
        <f aca="false">MAX(1,ROUND(Inputs!$C$19,0))</f>
        <v>6</v>
      </c>
      <c r="AA14" s="20" t="n">
        <f aca="false">MAX(1,ROUND(Inputs!$C$19,0))</f>
        <v>6</v>
      </c>
      <c r="AB14" s="20" t="n">
        <f aca="false">MAX(1,ROUND(Inputs!$C$19,0))</f>
        <v>6</v>
      </c>
      <c r="AC14" s="20" t="n">
        <f aca="false">MAX(1,ROUND(Inputs!$C$19,0))</f>
        <v>6</v>
      </c>
      <c r="AD14" s="20" t="n">
        <f aca="false">MAX(1,ROUND(Inputs!$C$19,0))</f>
        <v>6</v>
      </c>
      <c r="AE14" s="20" t="n">
        <f aca="false">MAX(1,ROUND(Inputs!$C$19,0))</f>
        <v>6</v>
      </c>
      <c r="AF14" s="20" t="n">
        <f aca="false">MAX(1,ROUND(Inputs!$C$19,0))</f>
        <v>6</v>
      </c>
      <c r="AG14" s="20" t="n">
        <f aca="false">MAX(1,ROUND(Inputs!$C$19,0))</f>
        <v>6</v>
      </c>
      <c r="AH14" s="20" t="n">
        <f aca="false">MAX(1,ROUND(Inputs!$C$19,0))</f>
        <v>6</v>
      </c>
      <c r="AI14" s="20" t="n">
        <f aca="false">MAX(1,ROUND(Inputs!$C$19,0))</f>
        <v>6</v>
      </c>
      <c r="AJ14" s="20" t="n">
        <f aca="false">MAX(1,ROUND(Inputs!$C$19,0))</f>
        <v>6</v>
      </c>
      <c r="AK14" s="20" t="n">
        <f aca="false">MAX(1,ROUND(Inputs!$C$19,0))</f>
        <v>6</v>
      </c>
      <c r="AL14" s="20" t="n">
        <f aca="false">MAX(1,ROUND(Inputs!$C$19,0))</f>
        <v>6</v>
      </c>
      <c r="AM14" s="20" t="n">
        <f aca="false">MAX(1,ROUND(Inputs!$C$19,0))</f>
        <v>6</v>
      </c>
      <c r="AN14" s="20" t="n">
        <f aca="false">MAX(1,ROUND(Inputs!$C$19,0))</f>
        <v>6</v>
      </c>
      <c r="AO14" s="20" t="n">
        <f aca="false">MAX(1,ROUND(Inputs!$C$19,0))</f>
        <v>6</v>
      </c>
      <c r="AP14" s="20" t="n">
        <f aca="false">MAX(1,ROUND(Inputs!$C$19,0))</f>
        <v>6</v>
      </c>
      <c r="AQ14" s="20" t="n">
        <f aca="false">MAX(1,ROUND(Inputs!$C$19,0))</f>
        <v>6</v>
      </c>
      <c r="AR14" s="20" t="n">
        <f aca="false">MAX(1,ROUND(Inputs!$C$19,0))</f>
        <v>6</v>
      </c>
      <c r="AS14" s="20" t="n">
        <f aca="false">MAX(1,ROUND(Inputs!$C$19,0))</f>
        <v>6</v>
      </c>
      <c r="AT14" s="20" t="n">
        <f aca="false">MAX(1,ROUND(Inputs!$C$19,0))</f>
        <v>6</v>
      </c>
      <c r="AU14" s="20" t="n">
        <f aca="false">MAX(1,ROUND(Inputs!$C$19,0))</f>
        <v>6</v>
      </c>
      <c r="AV14" s="20" t="n">
        <f aca="false">MAX(1,ROUND(Inputs!$C$19,0))</f>
        <v>6</v>
      </c>
      <c r="AW14" s="20" t="n">
        <f aca="false">MAX(1,ROUND(Inputs!$C$19,0))</f>
        <v>6</v>
      </c>
      <c r="AX14" s="20" t="n">
        <f aca="false">MAX(1,ROUND(Inputs!$C$19,0))</f>
        <v>6</v>
      </c>
      <c r="AY14" s="20" t="n">
        <f aca="false">MAX(1,ROUND(Inputs!$C$19,0))</f>
        <v>6</v>
      </c>
      <c r="AZ14" s="20" t="n">
        <f aca="false">MAX(1,ROUND(Inputs!$C$19,0))</f>
        <v>6</v>
      </c>
      <c r="BA14" s="20" t="n">
        <f aca="false">MAX(1,ROUND(Inputs!$C$19,0))</f>
        <v>6</v>
      </c>
      <c r="BB14" s="20" t="n">
        <f aca="false">MAX(1,ROUND(Inputs!$C$19,0))</f>
        <v>6</v>
      </c>
      <c r="BC14" s="20" t="n">
        <f aca="false">MAX(1,ROUND(Inputs!$C$19,0))</f>
        <v>6</v>
      </c>
      <c r="BD14" s="20" t="n">
        <f aca="false">MAX(1,ROUND(Inputs!$C$19,0))</f>
        <v>6</v>
      </c>
      <c r="BE14" s="20" t="n">
        <f aca="false">MAX(1,ROUND(Inputs!$C$19,0))</f>
        <v>6</v>
      </c>
      <c r="BF14" s="20" t="n">
        <f aca="false">MAX(1,ROUND(Inputs!$C$19,0))</f>
        <v>6</v>
      </c>
      <c r="BG14" s="20" t="n">
        <f aca="false">MAX(1,ROUND(Inputs!$C$19,0))</f>
        <v>6</v>
      </c>
      <c r="BH14" s="20" t="n">
        <f aca="false">MAX(1,ROUND(Inputs!$C$19,0))</f>
        <v>6</v>
      </c>
      <c r="BI14" s="20" t="n">
        <f aca="false">MAX(1,ROUND(Inputs!$C$19,0))</f>
        <v>6</v>
      </c>
      <c r="BJ14" s="20" t="n">
        <f aca="false">MAX(1,ROUND(Inputs!$C$19,0))</f>
        <v>6</v>
      </c>
      <c r="BK14" s="20" t="n">
        <f aca="false">MAX(1,ROUND(Inputs!$C$19,0))</f>
        <v>6</v>
      </c>
    </row>
    <row r="15" customFormat="false" ht="15" hidden="false" customHeight="true" outlineLevel="0" collapsed="false">
      <c r="A15" s="12" t="s">
        <v>1899</v>
      </c>
      <c r="B15" s="4" t="s">
        <v>916</v>
      </c>
      <c r="D15" s="18" t="n">
        <f aca="true">SUM(OFFSET(D13,0,-(MIN(D14,D$6)-1),1,MIN(D14,D$6)))/D14</f>
        <v>0</v>
      </c>
      <c r="E15" s="18" t="n">
        <f aca="true">SUM(OFFSET(E13,0,-(MIN(E14,E$6)-1),1,MIN(E14,E$6)))/E14</f>
        <v>0</v>
      </c>
      <c r="F15" s="18" t="n">
        <f aca="true">SUM(OFFSET(F13,0,-(MIN(F14,F$6)-1),1,MIN(F14,F$6)))/F14</f>
        <v>0</v>
      </c>
      <c r="G15" s="18" t="n">
        <f aca="true">SUM(OFFSET(G13,0,-(MIN(G14,G$6)-1),1,MIN(G14,G$6)))/G14</f>
        <v>0.166666666666667</v>
      </c>
      <c r="H15" s="18" t="n">
        <f aca="true">SUM(OFFSET(H13,0,-(MIN(H14,H$6)-1),1,MIN(H14,H$6)))/H14</f>
        <v>0.333333333333333</v>
      </c>
      <c r="I15" s="18" t="n">
        <f aca="true">SUM(OFFSET(I13,0,-(MIN(I14,I$6)-1),1,MIN(I14,I$6)))/I14</f>
        <v>0.5</v>
      </c>
      <c r="J15" s="18" t="n">
        <f aca="true">SUM(OFFSET(J13,0,-(MIN(J14,J$6)-1),1,MIN(J14,J$6)))/J14</f>
        <v>0.666666666666667</v>
      </c>
      <c r="K15" s="18" t="n">
        <f aca="true">SUM(OFFSET(K13,0,-(MIN(K14,K$6)-1),1,MIN(K14,K$6)))/K14</f>
        <v>0.833333333333333</v>
      </c>
      <c r="L15" s="18" t="n">
        <f aca="true">SUM(OFFSET(L13,0,-(MIN(L14,L$6)-1),1,MIN(L14,L$6)))/L14</f>
        <v>1</v>
      </c>
      <c r="M15" s="18" t="n">
        <f aca="true">SUM(OFFSET(M13,0,-(MIN(M14,M$6)-1),1,MIN(M14,M$6)))/M14</f>
        <v>1</v>
      </c>
      <c r="N15" s="18" t="n">
        <f aca="true">SUM(OFFSET(N13,0,-(MIN(N14,N$6)-1),1,MIN(N14,N$6)))/N14</f>
        <v>1</v>
      </c>
      <c r="O15" s="18" t="n">
        <f aca="true">SUM(OFFSET(O13,0,-(MIN(O14,O$6)-1),1,MIN(O14,O$6)))/O14</f>
        <v>1</v>
      </c>
      <c r="P15" s="18" t="n">
        <f aca="true">SUM(OFFSET(P13,0,-(MIN(P14,P$6)-1),1,MIN(P14,P$6)))/P14</f>
        <v>1.5</v>
      </c>
      <c r="Q15" s="18" t="n">
        <f aca="true">SUM(OFFSET(Q13,0,-(MIN(Q14,Q$6)-1),1,MIN(Q14,Q$6)))/Q14</f>
        <v>2</v>
      </c>
      <c r="R15" s="18" t="n">
        <f aca="true">SUM(OFFSET(R13,0,-(MIN(R14,R$6)-1),1,MIN(R14,R$6)))/R14</f>
        <v>2.5</v>
      </c>
      <c r="S15" s="18" t="n">
        <f aca="true">SUM(OFFSET(S13,0,-(MIN(S14,S$6)-1),1,MIN(S14,S$6)))/S14</f>
        <v>3</v>
      </c>
      <c r="T15" s="18" t="n">
        <f aca="true">SUM(OFFSET(T13,0,-(MIN(T14,T$6)-1),1,MIN(T14,T$6)))/T14</f>
        <v>3.5</v>
      </c>
      <c r="U15" s="18" t="n">
        <f aca="true">SUM(OFFSET(U13,0,-(MIN(U14,U$6)-1),1,MIN(U14,U$6)))/U14</f>
        <v>4</v>
      </c>
      <c r="V15" s="18" t="n">
        <f aca="true">SUM(OFFSET(V13,0,-(MIN(V14,V$6)-1),1,MIN(V14,V$6)))/V14</f>
        <v>4</v>
      </c>
      <c r="W15" s="18" t="n">
        <f aca="true">SUM(OFFSET(W13,0,-(MIN(W14,W$6)-1),1,MIN(W14,W$6)))/W14</f>
        <v>4</v>
      </c>
      <c r="X15" s="18" t="n">
        <f aca="true">SUM(OFFSET(X13,0,-(MIN(X14,X$6)-1),1,MIN(X14,X$6)))/X14</f>
        <v>4</v>
      </c>
      <c r="Y15" s="18" t="n">
        <f aca="true">SUM(OFFSET(Y13,0,-(MIN(Y14,Y$6)-1),1,MIN(Y14,Y$6)))/Y14</f>
        <v>4</v>
      </c>
      <c r="Z15" s="18" t="n">
        <f aca="true">SUM(OFFSET(Z13,0,-(MIN(Z14,Z$6)-1),1,MIN(Z14,Z$6)))/Z14</f>
        <v>4</v>
      </c>
      <c r="AA15" s="18" t="n">
        <f aca="true">SUM(OFFSET(AA13,0,-(MIN(AA14,AA$6)-1),1,MIN(AA14,AA$6)))/AA14</f>
        <v>4</v>
      </c>
      <c r="AB15" s="18" t="n">
        <f aca="true">SUM(OFFSET(AB13,0,-(MIN(AB14,AB$6)-1),1,MIN(AB14,AB$6)))/AB14</f>
        <v>5</v>
      </c>
      <c r="AC15" s="18" t="n">
        <f aca="true">SUM(OFFSET(AC13,0,-(MIN(AC14,AC$6)-1),1,MIN(AC14,AC$6)))/AC14</f>
        <v>6</v>
      </c>
      <c r="AD15" s="18" t="n">
        <f aca="true">SUM(OFFSET(AD13,0,-(MIN(AD14,AD$6)-1),1,MIN(AD14,AD$6)))/AD14</f>
        <v>7</v>
      </c>
      <c r="AE15" s="18" t="n">
        <f aca="true">SUM(OFFSET(AE13,0,-(MIN(AE14,AE$6)-1),1,MIN(AE14,AE$6)))/AE14</f>
        <v>8</v>
      </c>
      <c r="AF15" s="18" t="n">
        <f aca="true">SUM(OFFSET(AF13,0,-(MIN(AF14,AF$6)-1),1,MIN(AF14,AF$6)))/AF14</f>
        <v>9</v>
      </c>
      <c r="AG15" s="18" t="n">
        <f aca="true">SUM(OFFSET(AG13,0,-(MIN(AG14,AG$6)-1),1,MIN(AG14,AG$6)))/AG14</f>
        <v>10</v>
      </c>
      <c r="AH15" s="18" t="n">
        <f aca="true">SUM(OFFSET(AH13,0,-(MIN(AH14,AH$6)-1),1,MIN(AH14,AH$6)))/AH14</f>
        <v>10</v>
      </c>
      <c r="AI15" s="18" t="n">
        <f aca="true">SUM(OFFSET(AI13,0,-(MIN(AI14,AI$6)-1),1,MIN(AI14,AI$6)))/AI14</f>
        <v>10</v>
      </c>
      <c r="AJ15" s="18" t="n">
        <f aca="true">SUM(OFFSET(AJ13,0,-(MIN(AJ14,AJ$6)-1),1,MIN(AJ14,AJ$6)))/AJ14</f>
        <v>10</v>
      </c>
      <c r="AK15" s="18" t="n">
        <f aca="true">SUM(OFFSET(AK13,0,-(MIN(AK14,AK$6)-1),1,MIN(AK14,AK$6)))/AK14</f>
        <v>10</v>
      </c>
      <c r="AL15" s="18" t="n">
        <f aca="true">SUM(OFFSET(AL13,0,-(MIN(AL14,AL$6)-1),1,MIN(AL14,AL$6)))/AL14</f>
        <v>10</v>
      </c>
      <c r="AM15" s="18" t="n">
        <f aca="true">SUM(OFFSET(AM13,0,-(MIN(AM14,AM$6)-1),1,MIN(AM14,AM$6)))/AM14</f>
        <v>10</v>
      </c>
      <c r="AN15" s="18" t="n">
        <f aca="true">SUM(OFFSET(AN13,0,-(MIN(AN14,AN$6)-1),1,MIN(AN14,AN$6)))/AN14</f>
        <v>11.3333333333333</v>
      </c>
      <c r="AO15" s="18" t="n">
        <f aca="true">SUM(OFFSET(AO13,0,-(MIN(AO14,AO$6)-1),1,MIN(AO14,AO$6)))/AO14</f>
        <v>12.6666666666667</v>
      </c>
      <c r="AP15" s="18" t="n">
        <f aca="true">SUM(OFFSET(AP13,0,-(MIN(AP14,AP$6)-1),1,MIN(AP14,AP$6)))/AP14</f>
        <v>14</v>
      </c>
      <c r="AQ15" s="18" t="n">
        <f aca="true">SUM(OFFSET(AQ13,0,-(MIN(AQ14,AQ$6)-1),1,MIN(AQ14,AQ$6)))/AQ14</f>
        <v>15.3333333333333</v>
      </c>
      <c r="AR15" s="18" t="n">
        <f aca="true">SUM(OFFSET(AR13,0,-(MIN(AR14,AR$6)-1),1,MIN(AR14,AR$6)))/AR14</f>
        <v>16.6666666666667</v>
      </c>
      <c r="AS15" s="18" t="n">
        <f aca="true">SUM(OFFSET(AS13,0,-(MIN(AS14,AS$6)-1),1,MIN(AS14,AS$6)))/AS14</f>
        <v>18</v>
      </c>
      <c r="AT15" s="18" t="n">
        <f aca="true">SUM(OFFSET(AT13,0,-(MIN(AT14,AT$6)-1),1,MIN(AT14,AT$6)))/AT14</f>
        <v>18</v>
      </c>
      <c r="AU15" s="18" t="n">
        <f aca="true">SUM(OFFSET(AU13,0,-(MIN(AU14,AU$6)-1),1,MIN(AU14,AU$6)))/AU14</f>
        <v>18</v>
      </c>
      <c r="AV15" s="18" t="n">
        <f aca="true">SUM(OFFSET(AV13,0,-(MIN(AV14,AV$6)-1),1,MIN(AV14,AV$6)))/AV14</f>
        <v>18</v>
      </c>
      <c r="AW15" s="18" t="n">
        <f aca="true">SUM(OFFSET(AW13,0,-(MIN(AW14,AW$6)-1),1,MIN(AW14,AW$6)))/AW14</f>
        <v>18</v>
      </c>
      <c r="AX15" s="18" t="n">
        <f aca="true">SUM(OFFSET(AX13,0,-(MIN(AX14,AX$6)-1),1,MIN(AX14,AX$6)))/AX14</f>
        <v>18</v>
      </c>
      <c r="AY15" s="18" t="n">
        <f aca="true">SUM(OFFSET(AY13,0,-(MIN(AY14,AY$6)-1),1,MIN(AY14,AY$6)))/AY14</f>
        <v>18</v>
      </c>
      <c r="AZ15" s="18" t="n">
        <f aca="true">SUM(OFFSET(AZ13,0,-(MIN(AZ14,AZ$6)-1),1,MIN(AZ14,AZ$6)))/AZ14</f>
        <v>19.1666666666667</v>
      </c>
      <c r="BA15" s="18" t="n">
        <f aca="true">SUM(OFFSET(BA13,0,-(MIN(BA14,BA$6)-1),1,MIN(BA14,BA$6)))/BA14</f>
        <v>20.3333333333333</v>
      </c>
      <c r="BB15" s="18" t="n">
        <f aca="true">SUM(OFFSET(BB13,0,-(MIN(BB14,BB$6)-1),1,MIN(BB14,BB$6)))/BB14</f>
        <v>21.5</v>
      </c>
      <c r="BC15" s="18" t="n">
        <f aca="true">SUM(OFFSET(BC13,0,-(MIN(BC14,BC$6)-1),1,MIN(BC14,BC$6)))/BC14</f>
        <v>22.6666666666667</v>
      </c>
      <c r="BD15" s="18" t="n">
        <f aca="true">SUM(OFFSET(BD13,0,-(MIN(BD14,BD$6)-1),1,MIN(BD14,BD$6)))/BD14</f>
        <v>23.8333333333333</v>
      </c>
      <c r="BE15" s="18" t="n">
        <f aca="true">SUM(OFFSET(BE13,0,-(MIN(BE14,BE$6)-1),1,MIN(BE14,BE$6)))/BE14</f>
        <v>25</v>
      </c>
      <c r="BF15" s="18" t="n">
        <f aca="true">SUM(OFFSET(BF13,0,-(MIN(BF14,BF$6)-1),1,MIN(BF14,BF$6)))/BF14</f>
        <v>25</v>
      </c>
      <c r="BG15" s="18" t="n">
        <f aca="true">SUM(OFFSET(BG13,0,-(MIN(BG14,BG$6)-1),1,MIN(BG14,BG$6)))/BG14</f>
        <v>25</v>
      </c>
      <c r="BH15" s="18" t="n">
        <f aca="true">SUM(OFFSET(BH13,0,-(MIN(BH14,BH$6)-1),1,MIN(BH14,BH$6)))/BH14</f>
        <v>25</v>
      </c>
      <c r="BI15" s="18" t="n">
        <f aca="true">SUM(OFFSET(BI13,0,-(MIN(BI14,BI$6)-1),1,MIN(BI14,BI$6)))/BI14</f>
        <v>25</v>
      </c>
      <c r="BJ15" s="18" t="n">
        <f aca="true">SUM(OFFSET(BJ13,0,-(MIN(BJ14,BJ$6)-1),1,MIN(BJ14,BJ$6)))/BJ14</f>
        <v>25</v>
      </c>
      <c r="BK15" s="18" t="n">
        <f aca="true">SUM(OFFSET(BK13,0,-(MIN(BK14,BK$6)-1),1,MIN(BK14,BK$6)))/BK14</f>
        <v>25</v>
      </c>
    </row>
    <row r="16" customFormat="false" ht="15" hidden="false" customHeight="true" outlineLevel="0" collapsed="false">
      <c r="A16" s="12" t="s">
        <v>1900</v>
      </c>
      <c r="B16" s="4" t="s">
        <v>916</v>
      </c>
      <c r="D16" s="18" t="n">
        <f aca="false">IF(D7&lt;=2,Inputs!$C$20,Inputs!$C$21)</f>
        <v>0.5</v>
      </c>
      <c r="E16" s="18" t="n">
        <f aca="false">IF(E7&lt;=2,Inputs!$C$20,Inputs!$C$21)</f>
        <v>0.5</v>
      </c>
      <c r="F16" s="18" t="n">
        <f aca="false">IF(F7&lt;=2,Inputs!$C$20,Inputs!$C$21)</f>
        <v>0.5</v>
      </c>
      <c r="G16" s="18" t="n">
        <f aca="false">IF(G7&lt;=2,Inputs!$C$20,Inputs!$C$21)</f>
        <v>0.5</v>
      </c>
      <c r="H16" s="18" t="n">
        <f aca="false">IF(H7&lt;=2,Inputs!$C$20,Inputs!$C$21)</f>
        <v>0.5</v>
      </c>
      <c r="I16" s="18" t="n">
        <f aca="false">IF(I7&lt;=2,Inputs!$C$20,Inputs!$C$21)</f>
        <v>0.5</v>
      </c>
      <c r="J16" s="18" t="n">
        <f aca="false">IF(J7&lt;=2,Inputs!$C$20,Inputs!$C$21)</f>
        <v>0.5</v>
      </c>
      <c r="K16" s="18" t="n">
        <f aca="false">IF(K7&lt;=2,Inputs!$C$20,Inputs!$C$21)</f>
        <v>0.5</v>
      </c>
      <c r="L16" s="18" t="n">
        <f aca="false">IF(L7&lt;=2,Inputs!$C$20,Inputs!$C$21)</f>
        <v>0.5</v>
      </c>
      <c r="M16" s="18" t="n">
        <f aca="false">IF(M7&lt;=2,Inputs!$C$20,Inputs!$C$21)</f>
        <v>0.5</v>
      </c>
      <c r="N16" s="18" t="n">
        <f aca="false">IF(N7&lt;=2,Inputs!$C$20,Inputs!$C$21)</f>
        <v>0.5</v>
      </c>
      <c r="O16" s="18" t="n">
        <f aca="false">IF(O7&lt;=2,Inputs!$C$20,Inputs!$C$21)</f>
        <v>0.5</v>
      </c>
      <c r="P16" s="18" t="n">
        <f aca="false">IF(P7&lt;=2,Inputs!$C$20,Inputs!$C$21)</f>
        <v>0.5</v>
      </c>
      <c r="Q16" s="18" t="n">
        <f aca="false">IF(Q7&lt;=2,Inputs!$C$20,Inputs!$C$21)</f>
        <v>0.5</v>
      </c>
      <c r="R16" s="18" t="n">
        <f aca="false">IF(R7&lt;=2,Inputs!$C$20,Inputs!$C$21)</f>
        <v>0.5</v>
      </c>
      <c r="S16" s="18" t="n">
        <f aca="false">IF(S7&lt;=2,Inputs!$C$20,Inputs!$C$21)</f>
        <v>0.5</v>
      </c>
      <c r="T16" s="18" t="n">
        <f aca="false">IF(T7&lt;=2,Inputs!$C$20,Inputs!$C$21)</f>
        <v>0.5</v>
      </c>
      <c r="U16" s="18" t="n">
        <f aca="false">IF(U7&lt;=2,Inputs!$C$20,Inputs!$C$21)</f>
        <v>0.5</v>
      </c>
      <c r="V16" s="18" t="n">
        <f aca="false">IF(V7&lt;=2,Inputs!$C$20,Inputs!$C$21)</f>
        <v>0.5</v>
      </c>
      <c r="W16" s="18" t="n">
        <f aca="false">IF(W7&lt;=2,Inputs!$C$20,Inputs!$C$21)</f>
        <v>0.5</v>
      </c>
      <c r="X16" s="18" t="n">
        <f aca="false">IF(X7&lt;=2,Inputs!$C$20,Inputs!$C$21)</f>
        <v>0.5</v>
      </c>
      <c r="Y16" s="18" t="n">
        <f aca="false">IF(Y7&lt;=2,Inputs!$C$20,Inputs!$C$21)</f>
        <v>0.5</v>
      </c>
      <c r="Z16" s="18" t="n">
        <f aca="false">IF(Z7&lt;=2,Inputs!$C$20,Inputs!$C$21)</f>
        <v>0.5</v>
      </c>
      <c r="AA16" s="18" t="n">
        <f aca="false">IF(AA7&lt;=2,Inputs!$C$20,Inputs!$C$21)</f>
        <v>0.5</v>
      </c>
      <c r="AB16" s="18" t="n">
        <f aca="false">IF(AB7&lt;=2,Inputs!$C$20,Inputs!$C$21)</f>
        <v>0.25</v>
      </c>
      <c r="AC16" s="18" t="n">
        <f aca="false">IF(AC7&lt;=2,Inputs!$C$20,Inputs!$C$21)</f>
        <v>0.25</v>
      </c>
      <c r="AD16" s="18" t="n">
        <f aca="false">IF(AD7&lt;=2,Inputs!$C$20,Inputs!$C$21)</f>
        <v>0.25</v>
      </c>
      <c r="AE16" s="18" t="n">
        <f aca="false">IF(AE7&lt;=2,Inputs!$C$20,Inputs!$C$21)</f>
        <v>0.25</v>
      </c>
      <c r="AF16" s="18" t="n">
        <f aca="false">IF(AF7&lt;=2,Inputs!$C$20,Inputs!$C$21)</f>
        <v>0.25</v>
      </c>
      <c r="AG16" s="18" t="n">
        <f aca="false">IF(AG7&lt;=2,Inputs!$C$20,Inputs!$C$21)</f>
        <v>0.25</v>
      </c>
      <c r="AH16" s="18" t="n">
        <f aca="false">IF(AH7&lt;=2,Inputs!$C$20,Inputs!$C$21)</f>
        <v>0.25</v>
      </c>
      <c r="AI16" s="18" t="n">
        <f aca="false">IF(AI7&lt;=2,Inputs!$C$20,Inputs!$C$21)</f>
        <v>0.25</v>
      </c>
      <c r="AJ16" s="18" t="n">
        <f aca="false">IF(AJ7&lt;=2,Inputs!$C$20,Inputs!$C$21)</f>
        <v>0.25</v>
      </c>
      <c r="AK16" s="18" t="n">
        <f aca="false">IF(AK7&lt;=2,Inputs!$C$20,Inputs!$C$21)</f>
        <v>0.25</v>
      </c>
      <c r="AL16" s="18" t="n">
        <f aca="false">IF(AL7&lt;=2,Inputs!$C$20,Inputs!$C$21)</f>
        <v>0.25</v>
      </c>
      <c r="AM16" s="18" t="n">
        <f aca="false">IF(AM7&lt;=2,Inputs!$C$20,Inputs!$C$21)</f>
        <v>0.25</v>
      </c>
      <c r="AN16" s="18" t="n">
        <f aca="false">IF(AN7&lt;=2,Inputs!$C$20,Inputs!$C$21)</f>
        <v>0.25</v>
      </c>
      <c r="AO16" s="18" t="n">
        <f aca="false">IF(AO7&lt;=2,Inputs!$C$20,Inputs!$C$21)</f>
        <v>0.25</v>
      </c>
      <c r="AP16" s="18" t="n">
        <f aca="false">IF(AP7&lt;=2,Inputs!$C$20,Inputs!$C$21)</f>
        <v>0.25</v>
      </c>
      <c r="AQ16" s="18" t="n">
        <f aca="false">IF(AQ7&lt;=2,Inputs!$C$20,Inputs!$C$21)</f>
        <v>0.25</v>
      </c>
      <c r="AR16" s="18" t="n">
        <f aca="false">IF(AR7&lt;=2,Inputs!$C$20,Inputs!$C$21)</f>
        <v>0.25</v>
      </c>
      <c r="AS16" s="18" t="n">
        <f aca="false">IF(AS7&lt;=2,Inputs!$C$20,Inputs!$C$21)</f>
        <v>0.25</v>
      </c>
      <c r="AT16" s="18" t="n">
        <f aca="false">IF(AT7&lt;=2,Inputs!$C$20,Inputs!$C$21)</f>
        <v>0.25</v>
      </c>
      <c r="AU16" s="18" t="n">
        <f aca="false">IF(AU7&lt;=2,Inputs!$C$20,Inputs!$C$21)</f>
        <v>0.25</v>
      </c>
      <c r="AV16" s="18" t="n">
        <f aca="false">IF(AV7&lt;=2,Inputs!$C$20,Inputs!$C$21)</f>
        <v>0.25</v>
      </c>
      <c r="AW16" s="18" t="n">
        <f aca="false">IF(AW7&lt;=2,Inputs!$C$20,Inputs!$C$21)</f>
        <v>0.25</v>
      </c>
      <c r="AX16" s="18" t="n">
        <f aca="false">IF(AX7&lt;=2,Inputs!$C$20,Inputs!$C$21)</f>
        <v>0.25</v>
      </c>
      <c r="AY16" s="18" t="n">
        <f aca="false">IF(AY7&lt;=2,Inputs!$C$20,Inputs!$C$21)</f>
        <v>0.25</v>
      </c>
      <c r="AZ16" s="18" t="n">
        <f aca="false">IF(AZ7&lt;=2,Inputs!$C$20,Inputs!$C$21)</f>
        <v>0.25</v>
      </c>
      <c r="BA16" s="18" t="n">
        <f aca="false">IF(BA7&lt;=2,Inputs!$C$20,Inputs!$C$21)</f>
        <v>0.25</v>
      </c>
      <c r="BB16" s="18" t="n">
        <f aca="false">IF(BB7&lt;=2,Inputs!$C$20,Inputs!$C$21)</f>
        <v>0.25</v>
      </c>
      <c r="BC16" s="18" t="n">
        <f aca="false">IF(BC7&lt;=2,Inputs!$C$20,Inputs!$C$21)</f>
        <v>0.25</v>
      </c>
      <c r="BD16" s="18" t="n">
        <f aca="false">IF(BD7&lt;=2,Inputs!$C$20,Inputs!$C$21)</f>
        <v>0.25</v>
      </c>
      <c r="BE16" s="18" t="n">
        <f aca="false">IF(BE7&lt;=2,Inputs!$C$20,Inputs!$C$21)</f>
        <v>0.25</v>
      </c>
      <c r="BF16" s="18" t="n">
        <f aca="false">IF(BF7&lt;=2,Inputs!$C$20,Inputs!$C$21)</f>
        <v>0.25</v>
      </c>
      <c r="BG16" s="18" t="n">
        <f aca="false">IF(BG7&lt;=2,Inputs!$C$20,Inputs!$C$21)</f>
        <v>0.25</v>
      </c>
      <c r="BH16" s="18" t="n">
        <f aca="false">IF(BH7&lt;=2,Inputs!$C$20,Inputs!$C$21)</f>
        <v>0.25</v>
      </c>
      <c r="BI16" s="18" t="n">
        <f aca="false">IF(BI7&lt;=2,Inputs!$C$20,Inputs!$C$21)</f>
        <v>0.25</v>
      </c>
      <c r="BJ16" s="18" t="n">
        <f aca="false">IF(BJ7&lt;=2,Inputs!$C$20,Inputs!$C$21)</f>
        <v>0.25</v>
      </c>
      <c r="BK16" s="18" t="n">
        <f aca="false">IF(BK7&lt;=2,Inputs!$C$20,Inputs!$C$21)</f>
        <v>0.25</v>
      </c>
    </row>
    <row r="17" customFormat="false" ht="15" hidden="false" customHeight="true" outlineLevel="0" collapsed="false">
      <c r="A17" s="5" t="s">
        <v>1901</v>
      </c>
      <c r="B17" s="4" t="s">
        <v>916</v>
      </c>
      <c r="D17" s="57" t="n">
        <f aca="false">D15+D16</f>
        <v>0.5</v>
      </c>
      <c r="E17" s="57" t="n">
        <f aca="false">E15+E16</f>
        <v>0.5</v>
      </c>
      <c r="F17" s="57" t="n">
        <f aca="false">F15+F16</f>
        <v>0.5</v>
      </c>
      <c r="G17" s="57" t="n">
        <f aca="false">G15+G16</f>
        <v>0.666666666666667</v>
      </c>
      <c r="H17" s="57" t="n">
        <f aca="false">H15+H16</f>
        <v>0.833333333333333</v>
      </c>
      <c r="I17" s="57" t="n">
        <f aca="false">I15+I16</f>
        <v>1</v>
      </c>
      <c r="J17" s="57" t="n">
        <f aca="false">J15+J16</f>
        <v>1.16666666666667</v>
      </c>
      <c r="K17" s="57" t="n">
        <f aca="false">K15+K16</f>
        <v>1.33333333333333</v>
      </c>
      <c r="L17" s="57" t="n">
        <f aca="false">L15+L16</f>
        <v>1.5</v>
      </c>
      <c r="M17" s="57" t="n">
        <f aca="false">M15+M16</f>
        <v>1.5</v>
      </c>
      <c r="N17" s="57" t="n">
        <f aca="false">N15+N16</f>
        <v>1.5</v>
      </c>
      <c r="O17" s="57" t="n">
        <f aca="false">O15+O16</f>
        <v>1.5</v>
      </c>
      <c r="P17" s="57" t="n">
        <f aca="false">P15+P16</f>
        <v>2</v>
      </c>
      <c r="Q17" s="57" t="n">
        <f aca="false">Q15+Q16</f>
        <v>2.5</v>
      </c>
      <c r="R17" s="57" t="n">
        <f aca="false">R15+R16</f>
        <v>3</v>
      </c>
      <c r="S17" s="57" t="n">
        <f aca="false">S15+S16</f>
        <v>3.5</v>
      </c>
      <c r="T17" s="57" t="n">
        <f aca="false">T15+T16</f>
        <v>4</v>
      </c>
      <c r="U17" s="57" t="n">
        <f aca="false">U15+U16</f>
        <v>4.5</v>
      </c>
      <c r="V17" s="57" t="n">
        <f aca="false">V15+V16</f>
        <v>4.5</v>
      </c>
      <c r="W17" s="57" t="n">
        <f aca="false">W15+W16</f>
        <v>4.5</v>
      </c>
      <c r="X17" s="57" t="n">
        <f aca="false">X15+X16</f>
        <v>4.5</v>
      </c>
      <c r="Y17" s="57" t="n">
        <f aca="false">Y15+Y16</f>
        <v>4.5</v>
      </c>
      <c r="Z17" s="57" t="n">
        <f aca="false">Z15+Z16</f>
        <v>4.5</v>
      </c>
      <c r="AA17" s="57" t="n">
        <f aca="false">AA15+AA16</f>
        <v>4.5</v>
      </c>
      <c r="AB17" s="57" t="n">
        <f aca="false">AB15+AB16</f>
        <v>5.25</v>
      </c>
      <c r="AC17" s="57" t="n">
        <f aca="false">AC15+AC16</f>
        <v>6.25</v>
      </c>
      <c r="AD17" s="57" t="n">
        <f aca="false">AD15+AD16</f>
        <v>7.25</v>
      </c>
      <c r="AE17" s="57" t="n">
        <f aca="false">AE15+AE16</f>
        <v>8.25</v>
      </c>
      <c r="AF17" s="57" t="n">
        <f aca="false">AF15+AF16</f>
        <v>9.25</v>
      </c>
      <c r="AG17" s="57" t="n">
        <f aca="false">AG15+AG16</f>
        <v>10.25</v>
      </c>
      <c r="AH17" s="57" t="n">
        <f aca="false">AH15+AH16</f>
        <v>10.25</v>
      </c>
      <c r="AI17" s="57" t="n">
        <f aca="false">AI15+AI16</f>
        <v>10.25</v>
      </c>
      <c r="AJ17" s="57" t="n">
        <f aca="false">AJ15+AJ16</f>
        <v>10.25</v>
      </c>
      <c r="AK17" s="57" t="n">
        <f aca="false">AK15+AK16</f>
        <v>10.25</v>
      </c>
      <c r="AL17" s="57" t="n">
        <f aca="false">AL15+AL16</f>
        <v>10.25</v>
      </c>
      <c r="AM17" s="57" t="n">
        <f aca="false">AM15+AM16</f>
        <v>10.25</v>
      </c>
      <c r="AN17" s="57" t="n">
        <f aca="false">AN15+AN16</f>
        <v>11.5833333333333</v>
      </c>
      <c r="AO17" s="57" t="n">
        <f aca="false">AO15+AO16</f>
        <v>12.9166666666667</v>
      </c>
      <c r="AP17" s="57" t="n">
        <f aca="false">AP15+AP16</f>
        <v>14.25</v>
      </c>
      <c r="AQ17" s="57" t="n">
        <f aca="false">AQ15+AQ16</f>
        <v>15.5833333333333</v>
      </c>
      <c r="AR17" s="57" t="n">
        <f aca="false">AR15+AR16</f>
        <v>16.9166666666667</v>
      </c>
      <c r="AS17" s="57" t="n">
        <f aca="false">AS15+AS16</f>
        <v>18.25</v>
      </c>
      <c r="AT17" s="57" t="n">
        <f aca="false">AT15+AT16</f>
        <v>18.25</v>
      </c>
      <c r="AU17" s="57" t="n">
        <f aca="false">AU15+AU16</f>
        <v>18.25</v>
      </c>
      <c r="AV17" s="57" t="n">
        <f aca="false">AV15+AV16</f>
        <v>18.25</v>
      </c>
      <c r="AW17" s="57" t="n">
        <f aca="false">AW15+AW16</f>
        <v>18.25</v>
      </c>
      <c r="AX17" s="57" t="n">
        <f aca="false">AX15+AX16</f>
        <v>18.25</v>
      </c>
      <c r="AY17" s="57" t="n">
        <f aca="false">AY15+AY16</f>
        <v>18.25</v>
      </c>
      <c r="AZ17" s="57" t="n">
        <f aca="false">AZ15+AZ16</f>
        <v>19.4166666666667</v>
      </c>
      <c r="BA17" s="57" t="n">
        <f aca="false">BA15+BA16</f>
        <v>20.5833333333333</v>
      </c>
      <c r="BB17" s="57" t="n">
        <f aca="false">BB15+BB16</f>
        <v>21.75</v>
      </c>
      <c r="BC17" s="57" t="n">
        <f aca="false">BC15+BC16</f>
        <v>22.9166666666667</v>
      </c>
      <c r="BD17" s="57" t="n">
        <f aca="false">BD15+BD16</f>
        <v>24.0833333333333</v>
      </c>
      <c r="BE17" s="57" t="n">
        <f aca="false">BE15+BE16</f>
        <v>25.25</v>
      </c>
      <c r="BF17" s="57" t="n">
        <f aca="false">BF15+BF16</f>
        <v>25.25</v>
      </c>
      <c r="BG17" s="57" t="n">
        <f aca="false">BG15+BG16</f>
        <v>25.25</v>
      </c>
      <c r="BH17" s="57" t="n">
        <f aca="false">BH15+BH16</f>
        <v>25.25</v>
      </c>
      <c r="BI17" s="57" t="n">
        <f aca="false">BI15+BI16</f>
        <v>25.25</v>
      </c>
      <c r="BJ17" s="57" t="n">
        <f aca="false">BJ15+BJ16</f>
        <v>25.25</v>
      </c>
      <c r="BK17" s="57" t="n">
        <f aca="false">BK15+BK16</f>
        <v>25.25</v>
      </c>
    </row>
    <row r="18" customFormat="false" ht="15" hidden="false" customHeight="true" outlineLevel="0" collapsed="false">
      <c r="A18" s="12" t="s">
        <v>1902</v>
      </c>
      <c r="B18" s="4" t="s">
        <v>29</v>
      </c>
      <c r="D18" s="16" t="n">
        <f aca="false">D17*Inputs!$C$22*Inputs!$C$124</f>
        <v>1.5</v>
      </c>
      <c r="E18" s="16" t="n">
        <f aca="false">E17*Inputs!$C$22*Inputs!$C$124</f>
        <v>1.5</v>
      </c>
      <c r="F18" s="16" t="n">
        <f aca="false">F17*Inputs!$C$22*Inputs!$C$124</f>
        <v>1.5</v>
      </c>
      <c r="G18" s="16" t="n">
        <f aca="false">G17*Inputs!$C$22*Inputs!$C$124</f>
        <v>2</v>
      </c>
      <c r="H18" s="16" t="n">
        <f aca="false">H17*Inputs!$C$22*Inputs!$C$124</f>
        <v>2.5</v>
      </c>
      <c r="I18" s="16" t="n">
        <f aca="false">I17*Inputs!$C$22*Inputs!$C$124</f>
        <v>3</v>
      </c>
      <c r="J18" s="16" t="n">
        <f aca="false">J17*Inputs!$C$22*Inputs!$C$124</f>
        <v>3.5</v>
      </c>
      <c r="K18" s="16" t="n">
        <f aca="false">K17*Inputs!$C$22*Inputs!$C$124</f>
        <v>4</v>
      </c>
      <c r="L18" s="16" t="n">
        <f aca="false">L17*Inputs!$C$22*Inputs!$C$124</f>
        <v>4.5</v>
      </c>
      <c r="M18" s="16" t="n">
        <f aca="false">M17*Inputs!$C$22*Inputs!$C$124</f>
        <v>4.5</v>
      </c>
      <c r="N18" s="16" t="n">
        <f aca="false">N17*Inputs!$C$22*Inputs!$C$124</f>
        <v>4.5</v>
      </c>
      <c r="O18" s="16" t="n">
        <f aca="false">O17*Inputs!$C$22*Inputs!$C$124</f>
        <v>4.5</v>
      </c>
      <c r="P18" s="16" t="n">
        <f aca="false">P17*Inputs!$C$22*Inputs!$C$124</f>
        <v>6</v>
      </c>
      <c r="Q18" s="16" t="n">
        <f aca="false">Q17*Inputs!$C$22*Inputs!$C$124</f>
        <v>7.5</v>
      </c>
      <c r="R18" s="16" t="n">
        <f aca="false">R17*Inputs!$C$22*Inputs!$C$124</f>
        <v>9</v>
      </c>
      <c r="S18" s="16" t="n">
        <f aca="false">S17*Inputs!$C$22*Inputs!$C$124</f>
        <v>10.5</v>
      </c>
      <c r="T18" s="16" t="n">
        <f aca="false">T17*Inputs!$C$22*Inputs!$C$124</f>
        <v>12</v>
      </c>
      <c r="U18" s="16" t="n">
        <f aca="false">U17*Inputs!$C$22*Inputs!$C$124</f>
        <v>13.5</v>
      </c>
      <c r="V18" s="16" t="n">
        <f aca="false">V17*Inputs!$C$22*Inputs!$C$124</f>
        <v>13.5</v>
      </c>
      <c r="W18" s="16" t="n">
        <f aca="false">W17*Inputs!$C$22*Inputs!$C$124</f>
        <v>13.5</v>
      </c>
      <c r="X18" s="16" t="n">
        <f aca="false">X17*Inputs!$C$22*Inputs!$C$124</f>
        <v>13.5</v>
      </c>
      <c r="Y18" s="16" t="n">
        <f aca="false">Y17*Inputs!$C$22*Inputs!$C$124</f>
        <v>13.5</v>
      </c>
      <c r="Z18" s="16" t="n">
        <f aca="false">Z17*Inputs!$C$22*Inputs!$C$124</f>
        <v>13.5</v>
      </c>
      <c r="AA18" s="16" t="n">
        <f aca="false">AA17*Inputs!$C$22*Inputs!$C$124</f>
        <v>13.5</v>
      </c>
      <c r="AB18" s="16" t="n">
        <f aca="false">AB17*Inputs!$C$22*Inputs!$C$124</f>
        <v>15.75</v>
      </c>
      <c r="AC18" s="16" t="n">
        <f aca="false">AC17*Inputs!$C$22*Inputs!$C$124</f>
        <v>18.75</v>
      </c>
      <c r="AD18" s="16" t="n">
        <f aca="false">AD17*Inputs!$C$22*Inputs!$C$124</f>
        <v>21.75</v>
      </c>
      <c r="AE18" s="16" t="n">
        <f aca="false">AE17*Inputs!$C$22*Inputs!$C$124</f>
        <v>24.75</v>
      </c>
      <c r="AF18" s="16" t="n">
        <f aca="false">AF17*Inputs!$C$22*Inputs!$C$124</f>
        <v>27.75</v>
      </c>
      <c r="AG18" s="16" t="n">
        <f aca="false">AG17*Inputs!$C$22*Inputs!$C$124</f>
        <v>30.75</v>
      </c>
      <c r="AH18" s="16" t="n">
        <f aca="false">AH17*Inputs!$C$22*Inputs!$C$124</f>
        <v>30.75</v>
      </c>
      <c r="AI18" s="16" t="n">
        <f aca="false">AI17*Inputs!$C$22*Inputs!$C$124</f>
        <v>30.75</v>
      </c>
      <c r="AJ18" s="16" t="n">
        <f aca="false">AJ17*Inputs!$C$22*Inputs!$C$124</f>
        <v>30.75</v>
      </c>
      <c r="AK18" s="16" t="n">
        <f aca="false">AK17*Inputs!$C$22*Inputs!$C$124</f>
        <v>30.75</v>
      </c>
      <c r="AL18" s="16" t="n">
        <f aca="false">AL17*Inputs!$C$22*Inputs!$C$124</f>
        <v>30.75</v>
      </c>
      <c r="AM18" s="16" t="n">
        <f aca="false">AM17*Inputs!$C$22*Inputs!$C$124</f>
        <v>30.75</v>
      </c>
      <c r="AN18" s="16" t="n">
        <f aca="false">AN17*Inputs!$C$22*Inputs!$C$124</f>
        <v>34.75</v>
      </c>
      <c r="AO18" s="16" t="n">
        <f aca="false">AO17*Inputs!$C$22*Inputs!$C$124</f>
        <v>38.75</v>
      </c>
      <c r="AP18" s="16" t="n">
        <f aca="false">AP17*Inputs!$C$22*Inputs!$C$124</f>
        <v>42.75</v>
      </c>
      <c r="AQ18" s="16" t="n">
        <f aca="false">AQ17*Inputs!$C$22*Inputs!$C$124</f>
        <v>46.75</v>
      </c>
      <c r="AR18" s="16" t="n">
        <f aca="false">AR17*Inputs!$C$22*Inputs!$C$124</f>
        <v>50.75</v>
      </c>
      <c r="AS18" s="16" t="n">
        <f aca="false">AS17*Inputs!$C$22*Inputs!$C$124</f>
        <v>54.75</v>
      </c>
      <c r="AT18" s="16" t="n">
        <f aca="false">AT17*Inputs!$C$22*Inputs!$C$124</f>
        <v>54.75</v>
      </c>
      <c r="AU18" s="16" t="n">
        <f aca="false">AU17*Inputs!$C$22*Inputs!$C$124</f>
        <v>54.75</v>
      </c>
      <c r="AV18" s="16" t="n">
        <f aca="false">AV17*Inputs!$C$22*Inputs!$C$124</f>
        <v>54.75</v>
      </c>
      <c r="AW18" s="16" t="n">
        <f aca="false">AW17*Inputs!$C$22*Inputs!$C$124</f>
        <v>54.75</v>
      </c>
      <c r="AX18" s="16" t="n">
        <f aca="false">AX17*Inputs!$C$22*Inputs!$C$124</f>
        <v>54.75</v>
      </c>
      <c r="AY18" s="16" t="n">
        <f aca="false">AY17*Inputs!$C$22*Inputs!$C$124</f>
        <v>54.75</v>
      </c>
      <c r="AZ18" s="16" t="n">
        <f aca="false">AZ17*Inputs!$C$22*Inputs!$C$124</f>
        <v>58.25</v>
      </c>
      <c r="BA18" s="16" t="n">
        <f aca="false">BA17*Inputs!$C$22*Inputs!$C$124</f>
        <v>61.75</v>
      </c>
      <c r="BB18" s="16" t="n">
        <f aca="false">BB17*Inputs!$C$22*Inputs!$C$124</f>
        <v>65.25</v>
      </c>
      <c r="BC18" s="16" t="n">
        <f aca="false">BC17*Inputs!$C$22*Inputs!$C$124</f>
        <v>68.75</v>
      </c>
      <c r="BD18" s="16" t="n">
        <f aca="false">BD17*Inputs!$C$22*Inputs!$C$124</f>
        <v>72.25</v>
      </c>
      <c r="BE18" s="16" t="n">
        <f aca="false">BE17*Inputs!$C$22*Inputs!$C$124</f>
        <v>75.75</v>
      </c>
      <c r="BF18" s="16" t="n">
        <f aca="false">BF17*Inputs!$C$22*Inputs!$C$124</f>
        <v>75.75</v>
      </c>
      <c r="BG18" s="16" t="n">
        <f aca="false">BG17*Inputs!$C$22*Inputs!$C$124</f>
        <v>75.75</v>
      </c>
      <c r="BH18" s="16" t="n">
        <f aca="false">BH17*Inputs!$C$22*Inputs!$C$124</f>
        <v>75.75</v>
      </c>
      <c r="BI18" s="16" t="n">
        <f aca="false">BI17*Inputs!$C$22*Inputs!$C$124</f>
        <v>75.75</v>
      </c>
      <c r="BJ18" s="16" t="n">
        <f aca="false">BJ17*Inputs!$C$22*Inputs!$C$124</f>
        <v>75.75</v>
      </c>
      <c r="BK18" s="16" t="n">
        <f aca="false">BK17*Inputs!$C$22*Inputs!$C$124</f>
        <v>75.75</v>
      </c>
    </row>
    <row r="19" customFormat="false" ht="15" hidden="false" customHeight="true" outlineLevel="0" collapsed="false">
      <c r="A19" s="12" t="s">
        <v>1903</v>
      </c>
      <c r="B19" s="4" t="s">
        <v>29</v>
      </c>
      <c r="D19" s="16" t="n">
        <f aca="false">INDEX(Inputs!$C$135:$G$135,1,D7)*Inputs!$C$30*Inputs!$C$124</f>
        <v>0</v>
      </c>
      <c r="E19" s="16" t="n">
        <f aca="false">INDEX(Inputs!$C$135:$G$135,1,E7)*Inputs!$C$30*Inputs!$C$124</f>
        <v>0</v>
      </c>
      <c r="F19" s="16" t="n">
        <f aca="false">INDEX(Inputs!$C$135:$G$135,1,F7)*Inputs!$C$30*Inputs!$C$124</f>
        <v>0</v>
      </c>
      <c r="G19" s="16" t="n">
        <f aca="false">INDEX(Inputs!$C$135:$G$135,1,G7)*Inputs!$C$30*Inputs!$C$124</f>
        <v>0</v>
      </c>
      <c r="H19" s="16" t="n">
        <f aca="false">INDEX(Inputs!$C$135:$G$135,1,H7)*Inputs!$C$30*Inputs!$C$124</f>
        <v>0</v>
      </c>
      <c r="I19" s="16" t="n">
        <f aca="false">INDEX(Inputs!$C$135:$G$135,1,I7)*Inputs!$C$30*Inputs!$C$124</f>
        <v>0</v>
      </c>
      <c r="J19" s="16" t="n">
        <f aca="false">INDEX(Inputs!$C$135:$G$135,1,J7)*Inputs!$C$30*Inputs!$C$124</f>
        <v>0</v>
      </c>
      <c r="K19" s="16" t="n">
        <f aca="false">INDEX(Inputs!$C$135:$G$135,1,K7)*Inputs!$C$30*Inputs!$C$124</f>
        <v>0</v>
      </c>
      <c r="L19" s="16" t="n">
        <f aca="false">INDEX(Inputs!$C$135:$G$135,1,L7)*Inputs!$C$30*Inputs!$C$124</f>
        <v>0</v>
      </c>
      <c r="M19" s="16" t="n">
        <f aca="false">INDEX(Inputs!$C$135:$G$135,1,M7)*Inputs!$C$30*Inputs!$C$124</f>
        <v>0</v>
      </c>
      <c r="N19" s="16" t="n">
        <f aca="false">INDEX(Inputs!$C$135:$G$135,1,N7)*Inputs!$C$30*Inputs!$C$124</f>
        <v>0</v>
      </c>
      <c r="O19" s="16" t="n">
        <f aca="false">INDEX(Inputs!$C$135:$G$135,1,O7)*Inputs!$C$30*Inputs!$C$124</f>
        <v>0</v>
      </c>
      <c r="P19" s="16" t="n">
        <f aca="false">INDEX(Inputs!$C$135:$G$135,1,P7)*Inputs!$C$30*Inputs!$C$124</f>
        <v>8.415056</v>
      </c>
      <c r="Q19" s="16" t="n">
        <f aca="false">INDEX(Inputs!$C$135:$G$135,1,Q7)*Inputs!$C$30*Inputs!$C$124</f>
        <v>8.415056</v>
      </c>
      <c r="R19" s="16" t="n">
        <f aca="false">INDEX(Inputs!$C$135:$G$135,1,R7)*Inputs!$C$30*Inputs!$C$124</f>
        <v>8.415056</v>
      </c>
      <c r="S19" s="16" t="n">
        <f aca="false">INDEX(Inputs!$C$135:$G$135,1,S7)*Inputs!$C$30*Inputs!$C$124</f>
        <v>8.415056</v>
      </c>
      <c r="T19" s="16" t="n">
        <f aca="false">INDEX(Inputs!$C$135:$G$135,1,T7)*Inputs!$C$30*Inputs!$C$124</f>
        <v>8.415056</v>
      </c>
      <c r="U19" s="16" t="n">
        <f aca="false">INDEX(Inputs!$C$135:$G$135,1,U7)*Inputs!$C$30*Inputs!$C$124</f>
        <v>8.415056</v>
      </c>
      <c r="V19" s="16" t="n">
        <f aca="false">INDEX(Inputs!$C$135:$G$135,1,V7)*Inputs!$C$30*Inputs!$C$124</f>
        <v>8.415056</v>
      </c>
      <c r="W19" s="16" t="n">
        <f aca="false">INDEX(Inputs!$C$135:$G$135,1,W7)*Inputs!$C$30*Inputs!$C$124</f>
        <v>8.415056</v>
      </c>
      <c r="X19" s="16" t="n">
        <f aca="false">INDEX(Inputs!$C$135:$G$135,1,X7)*Inputs!$C$30*Inputs!$C$124</f>
        <v>8.415056</v>
      </c>
      <c r="Y19" s="16" t="n">
        <f aca="false">INDEX(Inputs!$C$135:$G$135,1,Y7)*Inputs!$C$30*Inputs!$C$124</f>
        <v>8.415056</v>
      </c>
      <c r="Z19" s="16" t="n">
        <f aca="false">INDEX(Inputs!$C$135:$G$135,1,Z7)*Inputs!$C$30*Inputs!$C$124</f>
        <v>8.415056</v>
      </c>
      <c r="AA19" s="16" t="n">
        <f aca="false">INDEX(Inputs!$C$135:$G$135,1,AA7)*Inputs!$C$30*Inputs!$C$124</f>
        <v>8.415056</v>
      </c>
      <c r="AB19" s="16" t="n">
        <f aca="false">INDEX(Inputs!$C$135:$G$135,1,AB7)*Inputs!$C$30*Inputs!$C$124</f>
        <v>25.245168</v>
      </c>
      <c r="AC19" s="16" t="n">
        <f aca="false">INDEX(Inputs!$C$135:$G$135,1,AC7)*Inputs!$C$30*Inputs!$C$124</f>
        <v>25.245168</v>
      </c>
      <c r="AD19" s="16" t="n">
        <f aca="false">INDEX(Inputs!$C$135:$G$135,1,AD7)*Inputs!$C$30*Inputs!$C$124</f>
        <v>25.245168</v>
      </c>
      <c r="AE19" s="16" t="n">
        <f aca="false">INDEX(Inputs!$C$135:$G$135,1,AE7)*Inputs!$C$30*Inputs!$C$124</f>
        <v>25.245168</v>
      </c>
      <c r="AF19" s="16" t="n">
        <f aca="false">INDEX(Inputs!$C$135:$G$135,1,AF7)*Inputs!$C$30*Inputs!$C$124</f>
        <v>25.245168</v>
      </c>
      <c r="AG19" s="16" t="n">
        <f aca="false">INDEX(Inputs!$C$135:$G$135,1,AG7)*Inputs!$C$30*Inputs!$C$124</f>
        <v>25.245168</v>
      </c>
      <c r="AH19" s="16" t="n">
        <f aca="false">INDEX(Inputs!$C$135:$G$135,1,AH7)*Inputs!$C$30*Inputs!$C$124</f>
        <v>25.245168</v>
      </c>
      <c r="AI19" s="16" t="n">
        <f aca="false">INDEX(Inputs!$C$135:$G$135,1,AI7)*Inputs!$C$30*Inputs!$C$124</f>
        <v>25.245168</v>
      </c>
      <c r="AJ19" s="16" t="n">
        <f aca="false">INDEX(Inputs!$C$135:$G$135,1,AJ7)*Inputs!$C$30*Inputs!$C$124</f>
        <v>25.245168</v>
      </c>
      <c r="AK19" s="16" t="n">
        <f aca="false">INDEX(Inputs!$C$135:$G$135,1,AK7)*Inputs!$C$30*Inputs!$C$124</f>
        <v>25.245168</v>
      </c>
      <c r="AL19" s="16" t="n">
        <f aca="false">INDEX(Inputs!$C$135:$G$135,1,AL7)*Inputs!$C$30*Inputs!$C$124</f>
        <v>25.245168</v>
      </c>
      <c r="AM19" s="16" t="n">
        <f aca="false">INDEX(Inputs!$C$135:$G$135,1,AM7)*Inputs!$C$30*Inputs!$C$124</f>
        <v>25.245168</v>
      </c>
      <c r="AN19" s="16" t="n">
        <f aca="false">INDEX(Inputs!$C$135:$G$135,1,AN7)*Inputs!$C$30*Inputs!$C$124</f>
        <v>42.07528</v>
      </c>
      <c r="AO19" s="16" t="n">
        <f aca="false">INDEX(Inputs!$C$135:$G$135,1,AO7)*Inputs!$C$30*Inputs!$C$124</f>
        <v>42.07528</v>
      </c>
      <c r="AP19" s="16" t="n">
        <f aca="false">INDEX(Inputs!$C$135:$G$135,1,AP7)*Inputs!$C$30*Inputs!$C$124</f>
        <v>42.07528</v>
      </c>
      <c r="AQ19" s="16" t="n">
        <f aca="false">INDEX(Inputs!$C$135:$G$135,1,AQ7)*Inputs!$C$30*Inputs!$C$124</f>
        <v>42.07528</v>
      </c>
      <c r="AR19" s="16" t="n">
        <f aca="false">INDEX(Inputs!$C$135:$G$135,1,AR7)*Inputs!$C$30*Inputs!$C$124</f>
        <v>42.07528</v>
      </c>
      <c r="AS19" s="16" t="n">
        <f aca="false">INDEX(Inputs!$C$135:$G$135,1,AS7)*Inputs!$C$30*Inputs!$C$124</f>
        <v>42.07528</v>
      </c>
      <c r="AT19" s="16" t="n">
        <f aca="false">INDEX(Inputs!$C$135:$G$135,1,AT7)*Inputs!$C$30*Inputs!$C$124</f>
        <v>42.07528</v>
      </c>
      <c r="AU19" s="16" t="n">
        <f aca="false">INDEX(Inputs!$C$135:$G$135,1,AU7)*Inputs!$C$30*Inputs!$C$124</f>
        <v>42.07528</v>
      </c>
      <c r="AV19" s="16" t="n">
        <f aca="false">INDEX(Inputs!$C$135:$G$135,1,AV7)*Inputs!$C$30*Inputs!$C$124</f>
        <v>42.07528</v>
      </c>
      <c r="AW19" s="16" t="n">
        <f aca="false">INDEX(Inputs!$C$135:$G$135,1,AW7)*Inputs!$C$30*Inputs!$C$124</f>
        <v>42.07528</v>
      </c>
      <c r="AX19" s="16" t="n">
        <f aca="false">INDEX(Inputs!$C$135:$G$135,1,AX7)*Inputs!$C$30*Inputs!$C$124</f>
        <v>42.07528</v>
      </c>
      <c r="AY19" s="16" t="n">
        <f aca="false">INDEX(Inputs!$C$135:$G$135,1,AY7)*Inputs!$C$30*Inputs!$C$124</f>
        <v>42.07528</v>
      </c>
      <c r="AZ19" s="16" t="n">
        <f aca="false">INDEX(Inputs!$C$135:$G$135,1,AZ7)*Inputs!$C$30*Inputs!$C$124</f>
        <v>58.905392</v>
      </c>
      <c r="BA19" s="16" t="n">
        <f aca="false">INDEX(Inputs!$C$135:$G$135,1,BA7)*Inputs!$C$30*Inputs!$C$124</f>
        <v>58.905392</v>
      </c>
      <c r="BB19" s="16" t="n">
        <f aca="false">INDEX(Inputs!$C$135:$G$135,1,BB7)*Inputs!$C$30*Inputs!$C$124</f>
        <v>58.905392</v>
      </c>
      <c r="BC19" s="16" t="n">
        <f aca="false">INDEX(Inputs!$C$135:$G$135,1,BC7)*Inputs!$C$30*Inputs!$C$124</f>
        <v>58.905392</v>
      </c>
      <c r="BD19" s="16" t="n">
        <f aca="false">INDEX(Inputs!$C$135:$G$135,1,BD7)*Inputs!$C$30*Inputs!$C$124</f>
        <v>58.905392</v>
      </c>
      <c r="BE19" s="16" t="n">
        <f aca="false">INDEX(Inputs!$C$135:$G$135,1,BE7)*Inputs!$C$30*Inputs!$C$124</f>
        <v>58.905392</v>
      </c>
      <c r="BF19" s="16" t="n">
        <f aca="false">INDEX(Inputs!$C$135:$G$135,1,BF7)*Inputs!$C$30*Inputs!$C$124</f>
        <v>58.905392</v>
      </c>
      <c r="BG19" s="16" t="n">
        <f aca="false">INDEX(Inputs!$C$135:$G$135,1,BG7)*Inputs!$C$30*Inputs!$C$124</f>
        <v>58.905392</v>
      </c>
      <c r="BH19" s="16" t="n">
        <f aca="false">INDEX(Inputs!$C$135:$G$135,1,BH7)*Inputs!$C$30*Inputs!$C$124</f>
        <v>58.905392</v>
      </c>
      <c r="BI19" s="16" t="n">
        <f aca="false">INDEX(Inputs!$C$135:$G$135,1,BI7)*Inputs!$C$30*Inputs!$C$124</f>
        <v>58.905392</v>
      </c>
      <c r="BJ19" s="16" t="n">
        <f aca="false">INDEX(Inputs!$C$135:$G$135,1,BJ7)*Inputs!$C$30*Inputs!$C$124</f>
        <v>58.905392</v>
      </c>
      <c r="BK19" s="16" t="n">
        <f aca="false">INDEX(Inputs!$C$135:$G$135,1,BK7)*Inputs!$C$30*Inputs!$C$124</f>
        <v>58.905392</v>
      </c>
    </row>
    <row r="20" customFormat="false" ht="15" hidden="false" customHeight="true" outlineLevel="0" collapsed="false">
      <c r="A20" s="5" t="s">
        <v>1904</v>
      </c>
      <c r="B20" s="4" t="s">
        <v>29</v>
      </c>
      <c r="D20" s="52" t="n">
        <f aca="false">D18+D19</f>
        <v>1.5</v>
      </c>
      <c r="E20" s="52" t="n">
        <f aca="false">E18+E19</f>
        <v>1.5</v>
      </c>
      <c r="F20" s="52" t="n">
        <f aca="false">F18+F19</f>
        <v>1.5</v>
      </c>
      <c r="G20" s="52" t="n">
        <f aca="false">G18+G19</f>
        <v>2</v>
      </c>
      <c r="H20" s="52" t="n">
        <f aca="false">H18+H19</f>
        <v>2.5</v>
      </c>
      <c r="I20" s="52" t="n">
        <f aca="false">I18+I19</f>
        <v>3</v>
      </c>
      <c r="J20" s="52" t="n">
        <f aca="false">J18+J19</f>
        <v>3.5</v>
      </c>
      <c r="K20" s="52" t="n">
        <f aca="false">K18+K19</f>
        <v>4</v>
      </c>
      <c r="L20" s="52" t="n">
        <f aca="false">L18+L19</f>
        <v>4.5</v>
      </c>
      <c r="M20" s="52" t="n">
        <f aca="false">M18+M19</f>
        <v>4.5</v>
      </c>
      <c r="N20" s="52" t="n">
        <f aca="false">N18+N19</f>
        <v>4.5</v>
      </c>
      <c r="O20" s="52" t="n">
        <f aca="false">O18+O19</f>
        <v>4.5</v>
      </c>
      <c r="P20" s="52" t="n">
        <f aca="false">P18+P19</f>
        <v>14.415056</v>
      </c>
      <c r="Q20" s="52" t="n">
        <f aca="false">Q18+Q19</f>
        <v>15.915056</v>
      </c>
      <c r="R20" s="52" t="n">
        <f aca="false">R18+R19</f>
        <v>17.415056</v>
      </c>
      <c r="S20" s="52" t="n">
        <f aca="false">S18+S19</f>
        <v>18.915056</v>
      </c>
      <c r="T20" s="52" t="n">
        <f aca="false">T18+T19</f>
        <v>20.415056</v>
      </c>
      <c r="U20" s="52" t="n">
        <f aca="false">U18+U19</f>
        <v>21.915056</v>
      </c>
      <c r="V20" s="52" t="n">
        <f aca="false">V18+V19</f>
        <v>21.915056</v>
      </c>
      <c r="W20" s="52" t="n">
        <f aca="false">W18+W19</f>
        <v>21.915056</v>
      </c>
      <c r="X20" s="52" t="n">
        <f aca="false">X18+X19</f>
        <v>21.915056</v>
      </c>
      <c r="Y20" s="52" t="n">
        <f aca="false">Y18+Y19</f>
        <v>21.915056</v>
      </c>
      <c r="Z20" s="52" t="n">
        <f aca="false">Z18+Z19</f>
        <v>21.915056</v>
      </c>
      <c r="AA20" s="52" t="n">
        <f aca="false">AA18+AA19</f>
        <v>21.915056</v>
      </c>
      <c r="AB20" s="52" t="n">
        <f aca="false">AB18+AB19</f>
        <v>40.995168</v>
      </c>
      <c r="AC20" s="52" t="n">
        <f aca="false">AC18+AC19</f>
        <v>43.995168</v>
      </c>
      <c r="AD20" s="52" t="n">
        <f aca="false">AD18+AD19</f>
        <v>46.995168</v>
      </c>
      <c r="AE20" s="52" t="n">
        <f aca="false">AE18+AE19</f>
        <v>49.995168</v>
      </c>
      <c r="AF20" s="52" t="n">
        <f aca="false">AF18+AF19</f>
        <v>52.995168</v>
      </c>
      <c r="AG20" s="52" t="n">
        <f aca="false">AG18+AG19</f>
        <v>55.995168</v>
      </c>
      <c r="AH20" s="52" t="n">
        <f aca="false">AH18+AH19</f>
        <v>55.995168</v>
      </c>
      <c r="AI20" s="52" t="n">
        <f aca="false">AI18+AI19</f>
        <v>55.995168</v>
      </c>
      <c r="AJ20" s="52" t="n">
        <f aca="false">AJ18+AJ19</f>
        <v>55.995168</v>
      </c>
      <c r="AK20" s="52" t="n">
        <f aca="false">AK18+AK19</f>
        <v>55.995168</v>
      </c>
      <c r="AL20" s="52" t="n">
        <f aca="false">AL18+AL19</f>
        <v>55.995168</v>
      </c>
      <c r="AM20" s="52" t="n">
        <f aca="false">AM18+AM19</f>
        <v>55.995168</v>
      </c>
      <c r="AN20" s="52" t="n">
        <f aca="false">AN18+AN19</f>
        <v>76.82528</v>
      </c>
      <c r="AO20" s="52" t="n">
        <f aca="false">AO18+AO19</f>
        <v>80.82528</v>
      </c>
      <c r="AP20" s="52" t="n">
        <f aca="false">AP18+AP19</f>
        <v>84.82528</v>
      </c>
      <c r="AQ20" s="52" t="n">
        <f aca="false">AQ18+AQ19</f>
        <v>88.82528</v>
      </c>
      <c r="AR20" s="52" t="n">
        <f aca="false">AR18+AR19</f>
        <v>92.82528</v>
      </c>
      <c r="AS20" s="52" t="n">
        <f aca="false">AS18+AS19</f>
        <v>96.82528</v>
      </c>
      <c r="AT20" s="52" t="n">
        <f aca="false">AT18+AT19</f>
        <v>96.82528</v>
      </c>
      <c r="AU20" s="52" t="n">
        <f aca="false">AU18+AU19</f>
        <v>96.82528</v>
      </c>
      <c r="AV20" s="52" t="n">
        <f aca="false">AV18+AV19</f>
        <v>96.82528</v>
      </c>
      <c r="AW20" s="52" t="n">
        <f aca="false">AW18+AW19</f>
        <v>96.82528</v>
      </c>
      <c r="AX20" s="52" t="n">
        <f aca="false">AX18+AX19</f>
        <v>96.82528</v>
      </c>
      <c r="AY20" s="52" t="n">
        <f aca="false">AY18+AY19</f>
        <v>96.82528</v>
      </c>
      <c r="AZ20" s="52" t="n">
        <f aca="false">AZ18+AZ19</f>
        <v>117.155392</v>
      </c>
      <c r="BA20" s="52" t="n">
        <f aca="false">BA18+BA19</f>
        <v>120.655392</v>
      </c>
      <c r="BB20" s="52" t="n">
        <f aca="false">BB18+BB19</f>
        <v>124.155392</v>
      </c>
      <c r="BC20" s="52" t="n">
        <f aca="false">BC18+BC19</f>
        <v>127.655392</v>
      </c>
      <c r="BD20" s="52" t="n">
        <f aca="false">BD18+BD19</f>
        <v>131.155392</v>
      </c>
      <c r="BE20" s="52" t="n">
        <f aca="false">BE18+BE19</f>
        <v>134.655392</v>
      </c>
      <c r="BF20" s="52" t="n">
        <f aca="false">BF18+BF19</f>
        <v>134.655392</v>
      </c>
      <c r="BG20" s="52" t="n">
        <f aca="false">BG18+BG19</f>
        <v>134.655392</v>
      </c>
      <c r="BH20" s="52" t="n">
        <f aca="false">BH18+BH19</f>
        <v>134.655392</v>
      </c>
      <c r="BI20" s="52" t="n">
        <f aca="false">BI18+BI19</f>
        <v>134.655392</v>
      </c>
      <c r="BJ20" s="52" t="n">
        <f aca="false">BJ18+BJ19</f>
        <v>134.655392</v>
      </c>
      <c r="BK20" s="52" t="n">
        <f aca="false">BK18+BK19</f>
        <v>134.655392</v>
      </c>
    </row>
    <row r="21" customFormat="false" ht="15" hidden="false" customHeight="true" outlineLevel="0" collapsed="false">
      <c r="A21" s="12" t="s">
        <v>1905</v>
      </c>
      <c r="B21" s="4" t="s">
        <v>29</v>
      </c>
      <c r="D21" s="16" t="n">
        <f aca="false">D20/Inputs!$C$23</f>
        <v>7.5</v>
      </c>
      <c r="E21" s="16" t="n">
        <f aca="false">E20/Inputs!$C$23</f>
        <v>7.5</v>
      </c>
      <c r="F21" s="16" t="n">
        <f aca="false">F20/Inputs!$C$23</f>
        <v>7.5</v>
      </c>
      <c r="G21" s="16" t="n">
        <f aca="false">G20/Inputs!$C$23</f>
        <v>10</v>
      </c>
      <c r="H21" s="16" t="n">
        <f aca="false">H20/Inputs!$C$23</f>
        <v>12.5</v>
      </c>
      <c r="I21" s="16" t="n">
        <f aca="false">I20/Inputs!$C$23</f>
        <v>15</v>
      </c>
      <c r="J21" s="16" t="n">
        <f aca="false">J20/Inputs!$C$23</f>
        <v>17.5</v>
      </c>
      <c r="K21" s="16" t="n">
        <f aca="false">K20/Inputs!$C$23</f>
        <v>20</v>
      </c>
      <c r="L21" s="16" t="n">
        <f aca="false">L20/Inputs!$C$23</f>
        <v>22.5</v>
      </c>
      <c r="M21" s="16" t="n">
        <f aca="false">M20/Inputs!$C$23</f>
        <v>22.5</v>
      </c>
      <c r="N21" s="16" t="n">
        <f aca="false">N20/Inputs!$C$23</f>
        <v>22.5</v>
      </c>
      <c r="O21" s="16" t="n">
        <f aca="false">O20/Inputs!$C$23</f>
        <v>22.5</v>
      </c>
      <c r="P21" s="16" t="n">
        <f aca="false">P20/Inputs!$C$23</f>
        <v>72.07528</v>
      </c>
      <c r="Q21" s="16" t="n">
        <f aca="false">Q20/Inputs!$C$23</f>
        <v>79.57528</v>
      </c>
      <c r="R21" s="16" t="n">
        <f aca="false">R20/Inputs!$C$23</f>
        <v>87.07528</v>
      </c>
      <c r="S21" s="16" t="n">
        <f aca="false">S20/Inputs!$C$23</f>
        <v>94.57528</v>
      </c>
      <c r="T21" s="16" t="n">
        <f aca="false">T20/Inputs!$C$23</f>
        <v>102.07528</v>
      </c>
      <c r="U21" s="16" t="n">
        <f aca="false">U20/Inputs!$C$23</f>
        <v>109.57528</v>
      </c>
      <c r="V21" s="16" t="n">
        <f aca="false">V20/Inputs!$C$23</f>
        <v>109.57528</v>
      </c>
      <c r="W21" s="16" t="n">
        <f aca="false">W20/Inputs!$C$23</f>
        <v>109.57528</v>
      </c>
      <c r="X21" s="16" t="n">
        <f aca="false">X20/Inputs!$C$23</f>
        <v>109.57528</v>
      </c>
      <c r="Y21" s="16" t="n">
        <f aca="false">Y20/Inputs!$C$23</f>
        <v>109.57528</v>
      </c>
      <c r="Z21" s="16" t="n">
        <f aca="false">Z20/Inputs!$C$23</f>
        <v>109.57528</v>
      </c>
      <c r="AA21" s="16" t="n">
        <f aca="false">AA20/Inputs!$C$23</f>
        <v>109.57528</v>
      </c>
      <c r="AB21" s="16" t="n">
        <f aca="false">AB20/Inputs!$C$23</f>
        <v>204.97584</v>
      </c>
      <c r="AC21" s="16" t="n">
        <f aca="false">AC20/Inputs!$C$23</f>
        <v>219.97584</v>
      </c>
      <c r="AD21" s="16" t="n">
        <f aca="false">AD20/Inputs!$C$23</f>
        <v>234.97584</v>
      </c>
      <c r="AE21" s="16" t="n">
        <f aca="false">AE20/Inputs!$C$23</f>
        <v>249.97584</v>
      </c>
      <c r="AF21" s="16" t="n">
        <f aca="false">AF20/Inputs!$C$23</f>
        <v>264.97584</v>
      </c>
      <c r="AG21" s="16" t="n">
        <f aca="false">AG20/Inputs!$C$23</f>
        <v>279.97584</v>
      </c>
      <c r="AH21" s="16" t="n">
        <f aca="false">AH20/Inputs!$C$23</f>
        <v>279.97584</v>
      </c>
      <c r="AI21" s="16" t="n">
        <f aca="false">AI20/Inputs!$C$23</f>
        <v>279.97584</v>
      </c>
      <c r="AJ21" s="16" t="n">
        <f aca="false">AJ20/Inputs!$C$23</f>
        <v>279.97584</v>
      </c>
      <c r="AK21" s="16" t="n">
        <f aca="false">AK20/Inputs!$C$23</f>
        <v>279.97584</v>
      </c>
      <c r="AL21" s="16" t="n">
        <f aca="false">AL20/Inputs!$C$23</f>
        <v>279.97584</v>
      </c>
      <c r="AM21" s="16" t="n">
        <f aca="false">AM20/Inputs!$C$23</f>
        <v>279.97584</v>
      </c>
      <c r="AN21" s="16" t="n">
        <f aca="false">AN20/Inputs!$C$23</f>
        <v>384.1264</v>
      </c>
      <c r="AO21" s="16" t="n">
        <f aca="false">AO20/Inputs!$C$23</f>
        <v>404.1264</v>
      </c>
      <c r="AP21" s="16" t="n">
        <f aca="false">AP20/Inputs!$C$23</f>
        <v>424.1264</v>
      </c>
      <c r="AQ21" s="16" t="n">
        <f aca="false">AQ20/Inputs!$C$23</f>
        <v>444.1264</v>
      </c>
      <c r="AR21" s="16" t="n">
        <f aca="false">AR20/Inputs!$C$23</f>
        <v>464.1264</v>
      </c>
      <c r="AS21" s="16" t="n">
        <f aca="false">AS20/Inputs!$C$23</f>
        <v>484.1264</v>
      </c>
      <c r="AT21" s="16" t="n">
        <f aca="false">AT20/Inputs!$C$23</f>
        <v>484.1264</v>
      </c>
      <c r="AU21" s="16" t="n">
        <f aca="false">AU20/Inputs!$C$23</f>
        <v>484.1264</v>
      </c>
      <c r="AV21" s="16" t="n">
        <f aca="false">AV20/Inputs!$C$23</f>
        <v>484.1264</v>
      </c>
      <c r="AW21" s="16" t="n">
        <f aca="false">AW20/Inputs!$C$23</f>
        <v>484.1264</v>
      </c>
      <c r="AX21" s="16" t="n">
        <f aca="false">AX20/Inputs!$C$23</f>
        <v>484.1264</v>
      </c>
      <c r="AY21" s="16" t="n">
        <f aca="false">AY20/Inputs!$C$23</f>
        <v>484.1264</v>
      </c>
      <c r="AZ21" s="16" t="n">
        <f aca="false">AZ20/Inputs!$C$23</f>
        <v>585.77696</v>
      </c>
      <c r="BA21" s="16" t="n">
        <f aca="false">BA20/Inputs!$C$23</f>
        <v>603.27696</v>
      </c>
      <c r="BB21" s="16" t="n">
        <f aca="false">BB20/Inputs!$C$23</f>
        <v>620.77696</v>
      </c>
      <c r="BC21" s="16" t="n">
        <f aca="false">BC20/Inputs!$C$23</f>
        <v>638.27696</v>
      </c>
      <c r="BD21" s="16" t="n">
        <f aca="false">BD20/Inputs!$C$23</f>
        <v>655.77696</v>
      </c>
      <c r="BE21" s="16" t="n">
        <f aca="false">BE20/Inputs!$C$23</f>
        <v>673.27696</v>
      </c>
      <c r="BF21" s="16" t="n">
        <f aca="false">BF20/Inputs!$C$23</f>
        <v>673.27696</v>
      </c>
      <c r="BG21" s="16" t="n">
        <f aca="false">BG20/Inputs!$C$23</f>
        <v>673.27696</v>
      </c>
      <c r="BH21" s="16" t="n">
        <f aca="false">BH20/Inputs!$C$23</f>
        <v>673.27696</v>
      </c>
      <c r="BI21" s="16" t="n">
        <f aca="false">BI20/Inputs!$C$23</f>
        <v>673.27696</v>
      </c>
      <c r="BJ21" s="16" t="n">
        <f aca="false">BJ20/Inputs!$C$23</f>
        <v>673.27696</v>
      </c>
      <c r="BK21" s="16" t="n">
        <f aca="false">BK20/Inputs!$C$23</f>
        <v>673.27696</v>
      </c>
    </row>
    <row r="22" customFormat="false" ht="15" hidden="false" customHeight="true" outlineLevel="0" collapsed="false">
      <c r="A22" s="12" t="s">
        <v>1906</v>
      </c>
      <c r="B22" s="4" t="s">
        <v>29</v>
      </c>
      <c r="D22" s="16" t="n">
        <f aca="false">D21/Inputs!$C$24</f>
        <v>30</v>
      </c>
      <c r="E22" s="16" t="n">
        <f aca="false">E21/Inputs!$C$24</f>
        <v>30</v>
      </c>
      <c r="F22" s="16" t="n">
        <f aca="false">F21/Inputs!$C$24</f>
        <v>30</v>
      </c>
      <c r="G22" s="16" t="n">
        <f aca="false">G21/Inputs!$C$24</f>
        <v>40</v>
      </c>
      <c r="H22" s="16" t="n">
        <f aca="false">H21/Inputs!$C$24</f>
        <v>50</v>
      </c>
      <c r="I22" s="16" t="n">
        <f aca="false">I21/Inputs!$C$24</f>
        <v>60</v>
      </c>
      <c r="J22" s="16" t="n">
        <f aca="false">J21/Inputs!$C$24</f>
        <v>70</v>
      </c>
      <c r="K22" s="16" t="n">
        <f aca="false">K21/Inputs!$C$24</f>
        <v>80</v>
      </c>
      <c r="L22" s="16" t="n">
        <f aca="false">L21/Inputs!$C$24</f>
        <v>90</v>
      </c>
      <c r="M22" s="16" t="n">
        <f aca="false">M21/Inputs!$C$24</f>
        <v>90</v>
      </c>
      <c r="N22" s="16" t="n">
        <f aca="false">N21/Inputs!$C$24</f>
        <v>90</v>
      </c>
      <c r="O22" s="16" t="n">
        <f aca="false">O21/Inputs!$C$24</f>
        <v>90</v>
      </c>
      <c r="P22" s="16" t="n">
        <f aca="false">P21/Inputs!$C$24</f>
        <v>288.30112</v>
      </c>
      <c r="Q22" s="16" t="n">
        <f aca="false">Q21/Inputs!$C$24</f>
        <v>318.30112</v>
      </c>
      <c r="R22" s="16" t="n">
        <f aca="false">R21/Inputs!$C$24</f>
        <v>348.30112</v>
      </c>
      <c r="S22" s="16" t="n">
        <f aca="false">S21/Inputs!$C$24</f>
        <v>378.30112</v>
      </c>
      <c r="T22" s="16" t="n">
        <f aca="false">T21/Inputs!$C$24</f>
        <v>408.30112</v>
      </c>
      <c r="U22" s="16" t="n">
        <f aca="false">U21/Inputs!$C$24</f>
        <v>438.30112</v>
      </c>
      <c r="V22" s="16" t="n">
        <f aca="false">V21/Inputs!$C$24</f>
        <v>438.30112</v>
      </c>
      <c r="W22" s="16" t="n">
        <f aca="false">W21/Inputs!$C$24</f>
        <v>438.30112</v>
      </c>
      <c r="X22" s="16" t="n">
        <f aca="false">X21/Inputs!$C$24</f>
        <v>438.30112</v>
      </c>
      <c r="Y22" s="16" t="n">
        <f aca="false">Y21/Inputs!$C$24</f>
        <v>438.30112</v>
      </c>
      <c r="Z22" s="16" t="n">
        <f aca="false">Z21/Inputs!$C$24</f>
        <v>438.30112</v>
      </c>
      <c r="AA22" s="16" t="n">
        <f aca="false">AA21/Inputs!$C$24</f>
        <v>438.30112</v>
      </c>
      <c r="AB22" s="16" t="n">
        <f aca="false">AB21/Inputs!$C$24</f>
        <v>819.90336</v>
      </c>
      <c r="AC22" s="16" t="n">
        <f aca="false">AC21/Inputs!$C$24</f>
        <v>879.90336</v>
      </c>
      <c r="AD22" s="16" t="n">
        <f aca="false">AD21/Inputs!$C$24</f>
        <v>939.90336</v>
      </c>
      <c r="AE22" s="16" t="n">
        <f aca="false">AE21/Inputs!$C$24</f>
        <v>999.90336</v>
      </c>
      <c r="AF22" s="16" t="n">
        <f aca="false">AF21/Inputs!$C$24</f>
        <v>1059.90336</v>
      </c>
      <c r="AG22" s="16" t="n">
        <f aca="false">AG21/Inputs!$C$24</f>
        <v>1119.90336</v>
      </c>
      <c r="AH22" s="16" t="n">
        <f aca="false">AH21/Inputs!$C$24</f>
        <v>1119.90336</v>
      </c>
      <c r="AI22" s="16" t="n">
        <f aca="false">AI21/Inputs!$C$24</f>
        <v>1119.90336</v>
      </c>
      <c r="AJ22" s="16" t="n">
        <f aca="false">AJ21/Inputs!$C$24</f>
        <v>1119.90336</v>
      </c>
      <c r="AK22" s="16" t="n">
        <f aca="false">AK21/Inputs!$C$24</f>
        <v>1119.90336</v>
      </c>
      <c r="AL22" s="16" t="n">
        <f aca="false">AL21/Inputs!$C$24</f>
        <v>1119.90336</v>
      </c>
      <c r="AM22" s="16" t="n">
        <f aca="false">AM21/Inputs!$C$24</f>
        <v>1119.90336</v>
      </c>
      <c r="AN22" s="16" t="n">
        <f aca="false">AN21/Inputs!$C$24</f>
        <v>1536.5056</v>
      </c>
      <c r="AO22" s="16" t="n">
        <f aca="false">AO21/Inputs!$C$24</f>
        <v>1616.5056</v>
      </c>
      <c r="AP22" s="16" t="n">
        <f aca="false">AP21/Inputs!$C$24</f>
        <v>1696.5056</v>
      </c>
      <c r="AQ22" s="16" t="n">
        <f aca="false">AQ21/Inputs!$C$24</f>
        <v>1776.5056</v>
      </c>
      <c r="AR22" s="16" t="n">
        <f aca="false">AR21/Inputs!$C$24</f>
        <v>1856.5056</v>
      </c>
      <c r="AS22" s="16" t="n">
        <f aca="false">AS21/Inputs!$C$24</f>
        <v>1936.5056</v>
      </c>
      <c r="AT22" s="16" t="n">
        <f aca="false">AT21/Inputs!$C$24</f>
        <v>1936.5056</v>
      </c>
      <c r="AU22" s="16" t="n">
        <f aca="false">AU21/Inputs!$C$24</f>
        <v>1936.5056</v>
      </c>
      <c r="AV22" s="16" t="n">
        <f aca="false">AV21/Inputs!$C$24</f>
        <v>1936.5056</v>
      </c>
      <c r="AW22" s="16" t="n">
        <f aca="false">AW21/Inputs!$C$24</f>
        <v>1936.5056</v>
      </c>
      <c r="AX22" s="16" t="n">
        <f aca="false">AX21/Inputs!$C$24</f>
        <v>1936.5056</v>
      </c>
      <c r="AY22" s="16" t="n">
        <f aca="false">AY21/Inputs!$C$24</f>
        <v>1936.5056</v>
      </c>
      <c r="AZ22" s="16" t="n">
        <f aca="false">AZ21/Inputs!$C$24</f>
        <v>2343.10784</v>
      </c>
      <c r="BA22" s="16" t="n">
        <f aca="false">BA21/Inputs!$C$24</f>
        <v>2413.10784</v>
      </c>
      <c r="BB22" s="16" t="n">
        <f aca="false">BB21/Inputs!$C$24</f>
        <v>2483.10784</v>
      </c>
      <c r="BC22" s="16" t="n">
        <f aca="false">BC21/Inputs!$C$24</f>
        <v>2553.10784</v>
      </c>
      <c r="BD22" s="16" t="n">
        <f aca="false">BD21/Inputs!$C$24</f>
        <v>2623.10784</v>
      </c>
      <c r="BE22" s="16" t="n">
        <f aca="false">BE21/Inputs!$C$24</f>
        <v>2693.10784</v>
      </c>
      <c r="BF22" s="16" t="n">
        <f aca="false">BF21/Inputs!$C$24</f>
        <v>2693.10784</v>
      </c>
      <c r="BG22" s="16" t="n">
        <f aca="false">BG21/Inputs!$C$24</f>
        <v>2693.10784</v>
      </c>
      <c r="BH22" s="16" t="n">
        <f aca="false">BH21/Inputs!$C$24</f>
        <v>2693.10784</v>
      </c>
      <c r="BI22" s="16" t="n">
        <f aca="false">BI21/Inputs!$C$24</f>
        <v>2693.10784</v>
      </c>
      <c r="BJ22" s="16" t="n">
        <f aca="false">BJ21/Inputs!$C$24</f>
        <v>2693.10784</v>
      </c>
      <c r="BK22" s="16" t="n">
        <f aca="false">BK21/Inputs!$C$24</f>
        <v>2693.10784</v>
      </c>
    </row>
    <row r="23" customFormat="false" ht="15" hidden="false" customHeight="true" outlineLevel="0" collapsed="false">
      <c r="A23" s="12" t="s">
        <v>1907</v>
      </c>
      <c r="B23" s="4" t="s">
        <v>62</v>
      </c>
      <c r="D23" s="20" t="n">
        <f aca="false">MAX(1,ROUND(Inputs!$C$27+Inputs!$C$126,0))</f>
        <v>3</v>
      </c>
      <c r="E23" s="20" t="n">
        <f aca="false">MAX(1,ROUND(Inputs!$C$27+Inputs!$C$126,0))</f>
        <v>3</v>
      </c>
      <c r="F23" s="20" t="n">
        <f aca="false">MAX(1,ROUND(Inputs!$C$27+Inputs!$C$126,0))</f>
        <v>3</v>
      </c>
      <c r="G23" s="20" t="n">
        <f aca="false">MAX(1,ROUND(Inputs!$C$27+Inputs!$C$126,0))</f>
        <v>3</v>
      </c>
      <c r="H23" s="20" t="n">
        <f aca="false">MAX(1,ROUND(Inputs!$C$27+Inputs!$C$126,0))</f>
        <v>3</v>
      </c>
      <c r="I23" s="20" t="n">
        <f aca="false">MAX(1,ROUND(Inputs!$C$27+Inputs!$C$126,0))</f>
        <v>3</v>
      </c>
      <c r="J23" s="20" t="n">
        <f aca="false">MAX(1,ROUND(Inputs!$C$27+Inputs!$C$126,0))</f>
        <v>3</v>
      </c>
      <c r="K23" s="20" t="n">
        <f aca="false">MAX(1,ROUND(Inputs!$C$27+Inputs!$C$126,0))</f>
        <v>3</v>
      </c>
      <c r="L23" s="20" t="n">
        <f aca="false">MAX(1,ROUND(Inputs!$C$27+Inputs!$C$126,0))</f>
        <v>3</v>
      </c>
      <c r="M23" s="20" t="n">
        <f aca="false">MAX(1,ROUND(Inputs!$C$27+Inputs!$C$126,0))</f>
        <v>3</v>
      </c>
      <c r="N23" s="20" t="n">
        <f aca="false">MAX(1,ROUND(Inputs!$C$27+Inputs!$C$126,0))</f>
        <v>3</v>
      </c>
      <c r="O23" s="20" t="n">
        <f aca="false">MAX(1,ROUND(Inputs!$C$27+Inputs!$C$126,0))</f>
        <v>3</v>
      </c>
      <c r="P23" s="20" t="n">
        <f aca="false">MAX(1,ROUND(Inputs!$C$27+Inputs!$C$126,0))</f>
        <v>3</v>
      </c>
      <c r="Q23" s="20" t="n">
        <f aca="false">MAX(1,ROUND(Inputs!$C$27+Inputs!$C$126,0))</f>
        <v>3</v>
      </c>
      <c r="R23" s="20" t="n">
        <f aca="false">MAX(1,ROUND(Inputs!$C$27+Inputs!$C$126,0))</f>
        <v>3</v>
      </c>
      <c r="S23" s="20" t="n">
        <f aca="false">MAX(1,ROUND(Inputs!$C$27+Inputs!$C$126,0))</f>
        <v>3</v>
      </c>
      <c r="T23" s="20" t="n">
        <f aca="false">MAX(1,ROUND(Inputs!$C$27+Inputs!$C$126,0))</f>
        <v>3</v>
      </c>
      <c r="U23" s="20" t="n">
        <f aca="false">MAX(1,ROUND(Inputs!$C$27+Inputs!$C$126,0))</f>
        <v>3</v>
      </c>
      <c r="V23" s="20" t="n">
        <f aca="false">MAX(1,ROUND(Inputs!$C$27+Inputs!$C$126,0))</f>
        <v>3</v>
      </c>
      <c r="W23" s="20" t="n">
        <f aca="false">MAX(1,ROUND(Inputs!$C$27+Inputs!$C$126,0))</f>
        <v>3</v>
      </c>
      <c r="X23" s="20" t="n">
        <f aca="false">MAX(1,ROUND(Inputs!$C$27+Inputs!$C$126,0))</f>
        <v>3</v>
      </c>
      <c r="Y23" s="20" t="n">
        <f aca="false">MAX(1,ROUND(Inputs!$C$27+Inputs!$C$126,0))</f>
        <v>3</v>
      </c>
      <c r="Z23" s="20" t="n">
        <f aca="false">MAX(1,ROUND(Inputs!$C$27+Inputs!$C$126,0))</f>
        <v>3</v>
      </c>
      <c r="AA23" s="20" t="n">
        <f aca="false">MAX(1,ROUND(Inputs!$C$27+Inputs!$C$126,0))</f>
        <v>3</v>
      </c>
      <c r="AB23" s="20" t="n">
        <f aca="false">MAX(1,ROUND(Inputs!$C$27+Inputs!$C$126,0))</f>
        <v>3</v>
      </c>
      <c r="AC23" s="20" t="n">
        <f aca="false">MAX(1,ROUND(Inputs!$C$27+Inputs!$C$126,0))</f>
        <v>3</v>
      </c>
      <c r="AD23" s="20" t="n">
        <f aca="false">MAX(1,ROUND(Inputs!$C$27+Inputs!$C$126,0))</f>
        <v>3</v>
      </c>
      <c r="AE23" s="20" t="n">
        <f aca="false">MAX(1,ROUND(Inputs!$C$27+Inputs!$C$126,0))</f>
        <v>3</v>
      </c>
      <c r="AF23" s="20" t="n">
        <f aca="false">MAX(1,ROUND(Inputs!$C$27+Inputs!$C$126,0))</f>
        <v>3</v>
      </c>
      <c r="AG23" s="20" t="n">
        <f aca="false">MAX(1,ROUND(Inputs!$C$27+Inputs!$C$126,0))</f>
        <v>3</v>
      </c>
      <c r="AH23" s="20" t="n">
        <f aca="false">MAX(1,ROUND(Inputs!$C$27+Inputs!$C$126,0))</f>
        <v>3</v>
      </c>
      <c r="AI23" s="20" t="n">
        <f aca="false">MAX(1,ROUND(Inputs!$C$27+Inputs!$C$126,0))</f>
        <v>3</v>
      </c>
      <c r="AJ23" s="20" t="n">
        <f aca="false">MAX(1,ROUND(Inputs!$C$27+Inputs!$C$126,0))</f>
        <v>3</v>
      </c>
      <c r="AK23" s="20" t="n">
        <f aca="false">MAX(1,ROUND(Inputs!$C$27+Inputs!$C$126,0))</f>
        <v>3</v>
      </c>
      <c r="AL23" s="20" t="n">
        <f aca="false">MAX(1,ROUND(Inputs!$C$27+Inputs!$C$126,0))</f>
        <v>3</v>
      </c>
      <c r="AM23" s="20" t="n">
        <f aca="false">MAX(1,ROUND(Inputs!$C$27+Inputs!$C$126,0))</f>
        <v>3</v>
      </c>
      <c r="AN23" s="20" t="n">
        <f aca="false">MAX(1,ROUND(Inputs!$C$27+Inputs!$C$126,0))</f>
        <v>3</v>
      </c>
      <c r="AO23" s="20" t="n">
        <f aca="false">MAX(1,ROUND(Inputs!$C$27+Inputs!$C$126,0))</f>
        <v>3</v>
      </c>
      <c r="AP23" s="20" t="n">
        <f aca="false">MAX(1,ROUND(Inputs!$C$27+Inputs!$C$126,0))</f>
        <v>3</v>
      </c>
      <c r="AQ23" s="20" t="n">
        <f aca="false">MAX(1,ROUND(Inputs!$C$27+Inputs!$C$126,0))</f>
        <v>3</v>
      </c>
      <c r="AR23" s="20" t="n">
        <f aca="false">MAX(1,ROUND(Inputs!$C$27+Inputs!$C$126,0))</f>
        <v>3</v>
      </c>
      <c r="AS23" s="20" t="n">
        <f aca="false">MAX(1,ROUND(Inputs!$C$27+Inputs!$C$126,0))</f>
        <v>3</v>
      </c>
      <c r="AT23" s="20" t="n">
        <f aca="false">MAX(1,ROUND(Inputs!$C$27+Inputs!$C$126,0))</f>
        <v>3</v>
      </c>
      <c r="AU23" s="20" t="n">
        <f aca="false">MAX(1,ROUND(Inputs!$C$27+Inputs!$C$126,0))</f>
        <v>3</v>
      </c>
      <c r="AV23" s="20" t="n">
        <f aca="false">MAX(1,ROUND(Inputs!$C$27+Inputs!$C$126,0))</f>
        <v>3</v>
      </c>
      <c r="AW23" s="20" t="n">
        <f aca="false">MAX(1,ROUND(Inputs!$C$27+Inputs!$C$126,0))</f>
        <v>3</v>
      </c>
      <c r="AX23" s="20" t="n">
        <f aca="false">MAX(1,ROUND(Inputs!$C$27+Inputs!$C$126,0))</f>
        <v>3</v>
      </c>
      <c r="AY23" s="20" t="n">
        <f aca="false">MAX(1,ROUND(Inputs!$C$27+Inputs!$C$126,0))</f>
        <v>3</v>
      </c>
      <c r="AZ23" s="20" t="n">
        <f aca="false">MAX(1,ROUND(Inputs!$C$27+Inputs!$C$126,0))</f>
        <v>3</v>
      </c>
      <c r="BA23" s="20" t="n">
        <f aca="false">MAX(1,ROUND(Inputs!$C$27+Inputs!$C$126,0))</f>
        <v>3</v>
      </c>
      <c r="BB23" s="20" t="n">
        <f aca="false">MAX(1,ROUND(Inputs!$C$27+Inputs!$C$126,0))</f>
        <v>3</v>
      </c>
      <c r="BC23" s="20" t="n">
        <f aca="false">MAX(1,ROUND(Inputs!$C$27+Inputs!$C$126,0))</f>
        <v>3</v>
      </c>
      <c r="BD23" s="20" t="n">
        <f aca="false">MAX(1,ROUND(Inputs!$C$27+Inputs!$C$126,0))</f>
        <v>3</v>
      </c>
      <c r="BE23" s="20" t="n">
        <f aca="false">MAX(1,ROUND(Inputs!$C$27+Inputs!$C$126,0))</f>
        <v>3</v>
      </c>
      <c r="BF23" s="20" t="n">
        <f aca="false">MAX(1,ROUND(Inputs!$C$27+Inputs!$C$126,0))</f>
        <v>3</v>
      </c>
      <c r="BG23" s="20" t="n">
        <f aca="false">MAX(1,ROUND(Inputs!$C$27+Inputs!$C$126,0))</f>
        <v>3</v>
      </c>
      <c r="BH23" s="20" t="n">
        <f aca="false">MAX(1,ROUND(Inputs!$C$27+Inputs!$C$126,0))</f>
        <v>3</v>
      </c>
      <c r="BI23" s="20" t="n">
        <f aca="false">MAX(1,ROUND(Inputs!$C$27+Inputs!$C$126,0))</f>
        <v>3</v>
      </c>
      <c r="BJ23" s="20" t="n">
        <f aca="false">MAX(1,ROUND(Inputs!$C$27+Inputs!$C$126,0))</f>
        <v>3</v>
      </c>
      <c r="BK23" s="20" t="n">
        <f aca="false">MAX(1,ROUND(Inputs!$C$27+Inputs!$C$126,0))</f>
        <v>3</v>
      </c>
    </row>
    <row r="24" customFormat="false" ht="15" hidden="false" customHeight="true" outlineLevel="0" collapsed="false">
      <c r="A24" s="12" t="s">
        <v>1908</v>
      </c>
      <c r="B24" s="4" t="s">
        <v>29</v>
      </c>
      <c r="D24" s="16" t="n">
        <f aca="true">IF(D$6&gt;D23,OFFSET(D18,0,-(D23)),0)*Inputs!$C$25</f>
        <v>0</v>
      </c>
      <c r="E24" s="16" t="n">
        <f aca="true">IF(E$6&gt;E23,OFFSET(E18,0,-(E23)),0)*Inputs!$C$25</f>
        <v>0</v>
      </c>
      <c r="F24" s="16" t="n">
        <f aca="true">IF(F$6&gt;F23,OFFSET(F18,0,-(F23)),0)*Inputs!$C$25</f>
        <v>0</v>
      </c>
      <c r="G24" s="16" t="n">
        <f aca="true">IF(G$6&gt;G23,OFFSET(G18,0,-(G23)),0)*Inputs!$C$25</f>
        <v>0.45</v>
      </c>
      <c r="H24" s="16" t="n">
        <f aca="true">IF(H$6&gt;H23,OFFSET(H18,0,-(H23)),0)*Inputs!$C$25</f>
        <v>0.45</v>
      </c>
      <c r="I24" s="16" t="n">
        <f aca="true">IF(I$6&gt;I23,OFFSET(I18,0,-(I23)),0)*Inputs!$C$25</f>
        <v>0.45</v>
      </c>
      <c r="J24" s="16" t="n">
        <f aca="true">IF(J$6&gt;J23,OFFSET(J18,0,-(J23)),0)*Inputs!$C$25</f>
        <v>0.6</v>
      </c>
      <c r="K24" s="16" t="n">
        <f aca="true">IF(K$6&gt;K23,OFFSET(K18,0,-(K23)),0)*Inputs!$C$25</f>
        <v>0.75</v>
      </c>
      <c r="L24" s="16" t="n">
        <f aca="true">IF(L$6&gt;L23,OFFSET(L18,0,-(L23)),0)*Inputs!$C$25</f>
        <v>0.9</v>
      </c>
      <c r="M24" s="16" t="n">
        <f aca="true">IF(M$6&gt;M23,OFFSET(M18,0,-(M23)),0)*Inputs!$C$25</f>
        <v>1.05</v>
      </c>
      <c r="N24" s="16" t="n">
        <f aca="true">IF(N$6&gt;N23,OFFSET(N18,0,-(N23)),0)*Inputs!$C$25</f>
        <v>1.2</v>
      </c>
      <c r="O24" s="16" t="n">
        <f aca="true">IF(O$6&gt;O23,OFFSET(O18,0,-(O23)),0)*Inputs!$C$25</f>
        <v>1.35</v>
      </c>
      <c r="P24" s="16" t="n">
        <f aca="true">IF(P$6&gt;P23,OFFSET(P18,0,-(P23)),0)*Inputs!$C$25</f>
        <v>1.35</v>
      </c>
      <c r="Q24" s="16" t="n">
        <f aca="true">IF(Q$6&gt;Q23,OFFSET(Q18,0,-(Q23)),0)*Inputs!$C$25</f>
        <v>1.35</v>
      </c>
      <c r="R24" s="16" t="n">
        <f aca="true">IF(R$6&gt;R23,OFFSET(R18,0,-(R23)),0)*Inputs!$C$25</f>
        <v>1.35</v>
      </c>
      <c r="S24" s="16" t="n">
        <f aca="true">IF(S$6&gt;S23,OFFSET(S18,0,-(S23)),0)*Inputs!$C$25</f>
        <v>1.8</v>
      </c>
      <c r="T24" s="16" t="n">
        <f aca="true">IF(T$6&gt;T23,OFFSET(T18,0,-(T23)),0)*Inputs!$C$25</f>
        <v>2.25</v>
      </c>
      <c r="U24" s="16" t="n">
        <f aca="true">IF(U$6&gt;U23,OFFSET(U18,0,-(U23)),0)*Inputs!$C$25</f>
        <v>2.7</v>
      </c>
      <c r="V24" s="16" t="n">
        <f aca="true">IF(V$6&gt;V23,OFFSET(V18,0,-(V23)),0)*Inputs!$C$25</f>
        <v>3.15</v>
      </c>
      <c r="W24" s="16" t="n">
        <f aca="true">IF(W$6&gt;W23,OFFSET(W18,0,-(W23)),0)*Inputs!$C$25</f>
        <v>3.6</v>
      </c>
      <c r="X24" s="16" t="n">
        <f aca="true">IF(X$6&gt;X23,OFFSET(X18,0,-(X23)),0)*Inputs!$C$25</f>
        <v>4.05</v>
      </c>
      <c r="Y24" s="16" t="n">
        <f aca="true">IF(Y$6&gt;Y23,OFFSET(Y18,0,-(Y23)),0)*Inputs!$C$25</f>
        <v>4.05</v>
      </c>
      <c r="Z24" s="16" t="n">
        <f aca="true">IF(Z$6&gt;Z23,OFFSET(Z18,0,-(Z23)),0)*Inputs!$C$25</f>
        <v>4.05</v>
      </c>
      <c r="AA24" s="16" t="n">
        <f aca="true">IF(AA$6&gt;AA23,OFFSET(AA18,0,-(AA23)),0)*Inputs!$C$25</f>
        <v>4.05</v>
      </c>
      <c r="AB24" s="16" t="n">
        <f aca="true">IF(AB$6&gt;AB23,OFFSET(AB18,0,-(AB23)),0)*Inputs!$C$25</f>
        <v>4.05</v>
      </c>
      <c r="AC24" s="16" t="n">
        <f aca="true">IF(AC$6&gt;AC23,OFFSET(AC18,0,-(AC23)),0)*Inputs!$C$25</f>
        <v>4.05</v>
      </c>
      <c r="AD24" s="16" t="n">
        <f aca="true">IF(AD$6&gt;AD23,OFFSET(AD18,0,-(AD23)),0)*Inputs!$C$25</f>
        <v>4.05</v>
      </c>
      <c r="AE24" s="16" t="n">
        <f aca="true">IF(AE$6&gt;AE23,OFFSET(AE18,0,-(AE23)),0)*Inputs!$C$25</f>
        <v>4.725</v>
      </c>
      <c r="AF24" s="16" t="n">
        <f aca="true">IF(AF$6&gt;AF23,OFFSET(AF18,0,-(AF23)),0)*Inputs!$C$25</f>
        <v>5.625</v>
      </c>
      <c r="AG24" s="16" t="n">
        <f aca="true">IF(AG$6&gt;AG23,OFFSET(AG18,0,-(AG23)),0)*Inputs!$C$25</f>
        <v>6.525</v>
      </c>
      <c r="AH24" s="16" t="n">
        <f aca="true">IF(AH$6&gt;AH23,OFFSET(AH18,0,-(AH23)),0)*Inputs!$C$25</f>
        <v>7.425</v>
      </c>
      <c r="AI24" s="16" t="n">
        <f aca="true">IF(AI$6&gt;AI23,OFFSET(AI18,0,-(AI23)),0)*Inputs!$C$25</f>
        <v>8.325</v>
      </c>
      <c r="AJ24" s="16" t="n">
        <f aca="true">IF(AJ$6&gt;AJ23,OFFSET(AJ18,0,-(AJ23)),0)*Inputs!$C$25</f>
        <v>9.225</v>
      </c>
      <c r="AK24" s="16" t="n">
        <f aca="true">IF(AK$6&gt;AK23,OFFSET(AK18,0,-(AK23)),0)*Inputs!$C$25</f>
        <v>9.225</v>
      </c>
      <c r="AL24" s="16" t="n">
        <f aca="true">IF(AL$6&gt;AL23,OFFSET(AL18,0,-(AL23)),0)*Inputs!$C$25</f>
        <v>9.225</v>
      </c>
      <c r="AM24" s="16" t="n">
        <f aca="true">IF(AM$6&gt;AM23,OFFSET(AM18,0,-(AM23)),0)*Inputs!$C$25</f>
        <v>9.225</v>
      </c>
      <c r="AN24" s="16" t="n">
        <f aca="true">IF(AN$6&gt;AN23,OFFSET(AN18,0,-(AN23)),0)*Inputs!$C$25</f>
        <v>9.225</v>
      </c>
      <c r="AO24" s="16" t="n">
        <f aca="true">IF(AO$6&gt;AO23,OFFSET(AO18,0,-(AO23)),0)*Inputs!$C$25</f>
        <v>9.225</v>
      </c>
      <c r="AP24" s="16" t="n">
        <f aca="true">IF(AP$6&gt;AP23,OFFSET(AP18,0,-(AP23)),0)*Inputs!$C$25</f>
        <v>9.225</v>
      </c>
      <c r="AQ24" s="16" t="n">
        <f aca="true">IF(AQ$6&gt;AQ23,OFFSET(AQ18,0,-(AQ23)),0)*Inputs!$C$25</f>
        <v>10.425</v>
      </c>
      <c r="AR24" s="16" t="n">
        <f aca="true">IF(AR$6&gt;AR23,OFFSET(AR18,0,-(AR23)),0)*Inputs!$C$25</f>
        <v>11.625</v>
      </c>
      <c r="AS24" s="16" t="n">
        <f aca="true">IF(AS$6&gt;AS23,OFFSET(AS18,0,-(AS23)),0)*Inputs!$C$25</f>
        <v>12.825</v>
      </c>
      <c r="AT24" s="16" t="n">
        <f aca="true">IF(AT$6&gt;AT23,OFFSET(AT18,0,-(AT23)),0)*Inputs!$C$25</f>
        <v>14.025</v>
      </c>
      <c r="AU24" s="16" t="n">
        <f aca="true">IF(AU$6&gt;AU23,OFFSET(AU18,0,-(AU23)),0)*Inputs!$C$25</f>
        <v>15.225</v>
      </c>
      <c r="AV24" s="16" t="n">
        <f aca="true">IF(AV$6&gt;AV23,OFFSET(AV18,0,-(AV23)),0)*Inputs!$C$25</f>
        <v>16.425</v>
      </c>
      <c r="AW24" s="16" t="n">
        <f aca="true">IF(AW$6&gt;AW23,OFFSET(AW18,0,-(AW23)),0)*Inputs!$C$25</f>
        <v>16.425</v>
      </c>
      <c r="AX24" s="16" t="n">
        <f aca="true">IF(AX$6&gt;AX23,OFFSET(AX18,0,-(AX23)),0)*Inputs!$C$25</f>
        <v>16.425</v>
      </c>
      <c r="AY24" s="16" t="n">
        <f aca="true">IF(AY$6&gt;AY23,OFFSET(AY18,0,-(AY23)),0)*Inputs!$C$25</f>
        <v>16.425</v>
      </c>
      <c r="AZ24" s="16" t="n">
        <f aca="true">IF(AZ$6&gt;AZ23,OFFSET(AZ18,0,-(AZ23)),0)*Inputs!$C$25</f>
        <v>16.425</v>
      </c>
      <c r="BA24" s="16" t="n">
        <f aca="true">IF(BA$6&gt;BA23,OFFSET(BA18,0,-(BA23)),0)*Inputs!$C$25</f>
        <v>16.425</v>
      </c>
      <c r="BB24" s="16" t="n">
        <f aca="true">IF(BB$6&gt;BB23,OFFSET(BB18,0,-(BB23)),0)*Inputs!$C$25</f>
        <v>16.425</v>
      </c>
      <c r="BC24" s="16" t="n">
        <f aca="true">IF(BC$6&gt;BC23,OFFSET(BC18,0,-(BC23)),0)*Inputs!$C$25</f>
        <v>17.475</v>
      </c>
      <c r="BD24" s="16" t="n">
        <f aca="true">IF(BD$6&gt;BD23,OFFSET(BD18,0,-(BD23)),0)*Inputs!$C$25</f>
        <v>18.525</v>
      </c>
      <c r="BE24" s="16" t="n">
        <f aca="true">IF(BE$6&gt;BE23,OFFSET(BE18,0,-(BE23)),0)*Inputs!$C$25</f>
        <v>19.575</v>
      </c>
      <c r="BF24" s="16" t="n">
        <f aca="true">IF(BF$6&gt;BF23,OFFSET(BF18,0,-(BF23)),0)*Inputs!$C$25</f>
        <v>20.625</v>
      </c>
      <c r="BG24" s="16" t="n">
        <f aca="true">IF(BG$6&gt;BG23,OFFSET(BG18,0,-(BG23)),0)*Inputs!$C$25</f>
        <v>21.675</v>
      </c>
      <c r="BH24" s="16" t="n">
        <f aca="true">IF(BH$6&gt;BH23,OFFSET(BH18,0,-(BH23)),0)*Inputs!$C$25</f>
        <v>22.725</v>
      </c>
      <c r="BI24" s="16" t="n">
        <f aca="true">IF(BI$6&gt;BI23,OFFSET(BI18,0,-(BI23)),0)*Inputs!$C$25</f>
        <v>22.725</v>
      </c>
      <c r="BJ24" s="16" t="n">
        <f aca="true">IF(BJ$6&gt;BJ23,OFFSET(BJ18,0,-(BJ23)),0)*Inputs!$C$25</f>
        <v>22.725</v>
      </c>
      <c r="BK24" s="16" t="n">
        <f aca="true">IF(BK$6&gt;BK23,OFFSET(BK18,0,-(BK23)),0)*Inputs!$C$25</f>
        <v>22.725</v>
      </c>
    </row>
    <row r="25" customFormat="false" ht="15" hidden="false" customHeight="true" outlineLevel="0" collapsed="false">
      <c r="A25" s="12" t="s">
        <v>1909</v>
      </c>
      <c r="B25" s="4" t="s">
        <v>29</v>
      </c>
      <c r="D25" s="16" t="n">
        <f aca="true">IF(D$6&gt;D23,OFFSET(D19,0,-(D23)),0)*Inputs!$C$26</f>
        <v>0</v>
      </c>
      <c r="E25" s="16" t="n">
        <f aca="true">IF(E$6&gt;E23,OFFSET(E19,0,-(E23)),0)*Inputs!$C$26</f>
        <v>0</v>
      </c>
      <c r="F25" s="16" t="n">
        <f aca="true">IF(F$6&gt;F23,OFFSET(F19,0,-(F23)),0)*Inputs!$C$26</f>
        <v>0</v>
      </c>
      <c r="G25" s="16" t="n">
        <f aca="true">IF(G$6&gt;G23,OFFSET(G19,0,-(G23)),0)*Inputs!$C$26</f>
        <v>0</v>
      </c>
      <c r="H25" s="16" t="n">
        <f aca="true">IF(H$6&gt;H23,OFFSET(H19,0,-(H23)),0)*Inputs!$C$26</f>
        <v>0</v>
      </c>
      <c r="I25" s="16" t="n">
        <f aca="true">IF(I$6&gt;I23,OFFSET(I19,0,-(I23)),0)*Inputs!$C$26</f>
        <v>0</v>
      </c>
      <c r="J25" s="16" t="n">
        <f aca="true">IF(J$6&gt;J23,OFFSET(J19,0,-(J23)),0)*Inputs!$C$26</f>
        <v>0</v>
      </c>
      <c r="K25" s="16" t="n">
        <f aca="true">IF(K$6&gt;K23,OFFSET(K19,0,-(K23)),0)*Inputs!$C$26</f>
        <v>0</v>
      </c>
      <c r="L25" s="16" t="n">
        <f aca="true">IF(L$6&gt;L23,OFFSET(L19,0,-(L23)),0)*Inputs!$C$26</f>
        <v>0</v>
      </c>
      <c r="M25" s="16" t="n">
        <f aca="true">IF(M$6&gt;M23,OFFSET(M19,0,-(M23)),0)*Inputs!$C$26</f>
        <v>0</v>
      </c>
      <c r="N25" s="16" t="n">
        <f aca="true">IF(N$6&gt;N23,OFFSET(N19,0,-(N23)),0)*Inputs!$C$26</f>
        <v>0</v>
      </c>
      <c r="O25" s="16" t="n">
        <f aca="true">IF(O$6&gt;O23,OFFSET(O19,0,-(O23)),0)*Inputs!$C$26</f>
        <v>0</v>
      </c>
      <c r="P25" s="16" t="n">
        <f aca="true">IF(P$6&gt;P23,OFFSET(P19,0,-(P23)),0)*Inputs!$C$26</f>
        <v>0</v>
      </c>
      <c r="Q25" s="16" t="n">
        <f aca="true">IF(Q$6&gt;Q23,OFFSET(Q19,0,-(Q23)),0)*Inputs!$C$26</f>
        <v>0</v>
      </c>
      <c r="R25" s="16" t="n">
        <f aca="true">IF(R$6&gt;R23,OFFSET(R19,0,-(R23)),0)*Inputs!$C$26</f>
        <v>0</v>
      </c>
      <c r="S25" s="16" t="n">
        <f aca="true">IF(S$6&gt;S23,OFFSET(S19,0,-(S23)),0)*Inputs!$C$26</f>
        <v>2.9452696</v>
      </c>
      <c r="T25" s="16" t="n">
        <f aca="true">IF(T$6&gt;T23,OFFSET(T19,0,-(T23)),0)*Inputs!$C$26</f>
        <v>2.9452696</v>
      </c>
      <c r="U25" s="16" t="n">
        <f aca="true">IF(U$6&gt;U23,OFFSET(U19,0,-(U23)),0)*Inputs!$C$26</f>
        <v>2.9452696</v>
      </c>
      <c r="V25" s="16" t="n">
        <f aca="true">IF(V$6&gt;V23,OFFSET(V19,0,-(V23)),0)*Inputs!$C$26</f>
        <v>2.9452696</v>
      </c>
      <c r="W25" s="16" t="n">
        <f aca="true">IF(W$6&gt;W23,OFFSET(W19,0,-(W23)),0)*Inputs!$C$26</f>
        <v>2.9452696</v>
      </c>
      <c r="X25" s="16" t="n">
        <f aca="true">IF(X$6&gt;X23,OFFSET(X19,0,-(X23)),0)*Inputs!$C$26</f>
        <v>2.9452696</v>
      </c>
      <c r="Y25" s="16" t="n">
        <f aca="true">IF(Y$6&gt;Y23,OFFSET(Y19,0,-(Y23)),0)*Inputs!$C$26</f>
        <v>2.9452696</v>
      </c>
      <c r="Z25" s="16" t="n">
        <f aca="true">IF(Z$6&gt;Z23,OFFSET(Z19,0,-(Z23)),0)*Inputs!$C$26</f>
        <v>2.9452696</v>
      </c>
      <c r="AA25" s="16" t="n">
        <f aca="true">IF(AA$6&gt;AA23,OFFSET(AA19,0,-(AA23)),0)*Inputs!$C$26</f>
        <v>2.9452696</v>
      </c>
      <c r="AB25" s="16" t="n">
        <f aca="true">IF(AB$6&gt;AB23,OFFSET(AB19,0,-(AB23)),0)*Inputs!$C$26</f>
        <v>2.9452696</v>
      </c>
      <c r="AC25" s="16" t="n">
        <f aca="true">IF(AC$6&gt;AC23,OFFSET(AC19,0,-(AC23)),0)*Inputs!$C$26</f>
        <v>2.9452696</v>
      </c>
      <c r="AD25" s="16" t="n">
        <f aca="true">IF(AD$6&gt;AD23,OFFSET(AD19,0,-(AD23)),0)*Inputs!$C$26</f>
        <v>2.9452696</v>
      </c>
      <c r="AE25" s="16" t="n">
        <f aca="true">IF(AE$6&gt;AE23,OFFSET(AE19,0,-(AE23)),0)*Inputs!$C$26</f>
        <v>8.8358088</v>
      </c>
      <c r="AF25" s="16" t="n">
        <f aca="true">IF(AF$6&gt;AF23,OFFSET(AF19,0,-(AF23)),0)*Inputs!$C$26</f>
        <v>8.8358088</v>
      </c>
      <c r="AG25" s="16" t="n">
        <f aca="true">IF(AG$6&gt;AG23,OFFSET(AG19,0,-(AG23)),0)*Inputs!$C$26</f>
        <v>8.8358088</v>
      </c>
      <c r="AH25" s="16" t="n">
        <f aca="true">IF(AH$6&gt;AH23,OFFSET(AH19,0,-(AH23)),0)*Inputs!$C$26</f>
        <v>8.8358088</v>
      </c>
      <c r="AI25" s="16" t="n">
        <f aca="true">IF(AI$6&gt;AI23,OFFSET(AI19,0,-(AI23)),0)*Inputs!$C$26</f>
        <v>8.8358088</v>
      </c>
      <c r="AJ25" s="16" t="n">
        <f aca="true">IF(AJ$6&gt;AJ23,OFFSET(AJ19,0,-(AJ23)),0)*Inputs!$C$26</f>
        <v>8.8358088</v>
      </c>
      <c r="AK25" s="16" t="n">
        <f aca="true">IF(AK$6&gt;AK23,OFFSET(AK19,0,-(AK23)),0)*Inputs!$C$26</f>
        <v>8.8358088</v>
      </c>
      <c r="AL25" s="16" t="n">
        <f aca="true">IF(AL$6&gt;AL23,OFFSET(AL19,0,-(AL23)),0)*Inputs!$C$26</f>
        <v>8.8358088</v>
      </c>
      <c r="AM25" s="16" t="n">
        <f aca="true">IF(AM$6&gt;AM23,OFFSET(AM19,0,-(AM23)),0)*Inputs!$C$26</f>
        <v>8.8358088</v>
      </c>
      <c r="AN25" s="16" t="n">
        <f aca="true">IF(AN$6&gt;AN23,OFFSET(AN19,0,-(AN23)),0)*Inputs!$C$26</f>
        <v>8.8358088</v>
      </c>
      <c r="AO25" s="16" t="n">
        <f aca="true">IF(AO$6&gt;AO23,OFFSET(AO19,0,-(AO23)),0)*Inputs!$C$26</f>
        <v>8.8358088</v>
      </c>
      <c r="AP25" s="16" t="n">
        <f aca="true">IF(AP$6&gt;AP23,OFFSET(AP19,0,-(AP23)),0)*Inputs!$C$26</f>
        <v>8.8358088</v>
      </c>
      <c r="AQ25" s="16" t="n">
        <f aca="true">IF(AQ$6&gt;AQ23,OFFSET(AQ19,0,-(AQ23)),0)*Inputs!$C$26</f>
        <v>14.726348</v>
      </c>
      <c r="AR25" s="16" t="n">
        <f aca="true">IF(AR$6&gt;AR23,OFFSET(AR19,0,-(AR23)),0)*Inputs!$C$26</f>
        <v>14.726348</v>
      </c>
      <c r="AS25" s="16" t="n">
        <f aca="true">IF(AS$6&gt;AS23,OFFSET(AS19,0,-(AS23)),0)*Inputs!$C$26</f>
        <v>14.726348</v>
      </c>
      <c r="AT25" s="16" t="n">
        <f aca="true">IF(AT$6&gt;AT23,OFFSET(AT19,0,-(AT23)),0)*Inputs!$C$26</f>
        <v>14.726348</v>
      </c>
      <c r="AU25" s="16" t="n">
        <f aca="true">IF(AU$6&gt;AU23,OFFSET(AU19,0,-(AU23)),0)*Inputs!$C$26</f>
        <v>14.726348</v>
      </c>
      <c r="AV25" s="16" t="n">
        <f aca="true">IF(AV$6&gt;AV23,OFFSET(AV19,0,-(AV23)),0)*Inputs!$C$26</f>
        <v>14.726348</v>
      </c>
      <c r="AW25" s="16" t="n">
        <f aca="true">IF(AW$6&gt;AW23,OFFSET(AW19,0,-(AW23)),0)*Inputs!$C$26</f>
        <v>14.726348</v>
      </c>
      <c r="AX25" s="16" t="n">
        <f aca="true">IF(AX$6&gt;AX23,OFFSET(AX19,0,-(AX23)),0)*Inputs!$C$26</f>
        <v>14.726348</v>
      </c>
      <c r="AY25" s="16" t="n">
        <f aca="true">IF(AY$6&gt;AY23,OFFSET(AY19,0,-(AY23)),0)*Inputs!$C$26</f>
        <v>14.726348</v>
      </c>
      <c r="AZ25" s="16" t="n">
        <f aca="true">IF(AZ$6&gt;AZ23,OFFSET(AZ19,0,-(AZ23)),0)*Inputs!$C$26</f>
        <v>14.726348</v>
      </c>
      <c r="BA25" s="16" t="n">
        <f aca="true">IF(BA$6&gt;BA23,OFFSET(BA19,0,-(BA23)),0)*Inputs!$C$26</f>
        <v>14.726348</v>
      </c>
      <c r="BB25" s="16" t="n">
        <f aca="true">IF(BB$6&gt;BB23,OFFSET(BB19,0,-(BB23)),0)*Inputs!$C$26</f>
        <v>14.726348</v>
      </c>
      <c r="BC25" s="16" t="n">
        <f aca="true">IF(BC$6&gt;BC23,OFFSET(BC19,0,-(BC23)),0)*Inputs!$C$26</f>
        <v>20.6168872</v>
      </c>
      <c r="BD25" s="16" t="n">
        <f aca="true">IF(BD$6&gt;BD23,OFFSET(BD19,0,-(BD23)),0)*Inputs!$C$26</f>
        <v>20.6168872</v>
      </c>
      <c r="BE25" s="16" t="n">
        <f aca="true">IF(BE$6&gt;BE23,OFFSET(BE19,0,-(BE23)),0)*Inputs!$C$26</f>
        <v>20.6168872</v>
      </c>
      <c r="BF25" s="16" t="n">
        <f aca="true">IF(BF$6&gt;BF23,OFFSET(BF19,0,-(BF23)),0)*Inputs!$C$26</f>
        <v>20.6168872</v>
      </c>
      <c r="BG25" s="16" t="n">
        <f aca="true">IF(BG$6&gt;BG23,OFFSET(BG19,0,-(BG23)),0)*Inputs!$C$26</f>
        <v>20.6168872</v>
      </c>
      <c r="BH25" s="16" t="n">
        <f aca="true">IF(BH$6&gt;BH23,OFFSET(BH19,0,-(BH23)),0)*Inputs!$C$26</f>
        <v>20.6168872</v>
      </c>
      <c r="BI25" s="16" t="n">
        <f aca="true">IF(BI$6&gt;BI23,OFFSET(BI19,0,-(BI23)),0)*Inputs!$C$26</f>
        <v>20.6168872</v>
      </c>
      <c r="BJ25" s="16" t="n">
        <f aca="true">IF(BJ$6&gt;BJ23,OFFSET(BJ19,0,-(BJ23)),0)*Inputs!$C$26</f>
        <v>20.6168872</v>
      </c>
      <c r="BK25" s="16" t="n">
        <f aca="true">IF(BK$6&gt;BK23,OFFSET(BK19,0,-(BK23)),0)*Inputs!$C$26</f>
        <v>20.6168872</v>
      </c>
    </row>
    <row r="26" customFormat="false" ht="15" hidden="false" customHeight="true" outlineLevel="0" collapsed="false">
      <c r="A26" s="5" t="s">
        <v>1910</v>
      </c>
      <c r="B26" s="4" t="s">
        <v>29</v>
      </c>
      <c r="D26" s="52" t="n">
        <f aca="false">D24+D25</f>
        <v>0</v>
      </c>
      <c r="E26" s="52" t="n">
        <f aca="false">E24+E25</f>
        <v>0</v>
      </c>
      <c r="F26" s="52" t="n">
        <f aca="false">F24+F25</f>
        <v>0</v>
      </c>
      <c r="G26" s="52" t="n">
        <f aca="false">G24+G25</f>
        <v>0.45</v>
      </c>
      <c r="H26" s="52" t="n">
        <f aca="false">H24+H25</f>
        <v>0.45</v>
      </c>
      <c r="I26" s="52" t="n">
        <f aca="false">I24+I25</f>
        <v>0.45</v>
      </c>
      <c r="J26" s="52" t="n">
        <f aca="false">J24+J25</f>
        <v>0.6</v>
      </c>
      <c r="K26" s="52" t="n">
        <f aca="false">K24+K25</f>
        <v>0.75</v>
      </c>
      <c r="L26" s="52" t="n">
        <f aca="false">L24+L25</f>
        <v>0.9</v>
      </c>
      <c r="M26" s="52" t="n">
        <f aca="false">M24+M25</f>
        <v>1.05</v>
      </c>
      <c r="N26" s="52" t="n">
        <f aca="false">N24+N25</f>
        <v>1.2</v>
      </c>
      <c r="O26" s="52" t="n">
        <f aca="false">O24+O25</f>
        <v>1.35</v>
      </c>
      <c r="P26" s="52" t="n">
        <f aca="false">P24+P25</f>
        <v>1.35</v>
      </c>
      <c r="Q26" s="52" t="n">
        <f aca="false">Q24+Q25</f>
        <v>1.35</v>
      </c>
      <c r="R26" s="52" t="n">
        <f aca="false">R24+R25</f>
        <v>1.35</v>
      </c>
      <c r="S26" s="52" t="n">
        <f aca="false">S24+S25</f>
        <v>4.7452696</v>
      </c>
      <c r="T26" s="52" t="n">
        <f aca="false">T24+T25</f>
        <v>5.1952696</v>
      </c>
      <c r="U26" s="52" t="n">
        <f aca="false">U24+U25</f>
        <v>5.6452696</v>
      </c>
      <c r="V26" s="52" t="n">
        <f aca="false">V24+V25</f>
        <v>6.0952696</v>
      </c>
      <c r="W26" s="52" t="n">
        <f aca="false">W24+W25</f>
        <v>6.5452696</v>
      </c>
      <c r="X26" s="52" t="n">
        <f aca="false">X24+X25</f>
        <v>6.9952696</v>
      </c>
      <c r="Y26" s="52" t="n">
        <f aca="false">Y24+Y25</f>
        <v>6.9952696</v>
      </c>
      <c r="Z26" s="52" t="n">
        <f aca="false">Z24+Z25</f>
        <v>6.9952696</v>
      </c>
      <c r="AA26" s="52" t="n">
        <f aca="false">AA24+AA25</f>
        <v>6.9952696</v>
      </c>
      <c r="AB26" s="52" t="n">
        <f aca="false">AB24+AB25</f>
        <v>6.9952696</v>
      </c>
      <c r="AC26" s="52" t="n">
        <f aca="false">AC24+AC25</f>
        <v>6.9952696</v>
      </c>
      <c r="AD26" s="52" t="n">
        <f aca="false">AD24+AD25</f>
        <v>6.9952696</v>
      </c>
      <c r="AE26" s="52" t="n">
        <f aca="false">AE24+AE25</f>
        <v>13.5608088</v>
      </c>
      <c r="AF26" s="52" t="n">
        <f aca="false">AF24+AF25</f>
        <v>14.4608088</v>
      </c>
      <c r="AG26" s="52" t="n">
        <f aca="false">AG24+AG25</f>
        <v>15.3608088</v>
      </c>
      <c r="AH26" s="52" t="n">
        <f aca="false">AH24+AH25</f>
        <v>16.2608088</v>
      </c>
      <c r="AI26" s="52" t="n">
        <f aca="false">AI24+AI25</f>
        <v>17.1608088</v>
      </c>
      <c r="AJ26" s="52" t="n">
        <f aca="false">AJ24+AJ25</f>
        <v>18.0608088</v>
      </c>
      <c r="AK26" s="52" t="n">
        <f aca="false">AK24+AK25</f>
        <v>18.0608088</v>
      </c>
      <c r="AL26" s="52" t="n">
        <f aca="false">AL24+AL25</f>
        <v>18.0608088</v>
      </c>
      <c r="AM26" s="52" t="n">
        <f aca="false">AM24+AM25</f>
        <v>18.0608088</v>
      </c>
      <c r="AN26" s="52" t="n">
        <f aca="false">AN24+AN25</f>
        <v>18.0608088</v>
      </c>
      <c r="AO26" s="52" t="n">
        <f aca="false">AO24+AO25</f>
        <v>18.0608088</v>
      </c>
      <c r="AP26" s="52" t="n">
        <f aca="false">AP24+AP25</f>
        <v>18.0608088</v>
      </c>
      <c r="AQ26" s="52" t="n">
        <f aca="false">AQ24+AQ25</f>
        <v>25.151348</v>
      </c>
      <c r="AR26" s="52" t="n">
        <f aca="false">AR24+AR25</f>
        <v>26.351348</v>
      </c>
      <c r="AS26" s="52" t="n">
        <f aca="false">AS24+AS25</f>
        <v>27.551348</v>
      </c>
      <c r="AT26" s="52" t="n">
        <f aca="false">AT24+AT25</f>
        <v>28.751348</v>
      </c>
      <c r="AU26" s="52" t="n">
        <f aca="false">AU24+AU25</f>
        <v>29.951348</v>
      </c>
      <c r="AV26" s="52" t="n">
        <f aca="false">AV24+AV25</f>
        <v>31.151348</v>
      </c>
      <c r="AW26" s="52" t="n">
        <f aca="false">AW24+AW25</f>
        <v>31.151348</v>
      </c>
      <c r="AX26" s="52" t="n">
        <f aca="false">AX24+AX25</f>
        <v>31.151348</v>
      </c>
      <c r="AY26" s="52" t="n">
        <f aca="false">AY24+AY25</f>
        <v>31.151348</v>
      </c>
      <c r="AZ26" s="52" t="n">
        <f aca="false">AZ24+AZ25</f>
        <v>31.151348</v>
      </c>
      <c r="BA26" s="52" t="n">
        <f aca="false">BA24+BA25</f>
        <v>31.151348</v>
      </c>
      <c r="BB26" s="52" t="n">
        <f aca="false">BB24+BB25</f>
        <v>31.151348</v>
      </c>
      <c r="BC26" s="52" t="n">
        <f aca="false">BC24+BC25</f>
        <v>38.0918872</v>
      </c>
      <c r="BD26" s="52" t="n">
        <f aca="false">BD24+BD25</f>
        <v>39.1418872</v>
      </c>
      <c r="BE26" s="52" t="n">
        <f aca="false">BE24+BE25</f>
        <v>40.1918872</v>
      </c>
      <c r="BF26" s="52" t="n">
        <f aca="false">BF24+BF25</f>
        <v>41.2418872</v>
      </c>
      <c r="BG26" s="52" t="n">
        <f aca="false">BG24+BG25</f>
        <v>42.2918872</v>
      </c>
      <c r="BH26" s="52" t="n">
        <f aca="false">BH24+BH25</f>
        <v>43.3418872</v>
      </c>
      <c r="BI26" s="52" t="n">
        <f aca="false">BI24+BI25</f>
        <v>43.3418872</v>
      </c>
      <c r="BJ26" s="52" t="n">
        <f aca="false">BJ24+BJ25</f>
        <v>43.3418872</v>
      </c>
      <c r="BK26" s="52" t="n">
        <f aca="false">BK24+BK25</f>
        <v>43.3418872</v>
      </c>
    </row>
    <row r="27" customFormat="false" ht="15" hidden="false" customHeight="true" outlineLevel="0" collapsed="false">
      <c r="A27" s="12" t="s">
        <v>1911</v>
      </c>
      <c r="B27" s="4" t="s">
        <v>62</v>
      </c>
      <c r="D27" s="20" t="n">
        <f aca="false">MAX(1,ROUND(Inputs!$C$28,0))</f>
        <v>3</v>
      </c>
      <c r="E27" s="20" t="n">
        <f aca="false">MAX(1,ROUND(Inputs!$C$28,0))</f>
        <v>3</v>
      </c>
      <c r="F27" s="20" t="n">
        <f aca="false">MAX(1,ROUND(Inputs!$C$28,0))</f>
        <v>3</v>
      </c>
      <c r="G27" s="20" t="n">
        <f aca="false">MAX(1,ROUND(Inputs!$C$28,0))</f>
        <v>3</v>
      </c>
      <c r="H27" s="20" t="n">
        <f aca="false">MAX(1,ROUND(Inputs!$C$28,0))</f>
        <v>3</v>
      </c>
      <c r="I27" s="20" t="n">
        <f aca="false">MAX(1,ROUND(Inputs!$C$28,0))</f>
        <v>3</v>
      </c>
      <c r="J27" s="20" t="n">
        <f aca="false">MAX(1,ROUND(Inputs!$C$28,0))</f>
        <v>3</v>
      </c>
      <c r="K27" s="20" t="n">
        <f aca="false">MAX(1,ROUND(Inputs!$C$28,0))</f>
        <v>3</v>
      </c>
      <c r="L27" s="20" t="n">
        <f aca="false">MAX(1,ROUND(Inputs!$C$28,0))</f>
        <v>3</v>
      </c>
      <c r="M27" s="20" t="n">
        <f aca="false">MAX(1,ROUND(Inputs!$C$28,0))</f>
        <v>3</v>
      </c>
      <c r="N27" s="20" t="n">
        <f aca="false">MAX(1,ROUND(Inputs!$C$28,0))</f>
        <v>3</v>
      </c>
      <c r="O27" s="20" t="n">
        <f aca="false">MAX(1,ROUND(Inputs!$C$28,0))</f>
        <v>3</v>
      </c>
      <c r="P27" s="20" t="n">
        <f aca="false">MAX(1,ROUND(Inputs!$C$28,0))</f>
        <v>3</v>
      </c>
      <c r="Q27" s="20" t="n">
        <f aca="false">MAX(1,ROUND(Inputs!$C$28,0))</f>
        <v>3</v>
      </c>
      <c r="R27" s="20" t="n">
        <f aca="false">MAX(1,ROUND(Inputs!$C$28,0))</f>
        <v>3</v>
      </c>
      <c r="S27" s="20" t="n">
        <f aca="false">MAX(1,ROUND(Inputs!$C$28,0))</f>
        <v>3</v>
      </c>
      <c r="T27" s="20" t="n">
        <f aca="false">MAX(1,ROUND(Inputs!$C$28,0))</f>
        <v>3</v>
      </c>
      <c r="U27" s="20" t="n">
        <f aca="false">MAX(1,ROUND(Inputs!$C$28,0))</f>
        <v>3</v>
      </c>
      <c r="V27" s="20" t="n">
        <f aca="false">MAX(1,ROUND(Inputs!$C$28,0))</f>
        <v>3</v>
      </c>
      <c r="W27" s="20" t="n">
        <f aca="false">MAX(1,ROUND(Inputs!$C$28,0))</f>
        <v>3</v>
      </c>
      <c r="X27" s="20" t="n">
        <f aca="false">MAX(1,ROUND(Inputs!$C$28,0))</f>
        <v>3</v>
      </c>
      <c r="Y27" s="20" t="n">
        <f aca="false">MAX(1,ROUND(Inputs!$C$28,0))</f>
        <v>3</v>
      </c>
      <c r="Z27" s="20" t="n">
        <f aca="false">MAX(1,ROUND(Inputs!$C$28,0))</f>
        <v>3</v>
      </c>
      <c r="AA27" s="20" t="n">
        <f aca="false">MAX(1,ROUND(Inputs!$C$28,0))</f>
        <v>3</v>
      </c>
      <c r="AB27" s="20" t="n">
        <f aca="false">MAX(1,ROUND(Inputs!$C$28,0))</f>
        <v>3</v>
      </c>
      <c r="AC27" s="20" t="n">
        <f aca="false">MAX(1,ROUND(Inputs!$C$28,0))</f>
        <v>3</v>
      </c>
      <c r="AD27" s="20" t="n">
        <f aca="false">MAX(1,ROUND(Inputs!$C$28,0))</f>
        <v>3</v>
      </c>
      <c r="AE27" s="20" t="n">
        <f aca="false">MAX(1,ROUND(Inputs!$C$28,0))</f>
        <v>3</v>
      </c>
      <c r="AF27" s="20" t="n">
        <f aca="false">MAX(1,ROUND(Inputs!$C$28,0))</f>
        <v>3</v>
      </c>
      <c r="AG27" s="20" t="n">
        <f aca="false">MAX(1,ROUND(Inputs!$C$28,0))</f>
        <v>3</v>
      </c>
      <c r="AH27" s="20" t="n">
        <f aca="false">MAX(1,ROUND(Inputs!$C$28,0))</f>
        <v>3</v>
      </c>
      <c r="AI27" s="20" t="n">
        <f aca="false">MAX(1,ROUND(Inputs!$C$28,0))</f>
        <v>3</v>
      </c>
      <c r="AJ27" s="20" t="n">
        <f aca="false">MAX(1,ROUND(Inputs!$C$28,0))</f>
        <v>3</v>
      </c>
      <c r="AK27" s="20" t="n">
        <f aca="false">MAX(1,ROUND(Inputs!$C$28,0))</f>
        <v>3</v>
      </c>
      <c r="AL27" s="20" t="n">
        <f aca="false">MAX(1,ROUND(Inputs!$C$28,0))</f>
        <v>3</v>
      </c>
      <c r="AM27" s="20" t="n">
        <f aca="false">MAX(1,ROUND(Inputs!$C$28,0))</f>
        <v>3</v>
      </c>
      <c r="AN27" s="20" t="n">
        <f aca="false">MAX(1,ROUND(Inputs!$C$28,0))</f>
        <v>3</v>
      </c>
      <c r="AO27" s="20" t="n">
        <f aca="false">MAX(1,ROUND(Inputs!$C$28,0))</f>
        <v>3</v>
      </c>
      <c r="AP27" s="20" t="n">
        <f aca="false">MAX(1,ROUND(Inputs!$C$28,0))</f>
        <v>3</v>
      </c>
      <c r="AQ27" s="20" t="n">
        <f aca="false">MAX(1,ROUND(Inputs!$C$28,0))</f>
        <v>3</v>
      </c>
      <c r="AR27" s="20" t="n">
        <f aca="false">MAX(1,ROUND(Inputs!$C$28,0))</f>
        <v>3</v>
      </c>
      <c r="AS27" s="20" t="n">
        <f aca="false">MAX(1,ROUND(Inputs!$C$28,0))</f>
        <v>3</v>
      </c>
      <c r="AT27" s="20" t="n">
        <f aca="false">MAX(1,ROUND(Inputs!$C$28,0))</f>
        <v>3</v>
      </c>
      <c r="AU27" s="20" t="n">
        <f aca="false">MAX(1,ROUND(Inputs!$C$28,0))</f>
        <v>3</v>
      </c>
      <c r="AV27" s="20" t="n">
        <f aca="false">MAX(1,ROUND(Inputs!$C$28,0))</f>
        <v>3</v>
      </c>
      <c r="AW27" s="20" t="n">
        <f aca="false">MAX(1,ROUND(Inputs!$C$28,0))</f>
        <v>3</v>
      </c>
      <c r="AX27" s="20" t="n">
        <f aca="false">MAX(1,ROUND(Inputs!$C$28,0))</f>
        <v>3</v>
      </c>
      <c r="AY27" s="20" t="n">
        <f aca="false">MAX(1,ROUND(Inputs!$C$28,0))</f>
        <v>3</v>
      </c>
      <c r="AZ27" s="20" t="n">
        <f aca="false">MAX(1,ROUND(Inputs!$C$28,0))</f>
        <v>3</v>
      </c>
      <c r="BA27" s="20" t="n">
        <f aca="false">MAX(1,ROUND(Inputs!$C$28,0))</f>
        <v>3</v>
      </c>
      <c r="BB27" s="20" t="n">
        <f aca="false">MAX(1,ROUND(Inputs!$C$28,0))</f>
        <v>3</v>
      </c>
      <c r="BC27" s="20" t="n">
        <f aca="false">MAX(1,ROUND(Inputs!$C$28,0))</f>
        <v>3</v>
      </c>
      <c r="BD27" s="20" t="n">
        <f aca="false">MAX(1,ROUND(Inputs!$C$28,0))</f>
        <v>3</v>
      </c>
      <c r="BE27" s="20" t="n">
        <f aca="false">MAX(1,ROUND(Inputs!$C$28,0))</f>
        <v>3</v>
      </c>
      <c r="BF27" s="20" t="n">
        <f aca="false">MAX(1,ROUND(Inputs!$C$28,0))</f>
        <v>3</v>
      </c>
      <c r="BG27" s="20" t="n">
        <f aca="false">MAX(1,ROUND(Inputs!$C$28,0))</f>
        <v>3</v>
      </c>
      <c r="BH27" s="20" t="n">
        <f aca="false">MAX(1,ROUND(Inputs!$C$28,0))</f>
        <v>3</v>
      </c>
      <c r="BI27" s="20" t="n">
        <f aca="false">MAX(1,ROUND(Inputs!$C$28,0))</f>
        <v>3</v>
      </c>
      <c r="BJ27" s="20" t="n">
        <f aca="false">MAX(1,ROUND(Inputs!$C$28,0))</f>
        <v>3</v>
      </c>
      <c r="BK27" s="20" t="n">
        <f aca="false">MAX(1,ROUND(Inputs!$C$28,0))</f>
        <v>3</v>
      </c>
    </row>
    <row r="28" customFormat="false" ht="15" hidden="false" customHeight="true" outlineLevel="0" collapsed="false">
      <c r="A28" s="12" t="s">
        <v>1912</v>
      </c>
      <c r="B28" s="4" t="s">
        <v>29</v>
      </c>
      <c r="D28" s="16" t="n">
        <f aca="true">SUM(OFFSET(D26,0,-(MIN(D27,D$6)-1),1,MIN(D27,D$6)))</f>
        <v>0</v>
      </c>
      <c r="E28" s="16" t="n">
        <f aca="true">SUM(OFFSET(E26,0,-(MIN(E27,E$6)-1),1,MIN(E27,E$6)))</f>
        <v>0</v>
      </c>
      <c r="F28" s="16" t="n">
        <f aca="true">SUM(OFFSET(F26,0,-(MIN(F27,F$6)-1),1,MIN(F27,F$6)))</f>
        <v>0</v>
      </c>
      <c r="G28" s="16" t="n">
        <f aca="true">SUM(OFFSET(G26,0,-(MIN(G27,G$6)-1),1,MIN(G27,G$6)))</f>
        <v>0.45</v>
      </c>
      <c r="H28" s="16" t="n">
        <f aca="true">SUM(OFFSET(H26,0,-(MIN(H27,H$6)-1),1,MIN(H27,H$6)))</f>
        <v>0.9</v>
      </c>
      <c r="I28" s="16" t="n">
        <f aca="true">SUM(OFFSET(I26,0,-(MIN(I27,I$6)-1),1,MIN(I27,I$6)))</f>
        <v>1.35</v>
      </c>
      <c r="J28" s="16" t="n">
        <f aca="true">SUM(OFFSET(J26,0,-(MIN(J27,J$6)-1),1,MIN(J27,J$6)))</f>
        <v>1.5</v>
      </c>
      <c r="K28" s="16" t="n">
        <f aca="true">SUM(OFFSET(K26,0,-(MIN(K27,K$6)-1),1,MIN(K27,K$6)))</f>
        <v>1.8</v>
      </c>
      <c r="L28" s="16" t="n">
        <f aca="true">SUM(OFFSET(L26,0,-(MIN(L27,L$6)-1),1,MIN(L27,L$6)))</f>
        <v>2.25</v>
      </c>
      <c r="M28" s="16" t="n">
        <f aca="true">SUM(OFFSET(M26,0,-(MIN(M27,M$6)-1),1,MIN(M27,M$6)))</f>
        <v>2.7</v>
      </c>
      <c r="N28" s="16" t="n">
        <f aca="true">SUM(OFFSET(N26,0,-(MIN(N27,N$6)-1),1,MIN(N27,N$6)))</f>
        <v>3.15</v>
      </c>
      <c r="O28" s="16" t="n">
        <f aca="true">SUM(OFFSET(O26,0,-(MIN(O27,O$6)-1),1,MIN(O27,O$6)))</f>
        <v>3.6</v>
      </c>
      <c r="P28" s="16" t="n">
        <f aca="true">SUM(OFFSET(P26,0,-(MIN(P27,P$6)-1),1,MIN(P27,P$6)))</f>
        <v>3.9</v>
      </c>
      <c r="Q28" s="16" t="n">
        <f aca="true">SUM(OFFSET(Q26,0,-(MIN(Q27,Q$6)-1),1,MIN(Q27,Q$6)))</f>
        <v>4.05</v>
      </c>
      <c r="R28" s="16" t="n">
        <f aca="true">SUM(OFFSET(R26,0,-(MIN(R27,R$6)-1),1,MIN(R27,R$6)))</f>
        <v>4.05</v>
      </c>
      <c r="S28" s="16" t="n">
        <f aca="true">SUM(OFFSET(S26,0,-(MIN(S27,S$6)-1),1,MIN(S27,S$6)))</f>
        <v>7.4452696</v>
      </c>
      <c r="T28" s="16" t="n">
        <f aca="true">SUM(OFFSET(T26,0,-(MIN(T27,T$6)-1),1,MIN(T27,T$6)))</f>
        <v>11.2905392</v>
      </c>
      <c r="U28" s="16" t="n">
        <f aca="true">SUM(OFFSET(U26,0,-(MIN(U27,U$6)-1),1,MIN(U27,U$6)))</f>
        <v>15.5858088</v>
      </c>
      <c r="V28" s="16" t="n">
        <f aca="true">SUM(OFFSET(V26,0,-(MIN(V27,V$6)-1),1,MIN(V27,V$6)))</f>
        <v>16.9358088</v>
      </c>
      <c r="W28" s="16" t="n">
        <f aca="true">SUM(OFFSET(W26,0,-(MIN(W27,W$6)-1),1,MIN(W27,W$6)))</f>
        <v>18.2858088</v>
      </c>
      <c r="X28" s="16" t="n">
        <f aca="true">SUM(OFFSET(X26,0,-(MIN(X27,X$6)-1),1,MIN(X27,X$6)))</f>
        <v>19.6358088</v>
      </c>
      <c r="Y28" s="16" t="n">
        <f aca="true">SUM(OFFSET(Y26,0,-(MIN(Y27,Y$6)-1),1,MIN(Y27,Y$6)))</f>
        <v>20.5358088</v>
      </c>
      <c r="Z28" s="16" t="n">
        <f aca="true">SUM(OFFSET(Z26,0,-(MIN(Z27,Z$6)-1),1,MIN(Z27,Z$6)))</f>
        <v>20.9858088</v>
      </c>
      <c r="AA28" s="16" t="n">
        <f aca="true">SUM(OFFSET(AA26,0,-(MIN(AA27,AA$6)-1),1,MIN(AA27,AA$6)))</f>
        <v>20.9858088</v>
      </c>
      <c r="AB28" s="16" t="n">
        <f aca="true">SUM(OFFSET(AB26,0,-(MIN(AB27,AB$6)-1),1,MIN(AB27,AB$6)))</f>
        <v>20.9858088</v>
      </c>
      <c r="AC28" s="16" t="n">
        <f aca="true">SUM(OFFSET(AC26,0,-(MIN(AC27,AC$6)-1),1,MIN(AC27,AC$6)))</f>
        <v>20.9858088</v>
      </c>
      <c r="AD28" s="16" t="n">
        <f aca="true">SUM(OFFSET(AD26,0,-(MIN(AD27,AD$6)-1),1,MIN(AD27,AD$6)))</f>
        <v>20.9858088</v>
      </c>
      <c r="AE28" s="16" t="n">
        <f aca="true">SUM(OFFSET(AE26,0,-(MIN(AE27,AE$6)-1),1,MIN(AE27,AE$6)))</f>
        <v>27.551348</v>
      </c>
      <c r="AF28" s="16" t="n">
        <f aca="true">SUM(OFFSET(AF26,0,-(MIN(AF27,AF$6)-1),1,MIN(AF27,AF$6)))</f>
        <v>35.0168872</v>
      </c>
      <c r="AG28" s="16" t="n">
        <f aca="true">SUM(OFFSET(AG26,0,-(MIN(AG27,AG$6)-1),1,MIN(AG27,AG$6)))</f>
        <v>43.3824264</v>
      </c>
      <c r="AH28" s="16" t="n">
        <f aca="true">SUM(OFFSET(AH26,0,-(MIN(AH27,AH$6)-1),1,MIN(AH27,AH$6)))</f>
        <v>46.0824264</v>
      </c>
      <c r="AI28" s="16" t="n">
        <f aca="true">SUM(OFFSET(AI26,0,-(MIN(AI27,AI$6)-1),1,MIN(AI27,AI$6)))</f>
        <v>48.7824264</v>
      </c>
      <c r="AJ28" s="16" t="n">
        <f aca="true">SUM(OFFSET(AJ26,0,-(MIN(AJ27,AJ$6)-1),1,MIN(AJ27,AJ$6)))</f>
        <v>51.4824264</v>
      </c>
      <c r="AK28" s="16" t="n">
        <f aca="true">SUM(OFFSET(AK26,0,-(MIN(AK27,AK$6)-1),1,MIN(AK27,AK$6)))</f>
        <v>53.2824264</v>
      </c>
      <c r="AL28" s="16" t="n">
        <f aca="true">SUM(OFFSET(AL26,0,-(MIN(AL27,AL$6)-1),1,MIN(AL27,AL$6)))</f>
        <v>54.1824264</v>
      </c>
      <c r="AM28" s="16" t="n">
        <f aca="true">SUM(OFFSET(AM26,0,-(MIN(AM27,AM$6)-1),1,MIN(AM27,AM$6)))</f>
        <v>54.1824264</v>
      </c>
      <c r="AN28" s="16" t="n">
        <f aca="true">SUM(OFFSET(AN26,0,-(MIN(AN27,AN$6)-1),1,MIN(AN27,AN$6)))</f>
        <v>54.1824264</v>
      </c>
      <c r="AO28" s="16" t="n">
        <f aca="true">SUM(OFFSET(AO26,0,-(MIN(AO27,AO$6)-1),1,MIN(AO27,AO$6)))</f>
        <v>54.1824264</v>
      </c>
      <c r="AP28" s="16" t="n">
        <f aca="true">SUM(OFFSET(AP26,0,-(MIN(AP27,AP$6)-1),1,MIN(AP27,AP$6)))</f>
        <v>54.1824264</v>
      </c>
      <c r="AQ28" s="16" t="n">
        <f aca="true">SUM(OFFSET(AQ26,0,-(MIN(AQ27,AQ$6)-1),1,MIN(AQ27,AQ$6)))</f>
        <v>61.2729656</v>
      </c>
      <c r="AR28" s="16" t="n">
        <f aca="true">SUM(OFFSET(AR26,0,-(MIN(AR27,AR$6)-1),1,MIN(AR27,AR$6)))</f>
        <v>69.5635048</v>
      </c>
      <c r="AS28" s="16" t="n">
        <f aca="true">SUM(OFFSET(AS26,0,-(MIN(AS27,AS$6)-1),1,MIN(AS27,AS$6)))</f>
        <v>79.054044</v>
      </c>
      <c r="AT28" s="16" t="n">
        <f aca="true">SUM(OFFSET(AT26,0,-(MIN(AT27,AT$6)-1),1,MIN(AT27,AT$6)))</f>
        <v>82.654044</v>
      </c>
      <c r="AU28" s="16" t="n">
        <f aca="true">SUM(OFFSET(AU26,0,-(MIN(AU27,AU$6)-1),1,MIN(AU27,AU$6)))</f>
        <v>86.254044</v>
      </c>
      <c r="AV28" s="16" t="n">
        <f aca="true">SUM(OFFSET(AV26,0,-(MIN(AV27,AV$6)-1),1,MIN(AV27,AV$6)))</f>
        <v>89.854044</v>
      </c>
      <c r="AW28" s="16" t="n">
        <f aca="true">SUM(OFFSET(AW26,0,-(MIN(AW27,AW$6)-1),1,MIN(AW27,AW$6)))</f>
        <v>92.254044</v>
      </c>
      <c r="AX28" s="16" t="n">
        <f aca="true">SUM(OFFSET(AX26,0,-(MIN(AX27,AX$6)-1),1,MIN(AX27,AX$6)))</f>
        <v>93.454044</v>
      </c>
      <c r="AY28" s="16" t="n">
        <f aca="true">SUM(OFFSET(AY26,0,-(MIN(AY27,AY$6)-1),1,MIN(AY27,AY$6)))</f>
        <v>93.454044</v>
      </c>
      <c r="AZ28" s="16" t="n">
        <f aca="true">SUM(OFFSET(AZ26,0,-(MIN(AZ27,AZ$6)-1),1,MIN(AZ27,AZ$6)))</f>
        <v>93.454044</v>
      </c>
      <c r="BA28" s="16" t="n">
        <f aca="true">SUM(OFFSET(BA26,0,-(MIN(BA27,BA$6)-1),1,MIN(BA27,BA$6)))</f>
        <v>93.454044</v>
      </c>
      <c r="BB28" s="16" t="n">
        <f aca="true">SUM(OFFSET(BB26,0,-(MIN(BB27,BB$6)-1),1,MIN(BB27,BB$6)))</f>
        <v>93.454044</v>
      </c>
      <c r="BC28" s="16" t="n">
        <f aca="true">SUM(OFFSET(BC26,0,-(MIN(BC27,BC$6)-1),1,MIN(BC27,BC$6)))</f>
        <v>100.3945832</v>
      </c>
      <c r="BD28" s="16" t="n">
        <f aca="true">SUM(OFFSET(BD26,0,-(MIN(BD27,BD$6)-1),1,MIN(BD27,BD$6)))</f>
        <v>108.3851224</v>
      </c>
      <c r="BE28" s="16" t="n">
        <f aca="true">SUM(OFFSET(BE26,0,-(MIN(BE27,BE$6)-1),1,MIN(BE27,BE$6)))</f>
        <v>117.4256616</v>
      </c>
      <c r="BF28" s="16" t="n">
        <f aca="true">SUM(OFFSET(BF26,0,-(MIN(BF27,BF$6)-1),1,MIN(BF27,BF$6)))</f>
        <v>120.5756616</v>
      </c>
      <c r="BG28" s="16" t="n">
        <f aca="true">SUM(OFFSET(BG26,0,-(MIN(BG27,BG$6)-1),1,MIN(BG27,BG$6)))</f>
        <v>123.7256616</v>
      </c>
      <c r="BH28" s="16" t="n">
        <f aca="true">SUM(OFFSET(BH26,0,-(MIN(BH27,BH$6)-1),1,MIN(BH27,BH$6)))</f>
        <v>126.8756616</v>
      </c>
      <c r="BI28" s="16" t="n">
        <f aca="true">SUM(OFFSET(BI26,0,-(MIN(BI27,BI$6)-1),1,MIN(BI27,BI$6)))</f>
        <v>128.9756616</v>
      </c>
      <c r="BJ28" s="16" t="n">
        <f aca="true">SUM(OFFSET(BJ26,0,-(MIN(BJ27,BJ$6)-1),1,MIN(BJ27,BJ$6)))</f>
        <v>130.0256616</v>
      </c>
      <c r="BK28" s="16" t="n">
        <f aca="true">SUM(OFFSET(BK26,0,-(MIN(BK27,BK$6)-1),1,MIN(BK27,BK$6)))</f>
        <v>130.0256616</v>
      </c>
    </row>
    <row r="29" customFormat="false" ht="15" hidden="false" customHeight="true" outlineLevel="0" collapsed="false">
      <c r="A29" s="12" t="s">
        <v>1913</v>
      </c>
      <c r="B29" s="4" t="s">
        <v>46</v>
      </c>
      <c r="D29" s="17" t="n">
        <f aca="false">MIN(1,Inputs!$C$29*Inputs!$C$125)</f>
        <v>0.55</v>
      </c>
      <c r="E29" s="17" t="n">
        <f aca="false">MIN(1,Inputs!$C$29*Inputs!$C$125)</f>
        <v>0.55</v>
      </c>
      <c r="F29" s="17" t="n">
        <f aca="false">MIN(1,Inputs!$C$29*Inputs!$C$125)</f>
        <v>0.55</v>
      </c>
      <c r="G29" s="17" t="n">
        <f aca="false">MIN(1,Inputs!$C$29*Inputs!$C$125)</f>
        <v>0.55</v>
      </c>
      <c r="H29" s="17" t="n">
        <f aca="false">MIN(1,Inputs!$C$29*Inputs!$C$125)</f>
        <v>0.55</v>
      </c>
      <c r="I29" s="17" t="n">
        <f aca="false">MIN(1,Inputs!$C$29*Inputs!$C$125)</f>
        <v>0.55</v>
      </c>
      <c r="J29" s="17" t="n">
        <f aca="false">MIN(1,Inputs!$C$29*Inputs!$C$125)</f>
        <v>0.55</v>
      </c>
      <c r="K29" s="17" t="n">
        <f aca="false">MIN(1,Inputs!$C$29*Inputs!$C$125)</f>
        <v>0.55</v>
      </c>
      <c r="L29" s="17" t="n">
        <f aca="false">MIN(1,Inputs!$C$29*Inputs!$C$125)</f>
        <v>0.55</v>
      </c>
      <c r="M29" s="17" t="n">
        <f aca="false">MIN(1,Inputs!$C$29*Inputs!$C$125)</f>
        <v>0.55</v>
      </c>
      <c r="N29" s="17" t="n">
        <f aca="false">MIN(1,Inputs!$C$29*Inputs!$C$125)</f>
        <v>0.55</v>
      </c>
      <c r="O29" s="17" t="n">
        <f aca="false">MIN(1,Inputs!$C$29*Inputs!$C$125)</f>
        <v>0.55</v>
      </c>
      <c r="P29" s="17" t="n">
        <f aca="false">MIN(1,Inputs!$C$29*Inputs!$C$125)</f>
        <v>0.55</v>
      </c>
      <c r="Q29" s="17" t="n">
        <f aca="false">MIN(1,Inputs!$C$29*Inputs!$C$125)</f>
        <v>0.55</v>
      </c>
      <c r="R29" s="17" t="n">
        <f aca="false">MIN(1,Inputs!$C$29*Inputs!$C$125)</f>
        <v>0.55</v>
      </c>
      <c r="S29" s="17" t="n">
        <f aca="false">MIN(1,Inputs!$C$29*Inputs!$C$125)</f>
        <v>0.55</v>
      </c>
      <c r="T29" s="17" t="n">
        <f aca="false">MIN(1,Inputs!$C$29*Inputs!$C$125)</f>
        <v>0.55</v>
      </c>
      <c r="U29" s="17" t="n">
        <f aca="false">MIN(1,Inputs!$C$29*Inputs!$C$125)</f>
        <v>0.55</v>
      </c>
      <c r="V29" s="17" t="n">
        <f aca="false">MIN(1,Inputs!$C$29*Inputs!$C$125)</f>
        <v>0.55</v>
      </c>
      <c r="W29" s="17" t="n">
        <f aca="false">MIN(1,Inputs!$C$29*Inputs!$C$125)</f>
        <v>0.55</v>
      </c>
      <c r="X29" s="17" t="n">
        <f aca="false">MIN(1,Inputs!$C$29*Inputs!$C$125)</f>
        <v>0.55</v>
      </c>
      <c r="Y29" s="17" t="n">
        <f aca="false">MIN(1,Inputs!$C$29*Inputs!$C$125)</f>
        <v>0.55</v>
      </c>
      <c r="Z29" s="17" t="n">
        <f aca="false">MIN(1,Inputs!$C$29*Inputs!$C$125)</f>
        <v>0.55</v>
      </c>
      <c r="AA29" s="17" t="n">
        <f aca="false">MIN(1,Inputs!$C$29*Inputs!$C$125)</f>
        <v>0.55</v>
      </c>
      <c r="AB29" s="17" t="n">
        <f aca="false">MIN(1,Inputs!$C$29*Inputs!$C$125)</f>
        <v>0.55</v>
      </c>
      <c r="AC29" s="17" t="n">
        <f aca="false">MIN(1,Inputs!$C$29*Inputs!$C$125)</f>
        <v>0.55</v>
      </c>
      <c r="AD29" s="17" t="n">
        <f aca="false">MIN(1,Inputs!$C$29*Inputs!$C$125)</f>
        <v>0.55</v>
      </c>
      <c r="AE29" s="17" t="n">
        <f aca="false">MIN(1,Inputs!$C$29*Inputs!$C$125)</f>
        <v>0.55</v>
      </c>
      <c r="AF29" s="17" t="n">
        <f aca="false">MIN(1,Inputs!$C$29*Inputs!$C$125)</f>
        <v>0.55</v>
      </c>
      <c r="AG29" s="17" t="n">
        <f aca="false">MIN(1,Inputs!$C$29*Inputs!$C$125)</f>
        <v>0.55</v>
      </c>
      <c r="AH29" s="17" t="n">
        <f aca="false">MIN(1,Inputs!$C$29*Inputs!$C$125)</f>
        <v>0.55</v>
      </c>
      <c r="AI29" s="17" t="n">
        <f aca="false">MIN(1,Inputs!$C$29*Inputs!$C$125)</f>
        <v>0.55</v>
      </c>
      <c r="AJ29" s="17" t="n">
        <f aca="false">MIN(1,Inputs!$C$29*Inputs!$C$125)</f>
        <v>0.55</v>
      </c>
      <c r="AK29" s="17" t="n">
        <f aca="false">MIN(1,Inputs!$C$29*Inputs!$C$125)</f>
        <v>0.55</v>
      </c>
      <c r="AL29" s="17" t="n">
        <f aca="false">MIN(1,Inputs!$C$29*Inputs!$C$125)</f>
        <v>0.55</v>
      </c>
      <c r="AM29" s="17" t="n">
        <f aca="false">MIN(1,Inputs!$C$29*Inputs!$C$125)</f>
        <v>0.55</v>
      </c>
      <c r="AN29" s="17" t="n">
        <f aca="false">MIN(1,Inputs!$C$29*Inputs!$C$125)</f>
        <v>0.55</v>
      </c>
      <c r="AO29" s="17" t="n">
        <f aca="false">MIN(1,Inputs!$C$29*Inputs!$C$125)</f>
        <v>0.55</v>
      </c>
      <c r="AP29" s="17" t="n">
        <f aca="false">MIN(1,Inputs!$C$29*Inputs!$C$125)</f>
        <v>0.55</v>
      </c>
      <c r="AQ29" s="17" t="n">
        <f aca="false">MIN(1,Inputs!$C$29*Inputs!$C$125)</f>
        <v>0.55</v>
      </c>
      <c r="AR29" s="17" t="n">
        <f aca="false">MIN(1,Inputs!$C$29*Inputs!$C$125)</f>
        <v>0.55</v>
      </c>
      <c r="AS29" s="17" t="n">
        <f aca="false">MIN(1,Inputs!$C$29*Inputs!$C$125)</f>
        <v>0.55</v>
      </c>
      <c r="AT29" s="17" t="n">
        <f aca="false">MIN(1,Inputs!$C$29*Inputs!$C$125)</f>
        <v>0.55</v>
      </c>
      <c r="AU29" s="17" t="n">
        <f aca="false">MIN(1,Inputs!$C$29*Inputs!$C$125)</f>
        <v>0.55</v>
      </c>
      <c r="AV29" s="17" t="n">
        <f aca="false">MIN(1,Inputs!$C$29*Inputs!$C$125)</f>
        <v>0.55</v>
      </c>
      <c r="AW29" s="17" t="n">
        <f aca="false">MIN(1,Inputs!$C$29*Inputs!$C$125)</f>
        <v>0.55</v>
      </c>
      <c r="AX29" s="17" t="n">
        <f aca="false">MIN(1,Inputs!$C$29*Inputs!$C$125)</f>
        <v>0.55</v>
      </c>
      <c r="AY29" s="17" t="n">
        <f aca="false">MIN(1,Inputs!$C$29*Inputs!$C$125)</f>
        <v>0.55</v>
      </c>
      <c r="AZ29" s="17" t="n">
        <f aca="false">MIN(1,Inputs!$C$29*Inputs!$C$125)</f>
        <v>0.55</v>
      </c>
      <c r="BA29" s="17" t="n">
        <f aca="false">MIN(1,Inputs!$C$29*Inputs!$C$125)</f>
        <v>0.55</v>
      </c>
      <c r="BB29" s="17" t="n">
        <f aca="false">MIN(1,Inputs!$C$29*Inputs!$C$125)</f>
        <v>0.55</v>
      </c>
      <c r="BC29" s="17" t="n">
        <f aca="false">MIN(1,Inputs!$C$29*Inputs!$C$125)</f>
        <v>0.55</v>
      </c>
      <c r="BD29" s="17" t="n">
        <f aca="false">MIN(1,Inputs!$C$29*Inputs!$C$125)</f>
        <v>0.55</v>
      </c>
      <c r="BE29" s="17" t="n">
        <f aca="false">MIN(1,Inputs!$C$29*Inputs!$C$125)</f>
        <v>0.55</v>
      </c>
      <c r="BF29" s="17" t="n">
        <f aca="false">MIN(1,Inputs!$C$29*Inputs!$C$125)</f>
        <v>0.55</v>
      </c>
      <c r="BG29" s="17" t="n">
        <f aca="false">MIN(1,Inputs!$C$29*Inputs!$C$125)</f>
        <v>0.55</v>
      </c>
      <c r="BH29" s="17" t="n">
        <f aca="false">MIN(1,Inputs!$C$29*Inputs!$C$125)</f>
        <v>0.55</v>
      </c>
      <c r="BI29" s="17" t="n">
        <f aca="false">MIN(1,Inputs!$C$29*Inputs!$C$125)</f>
        <v>0.55</v>
      </c>
      <c r="BJ29" s="17" t="n">
        <f aca="false">MIN(1,Inputs!$C$29*Inputs!$C$125)</f>
        <v>0.55</v>
      </c>
      <c r="BK29" s="17" t="n">
        <f aca="false">MIN(1,Inputs!$C$29*Inputs!$C$125)</f>
        <v>0.55</v>
      </c>
    </row>
    <row r="30" customFormat="false" ht="15" hidden="false" customHeight="true" outlineLevel="0" collapsed="false">
      <c r="A30" s="12" t="s">
        <v>1914</v>
      </c>
      <c r="B30" s="4" t="s">
        <v>29</v>
      </c>
      <c r="D30" s="16" t="n">
        <f aca="true">IF(D$6&gt;D27,OFFSET(D24,0,-(D27)),0)*D29</f>
        <v>0</v>
      </c>
      <c r="E30" s="16" t="n">
        <f aca="true">IF(E$6&gt;E27,OFFSET(E24,0,-(E27)),0)*E29</f>
        <v>0</v>
      </c>
      <c r="F30" s="16" t="n">
        <f aca="true">IF(F$6&gt;F27,OFFSET(F24,0,-(F27)),0)*F29</f>
        <v>0</v>
      </c>
      <c r="G30" s="16" t="n">
        <f aca="true">IF(G$6&gt;G27,OFFSET(G24,0,-(G27)),0)*G29</f>
        <v>0</v>
      </c>
      <c r="H30" s="16" t="n">
        <f aca="true">IF(H$6&gt;H27,OFFSET(H24,0,-(H27)),0)*H29</f>
        <v>0</v>
      </c>
      <c r="I30" s="16" t="n">
        <f aca="true">IF(I$6&gt;I27,OFFSET(I24,0,-(I27)),0)*I29</f>
        <v>0</v>
      </c>
      <c r="J30" s="16" t="n">
        <f aca="true">IF(J$6&gt;J27,OFFSET(J24,0,-(J27)),0)*J29</f>
        <v>0.2475</v>
      </c>
      <c r="K30" s="16" t="n">
        <f aca="true">IF(K$6&gt;K27,OFFSET(K24,0,-(K27)),0)*K29</f>
        <v>0.2475</v>
      </c>
      <c r="L30" s="16" t="n">
        <f aca="true">IF(L$6&gt;L27,OFFSET(L24,0,-(L27)),0)*L29</f>
        <v>0.2475</v>
      </c>
      <c r="M30" s="16" t="n">
        <f aca="true">IF(M$6&gt;M27,OFFSET(M24,0,-(M27)),0)*M29</f>
        <v>0.33</v>
      </c>
      <c r="N30" s="16" t="n">
        <f aca="true">IF(N$6&gt;N27,OFFSET(N24,0,-(N27)),0)*N29</f>
        <v>0.4125</v>
      </c>
      <c r="O30" s="16" t="n">
        <f aca="true">IF(O$6&gt;O27,OFFSET(O24,0,-(O27)),0)*O29</f>
        <v>0.495</v>
      </c>
      <c r="P30" s="16" t="n">
        <f aca="true">IF(P$6&gt;P27,OFFSET(P24,0,-(P27)),0)*P29</f>
        <v>0.5775</v>
      </c>
      <c r="Q30" s="16" t="n">
        <f aca="true">IF(Q$6&gt;Q27,OFFSET(Q24,0,-(Q27)),0)*Q29</f>
        <v>0.66</v>
      </c>
      <c r="R30" s="16" t="n">
        <f aca="true">IF(R$6&gt;R27,OFFSET(R24,0,-(R27)),0)*R29</f>
        <v>0.7425</v>
      </c>
      <c r="S30" s="16" t="n">
        <f aca="true">IF(S$6&gt;S27,OFFSET(S24,0,-(S27)),0)*S29</f>
        <v>0.7425</v>
      </c>
      <c r="T30" s="16" t="n">
        <f aca="true">IF(T$6&gt;T27,OFFSET(T24,0,-(T27)),0)*T29</f>
        <v>0.7425</v>
      </c>
      <c r="U30" s="16" t="n">
        <f aca="true">IF(U$6&gt;U27,OFFSET(U24,0,-(U27)),0)*U29</f>
        <v>0.7425</v>
      </c>
      <c r="V30" s="16" t="n">
        <f aca="true">IF(V$6&gt;V27,OFFSET(V24,0,-(V27)),0)*V29</f>
        <v>0.99</v>
      </c>
      <c r="W30" s="16" t="n">
        <f aca="true">IF(W$6&gt;W27,OFFSET(W24,0,-(W27)),0)*W29</f>
        <v>1.2375</v>
      </c>
      <c r="X30" s="16" t="n">
        <f aca="true">IF(X$6&gt;X27,OFFSET(X24,0,-(X27)),0)*X29</f>
        <v>1.485</v>
      </c>
      <c r="Y30" s="16" t="n">
        <f aca="true">IF(Y$6&gt;Y27,OFFSET(Y24,0,-(Y27)),0)*Y29</f>
        <v>1.7325</v>
      </c>
      <c r="Z30" s="16" t="n">
        <f aca="true">IF(Z$6&gt;Z27,OFFSET(Z24,0,-(Z27)),0)*Z29</f>
        <v>1.98</v>
      </c>
      <c r="AA30" s="16" t="n">
        <f aca="true">IF(AA$6&gt;AA27,OFFSET(AA24,0,-(AA27)),0)*AA29</f>
        <v>2.2275</v>
      </c>
      <c r="AB30" s="16" t="n">
        <f aca="true">IF(AB$6&gt;AB27,OFFSET(AB24,0,-(AB27)),0)*AB29</f>
        <v>2.2275</v>
      </c>
      <c r="AC30" s="16" t="n">
        <f aca="true">IF(AC$6&gt;AC27,OFFSET(AC24,0,-(AC27)),0)*AC29</f>
        <v>2.2275</v>
      </c>
      <c r="AD30" s="16" t="n">
        <f aca="true">IF(AD$6&gt;AD27,OFFSET(AD24,0,-(AD27)),0)*AD29</f>
        <v>2.2275</v>
      </c>
      <c r="AE30" s="16" t="n">
        <f aca="true">IF(AE$6&gt;AE27,OFFSET(AE24,0,-(AE27)),0)*AE29</f>
        <v>2.2275</v>
      </c>
      <c r="AF30" s="16" t="n">
        <f aca="true">IF(AF$6&gt;AF27,OFFSET(AF24,0,-(AF27)),0)*AF29</f>
        <v>2.2275</v>
      </c>
      <c r="AG30" s="16" t="n">
        <f aca="true">IF(AG$6&gt;AG27,OFFSET(AG24,0,-(AG27)),0)*AG29</f>
        <v>2.2275</v>
      </c>
      <c r="AH30" s="16" t="n">
        <f aca="true">IF(AH$6&gt;AH27,OFFSET(AH24,0,-(AH27)),0)*AH29</f>
        <v>2.59875</v>
      </c>
      <c r="AI30" s="16" t="n">
        <f aca="true">IF(AI$6&gt;AI27,OFFSET(AI24,0,-(AI27)),0)*AI29</f>
        <v>3.09375</v>
      </c>
      <c r="AJ30" s="16" t="n">
        <f aca="true">IF(AJ$6&gt;AJ27,OFFSET(AJ24,0,-(AJ27)),0)*AJ29</f>
        <v>3.58875</v>
      </c>
      <c r="AK30" s="16" t="n">
        <f aca="true">IF(AK$6&gt;AK27,OFFSET(AK24,0,-(AK27)),0)*AK29</f>
        <v>4.08375</v>
      </c>
      <c r="AL30" s="16" t="n">
        <f aca="true">IF(AL$6&gt;AL27,OFFSET(AL24,0,-(AL27)),0)*AL29</f>
        <v>4.57875</v>
      </c>
      <c r="AM30" s="16" t="n">
        <f aca="true">IF(AM$6&gt;AM27,OFFSET(AM24,0,-(AM27)),0)*AM29</f>
        <v>5.07375</v>
      </c>
      <c r="AN30" s="16" t="n">
        <f aca="true">IF(AN$6&gt;AN27,OFFSET(AN24,0,-(AN27)),0)*AN29</f>
        <v>5.07375</v>
      </c>
      <c r="AO30" s="16" t="n">
        <f aca="true">IF(AO$6&gt;AO27,OFFSET(AO24,0,-(AO27)),0)*AO29</f>
        <v>5.07375</v>
      </c>
      <c r="AP30" s="16" t="n">
        <f aca="true">IF(AP$6&gt;AP27,OFFSET(AP24,0,-(AP27)),0)*AP29</f>
        <v>5.07375</v>
      </c>
      <c r="AQ30" s="16" t="n">
        <f aca="true">IF(AQ$6&gt;AQ27,OFFSET(AQ24,0,-(AQ27)),0)*AQ29</f>
        <v>5.07375</v>
      </c>
      <c r="AR30" s="16" t="n">
        <f aca="true">IF(AR$6&gt;AR27,OFFSET(AR24,0,-(AR27)),0)*AR29</f>
        <v>5.07375</v>
      </c>
      <c r="AS30" s="16" t="n">
        <f aca="true">IF(AS$6&gt;AS27,OFFSET(AS24,0,-(AS27)),0)*AS29</f>
        <v>5.07375</v>
      </c>
      <c r="AT30" s="16" t="n">
        <f aca="true">IF(AT$6&gt;AT27,OFFSET(AT24,0,-(AT27)),0)*AT29</f>
        <v>5.73375</v>
      </c>
      <c r="AU30" s="16" t="n">
        <f aca="true">IF(AU$6&gt;AU27,OFFSET(AU24,0,-(AU27)),0)*AU29</f>
        <v>6.39375</v>
      </c>
      <c r="AV30" s="16" t="n">
        <f aca="true">IF(AV$6&gt;AV27,OFFSET(AV24,0,-(AV27)),0)*AV29</f>
        <v>7.05375</v>
      </c>
      <c r="AW30" s="16" t="n">
        <f aca="true">IF(AW$6&gt;AW27,OFFSET(AW24,0,-(AW27)),0)*AW29</f>
        <v>7.71375</v>
      </c>
      <c r="AX30" s="16" t="n">
        <f aca="true">IF(AX$6&gt;AX27,OFFSET(AX24,0,-(AX27)),0)*AX29</f>
        <v>8.37375</v>
      </c>
      <c r="AY30" s="16" t="n">
        <f aca="true">IF(AY$6&gt;AY27,OFFSET(AY24,0,-(AY27)),0)*AY29</f>
        <v>9.03375</v>
      </c>
      <c r="AZ30" s="16" t="n">
        <f aca="true">IF(AZ$6&gt;AZ27,OFFSET(AZ24,0,-(AZ27)),0)*AZ29</f>
        <v>9.03375</v>
      </c>
      <c r="BA30" s="16" t="n">
        <f aca="true">IF(BA$6&gt;BA27,OFFSET(BA24,0,-(BA27)),0)*BA29</f>
        <v>9.03375</v>
      </c>
      <c r="BB30" s="16" t="n">
        <f aca="true">IF(BB$6&gt;BB27,OFFSET(BB24,0,-(BB27)),0)*BB29</f>
        <v>9.03375</v>
      </c>
      <c r="BC30" s="16" t="n">
        <f aca="true">IF(BC$6&gt;BC27,OFFSET(BC24,0,-(BC27)),0)*BC29</f>
        <v>9.03375</v>
      </c>
      <c r="BD30" s="16" t="n">
        <f aca="true">IF(BD$6&gt;BD27,OFFSET(BD24,0,-(BD27)),0)*BD29</f>
        <v>9.03375</v>
      </c>
      <c r="BE30" s="16" t="n">
        <f aca="true">IF(BE$6&gt;BE27,OFFSET(BE24,0,-(BE27)),0)*BE29</f>
        <v>9.03375</v>
      </c>
      <c r="BF30" s="16" t="n">
        <f aca="true">IF(BF$6&gt;BF27,OFFSET(BF24,0,-(BF27)),0)*BF29</f>
        <v>9.61125</v>
      </c>
      <c r="BG30" s="16" t="n">
        <f aca="true">IF(BG$6&gt;BG27,OFFSET(BG24,0,-(BG27)),0)*BG29</f>
        <v>10.18875</v>
      </c>
      <c r="BH30" s="16" t="n">
        <f aca="true">IF(BH$6&gt;BH27,OFFSET(BH24,0,-(BH27)),0)*BH29</f>
        <v>10.76625</v>
      </c>
      <c r="BI30" s="16" t="n">
        <f aca="true">IF(BI$6&gt;BI27,OFFSET(BI24,0,-(BI27)),0)*BI29</f>
        <v>11.34375</v>
      </c>
      <c r="BJ30" s="16" t="n">
        <f aca="true">IF(BJ$6&gt;BJ27,OFFSET(BJ24,0,-(BJ27)),0)*BJ29</f>
        <v>11.92125</v>
      </c>
      <c r="BK30" s="16" t="n">
        <f aca="true">IF(BK$6&gt;BK27,OFFSET(BK24,0,-(BK27)),0)*BK29</f>
        <v>12.49875</v>
      </c>
    </row>
    <row r="31" customFormat="false" ht="15" hidden="false" customHeight="true" outlineLevel="0" collapsed="false">
      <c r="A31" s="12" t="s">
        <v>1915</v>
      </c>
      <c r="B31" s="4" t="s">
        <v>29</v>
      </c>
      <c r="D31" s="16" t="n">
        <f aca="true">IF(D$6&gt;D27,OFFSET(D25,0,-(D27)),0)*D29</f>
        <v>0</v>
      </c>
      <c r="E31" s="16" t="n">
        <f aca="true">IF(E$6&gt;E27,OFFSET(E25,0,-(E27)),0)*E29</f>
        <v>0</v>
      </c>
      <c r="F31" s="16" t="n">
        <f aca="true">IF(F$6&gt;F27,OFFSET(F25,0,-(F27)),0)*F29</f>
        <v>0</v>
      </c>
      <c r="G31" s="16" t="n">
        <f aca="true">IF(G$6&gt;G27,OFFSET(G25,0,-(G27)),0)*G29</f>
        <v>0</v>
      </c>
      <c r="H31" s="16" t="n">
        <f aca="true">IF(H$6&gt;H27,OFFSET(H25,0,-(H27)),0)*H29</f>
        <v>0</v>
      </c>
      <c r="I31" s="16" t="n">
        <f aca="true">IF(I$6&gt;I27,OFFSET(I25,0,-(I27)),0)*I29</f>
        <v>0</v>
      </c>
      <c r="J31" s="16" t="n">
        <f aca="true">IF(J$6&gt;J27,OFFSET(J25,0,-(J27)),0)*J29</f>
        <v>0</v>
      </c>
      <c r="K31" s="16" t="n">
        <f aca="true">IF(K$6&gt;K27,OFFSET(K25,0,-(K27)),0)*K29</f>
        <v>0</v>
      </c>
      <c r="L31" s="16" t="n">
        <f aca="true">IF(L$6&gt;L27,OFFSET(L25,0,-(L27)),0)*L29</f>
        <v>0</v>
      </c>
      <c r="M31" s="16" t="n">
        <f aca="true">IF(M$6&gt;M27,OFFSET(M25,0,-(M27)),0)*M29</f>
        <v>0</v>
      </c>
      <c r="N31" s="16" t="n">
        <f aca="true">IF(N$6&gt;N27,OFFSET(N25,0,-(N27)),0)*N29</f>
        <v>0</v>
      </c>
      <c r="O31" s="16" t="n">
        <f aca="true">IF(O$6&gt;O27,OFFSET(O25,0,-(O27)),0)*O29</f>
        <v>0</v>
      </c>
      <c r="P31" s="16" t="n">
        <f aca="true">IF(P$6&gt;P27,OFFSET(P25,0,-(P27)),0)*P29</f>
        <v>0</v>
      </c>
      <c r="Q31" s="16" t="n">
        <f aca="true">IF(Q$6&gt;Q27,OFFSET(Q25,0,-(Q27)),0)*Q29</f>
        <v>0</v>
      </c>
      <c r="R31" s="16" t="n">
        <f aca="true">IF(R$6&gt;R27,OFFSET(R25,0,-(R27)),0)*R29</f>
        <v>0</v>
      </c>
      <c r="S31" s="16" t="n">
        <f aca="true">IF(S$6&gt;S27,OFFSET(S25,0,-(S27)),0)*S29</f>
        <v>0</v>
      </c>
      <c r="T31" s="16" t="n">
        <f aca="true">IF(T$6&gt;T27,OFFSET(T25,0,-(T27)),0)*T29</f>
        <v>0</v>
      </c>
      <c r="U31" s="16" t="n">
        <f aca="true">IF(U$6&gt;U27,OFFSET(U25,0,-(U27)),0)*U29</f>
        <v>0</v>
      </c>
      <c r="V31" s="16" t="n">
        <f aca="true">IF(V$6&gt;V27,OFFSET(V25,0,-(V27)),0)*V29</f>
        <v>1.61989828</v>
      </c>
      <c r="W31" s="16" t="n">
        <f aca="true">IF(W$6&gt;W27,OFFSET(W25,0,-(W27)),0)*W29</f>
        <v>1.61989828</v>
      </c>
      <c r="X31" s="16" t="n">
        <f aca="true">IF(X$6&gt;X27,OFFSET(X25,0,-(X27)),0)*X29</f>
        <v>1.61989828</v>
      </c>
      <c r="Y31" s="16" t="n">
        <f aca="true">IF(Y$6&gt;Y27,OFFSET(Y25,0,-(Y27)),0)*Y29</f>
        <v>1.61989828</v>
      </c>
      <c r="Z31" s="16" t="n">
        <f aca="true">IF(Z$6&gt;Z27,OFFSET(Z25,0,-(Z27)),0)*Z29</f>
        <v>1.61989828</v>
      </c>
      <c r="AA31" s="16" t="n">
        <f aca="true">IF(AA$6&gt;AA27,OFFSET(AA25,0,-(AA27)),0)*AA29</f>
        <v>1.61989828</v>
      </c>
      <c r="AB31" s="16" t="n">
        <f aca="true">IF(AB$6&gt;AB27,OFFSET(AB25,0,-(AB27)),0)*AB29</f>
        <v>1.61989828</v>
      </c>
      <c r="AC31" s="16" t="n">
        <f aca="true">IF(AC$6&gt;AC27,OFFSET(AC25,0,-(AC27)),0)*AC29</f>
        <v>1.61989828</v>
      </c>
      <c r="AD31" s="16" t="n">
        <f aca="true">IF(AD$6&gt;AD27,OFFSET(AD25,0,-(AD27)),0)*AD29</f>
        <v>1.61989828</v>
      </c>
      <c r="AE31" s="16" t="n">
        <f aca="true">IF(AE$6&gt;AE27,OFFSET(AE25,0,-(AE27)),0)*AE29</f>
        <v>1.61989828</v>
      </c>
      <c r="AF31" s="16" t="n">
        <f aca="true">IF(AF$6&gt;AF27,OFFSET(AF25,0,-(AF27)),0)*AF29</f>
        <v>1.61989828</v>
      </c>
      <c r="AG31" s="16" t="n">
        <f aca="true">IF(AG$6&gt;AG27,OFFSET(AG25,0,-(AG27)),0)*AG29</f>
        <v>1.61989828</v>
      </c>
      <c r="AH31" s="16" t="n">
        <f aca="true">IF(AH$6&gt;AH27,OFFSET(AH25,0,-(AH27)),0)*AH29</f>
        <v>4.85969484</v>
      </c>
      <c r="AI31" s="16" t="n">
        <f aca="true">IF(AI$6&gt;AI27,OFFSET(AI25,0,-(AI27)),0)*AI29</f>
        <v>4.85969484</v>
      </c>
      <c r="AJ31" s="16" t="n">
        <f aca="true">IF(AJ$6&gt;AJ27,OFFSET(AJ25,0,-(AJ27)),0)*AJ29</f>
        <v>4.85969484</v>
      </c>
      <c r="AK31" s="16" t="n">
        <f aca="true">IF(AK$6&gt;AK27,OFFSET(AK25,0,-(AK27)),0)*AK29</f>
        <v>4.85969484</v>
      </c>
      <c r="AL31" s="16" t="n">
        <f aca="true">IF(AL$6&gt;AL27,OFFSET(AL25,0,-(AL27)),0)*AL29</f>
        <v>4.85969484</v>
      </c>
      <c r="AM31" s="16" t="n">
        <f aca="true">IF(AM$6&gt;AM27,OFFSET(AM25,0,-(AM27)),0)*AM29</f>
        <v>4.85969484</v>
      </c>
      <c r="AN31" s="16" t="n">
        <f aca="true">IF(AN$6&gt;AN27,OFFSET(AN25,0,-(AN27)),0)*AN29</f>
        <v>4.85969484</v>
      </c>
      <c r="AO31" s="16" t="n">
        <f aca="true">IF(AO$6&gt;AO27,OFFSET(AO25,0,-(AO27)),0)*AO29</f>
        <v>4.85969484</v>
      </c>
      <c r="AP31" s="16" t="n">
        <f aca="true">IF(AP$6&gt;AP27,OFFSET(AP25,0,-(AP27)),0)*AP29</f>
        <v>4.85969484</v>
      </c>
      <c r="AQ31" s="16" t="n">
        <f aca="true">IF(AQ$6&gt;AQ27,OFFSET(AQ25,0,-(AQ27)),0)*AQ29</f>
        <v>4.85969484</v>
      </c>
      <c r="AR31" s="16" t="n">
        <f aca="true">IF(AR$6&gt;AR27,OFFSET(AR25,0,-(AR27)),0)*AR29</f>
        <v>4.85969484</v>
      </c>
      <c r="AS31" s="16" t="n">
        <f aca="true">IF(AS$6&gt;AS27,OFFSET(AS25,0,-(AS27)),0)*AS29</f>
        <v>4.85969484</v>
      </c>
      <c r="AT31" s="16" t="n">
        <f aca="true">IF(AT$6&gt;AT27,OFFSET(AT25,0,-(AT27)),0)*AT29</f>
        <v>8.0994914</v>
      </c>
      <c r="AU31" s="16" t="n">
        <f aca="true">IF(AU$6&gt;AU27,OFFSET(AU25,0,-(AU27)),0)*AU29</f>
        <v>8.0994914</v>
      </c>
      <c r="AV31" s="16" t="n">
        <f aca="true">IF(AV$6&gt;AV27,OFFSET(AV25,0,-(AV27)),0)*AV29</f>
        <v>8.0994914</v>
      </c>
      <c r="AW31" s="16" t="n">
        <f aca="true">IF(AW$6&gt;AW27,OFFSET(AW25,0,-(AW27)),0)*AW29</f>
        <v>8.0994914</v>
      </c>
      <c r="AX31" s="16" t="n">
        <f aca="true">IF(AX$6&gt;AX27,OFFSET(AX25,0,-(AX27)),0)*AX29</f>
        <v>8.0994914</v>
      </c>
      <c r="AY31" s="16" t="n">
        <f aca="true">IF(AY$6&gt;AY27,OFFSET(AY25,0,-(AY27)),0)*AY29</f>
        <v>8.0994914</v>
      </c>
      <c r="AZ31" s="16" t="n">
        <f aca="true">IF(AZ$6&gt;AZ27,OFFSET(AZ25,0,-(AZ27)),0)*AZ29</f>
        <v>8.0994914</v>
      </c>
      <c r="BA31" s="16" t="n">
        <f aca="true">IF(BA$6&gt;BA27,OFFSET(BA25,0,-(BA27)),0)*BA29</f>
        <v>8.0994914</v>
      </c>
      <c r="BB31" s="16" t="n">
        <f aca="true">IF(BB$6&gt;BB27,OFFSET(BB25,0,-(BB27)),0)*BB29</f>
        <v>8.0994914</v>
      </c>
      <c r="BC31" s="16" t="n">
        <f aca="true">IF(BC$6&gt;BC27,OFFSET(BC25,0,-(BC27)),0)*BC29</f>
        <v>8.0994914</v>
      </c>
      <c r="BD31" s="16" t="n">
        <f aca="true">IF(BD$6&gt;BD27,OFFSET(BD25,0,-(BD27)),0)*BD29</f>
        <v>8.0994914</v>
      </c>
      <c r="BE31" s="16" t="n">
        <f aca="true">IF(BE$6&gt;BE27,OFFSET(BE25,0,-(BE27)),0)*BE29</f>
        <v>8.0994914</v>
      </c>
      <c r="BF31" s="16" t="n">
        <f aca="true">IF(BF$6&gt;BF27,OFFSET(BF25,0,-(BF27)),0)*BF29</f>
        <v>11.33928796</v>
      </c>
      <c r="BG31" s="16" t="n">
        <f aca="true">IF(BG$6&gt;BG27,OFFSET(BG25,0,-(BG27)),0)*BG29</f>
        <v>11.33928796</v>
      </c>
      <c r="BH31" s="16" t="n">
        <f aca="true">IF(BH$6&gt;BH27,OFFSET(BH25,0,-(BH27)),0)*BH29</f>
        <v>11.33928796</v>
      </c>
      <c r="BI31" s="16" t="n">
        <f aca="true">IF(BI$6&gt;BI27,OFFSET(BI25,0,-(BI27)),0)*BI29</f>
        <v>11.33928796</v>
      </c>
      <c r="BJ31" s="16" t="n">
        <f aca="true">IF(BJ$6&gt;BJ27,OFFSET(BJ25,0,-(BJ27)),0)*BJ29</f>
        <v>11.33928796</v>
      </c>
      <c r="BK31" s="16" t="n">
        <f aca="true">IF(BK$6&gt;BK27,OFFSET(BK25,0,-(BK27)),0)*BK29</f>
        <v>11.33928796</v>
      </c>
    </row>
    <row r="32" customFormat="false" ht="15" hidden="false" customHeight="true" outlineLevel="0" collapsed="false">
      <c r="A32" s="5" t="s">
        <v>1916</v>
      </c>
      <c r="B32" s="4" t="s">
        <v>29</v>
      </c>
      <c r="D32" s="52" t="n">
        <f aca="false">D30+D31</f>
        <v>0</v>
      </c>
      <c r="E32" s="52" t="n">
        <f aca="false">E30+E31</f>
        <v>0</v>
      </c>
      <c r="F32" s="52" t="n">
        <f aca="false">F30+F31</f>
        <v>0</v>
      </c>
      <c r="G32" s="52" t="n">
        <f aca="false">G30+G31</f>
        <v>0</v>
      </c>
      <c r="H32" s="52" t="n">
        <f aca="false">H30+H31</f>
        <v>0</v>
      </c>
      <c r="I32" s="52" t="n">
        <f aca="false">I30+I31</f>
        <v>0</v>
      </c>
      <c r="J32" s="52" t="n">
        <f aca="false">J30+J31</f>
        <v>0.2475</v>
      </c>
      <c r="K32" s="52" t="n">
        <f aca="false">K30+K31</f>
        <v>0.2475</v>
      </c>
      <c r="L32" s="52" t="n">
        <f aca="false">L30+L31</f>
        <v>0.2475</v>
      </c>
      <c r="M32" s="52" t="n">
        <f aca="false">M30+M31</f>
        <v>0.33</v>
      </c>
      <c r="N32" s="52" t="n">
        <f aca="false">N30+N31</f>
        <v>0.4125</v>
      </c>
      <c r="O32" s="52" t="n">
        <f aca="false">O30+O31</f>
        <v>0.495</v>
      </c>
      <c r="P32" s="52" t="n">
        <f aca="false">P30+P31</f>
        <v>0.5775</v>
      </c>
      <c r="Q32" s="52" t="n">
        <f aca="false">Q30+Q31</f>
        <v>0.66</v>
      </c>
      <c r="R32" s="52" t="n">
        <f aca="false">R30+R31</f>
        <v>0.7425</v>
      </c>
      <c r="S32" s="52" t="n">
        <f aca="false">S30+S31</f>
        <v>0.7425</v>
      </c>
      <c r="T32" s="52" t="n">
        <f aca="false">T30+T31</f>
        <v>0.7425</v>
      </c>
      <c r="U32" s="52" t="n">
        <f aca="false">U30+U31</f>
        <v>0.7425</v>
      </c>
      <c r="V32" s="52" t="n">
        <f aca="false">V30+V31</f>
        <v>2.60989828</v>
      </c>
      <c r="W32" s="52" t="n">
        <f aca="false">W30+W31</f>
        <v>2.85739828</v>
      </c>
      <c r="X32" s="52" t="n">
        <f aca="false">X30+X31</f>
        <v>3.10489828</v>
      </c>
      <c r="Y32" s="52" t="n">
        <f aca="false">Y30+Y31</f>
        <v>3.35239828</v>
      </c>
      <c r="Z32" s="52" t="n">
        <f aca="false">Z30+Z31</f>
        <v>3.59989828</v>
      </c>
      <c r="AA32" s="52" t="n">
        <f aca="false">AA30+AA31</f>
        <v>3.84739828</v>
      </c>
      <c r="AB32" s="52" t="n">
        <f aca="false">AB30+AB31</f>
        <v>3.84739828</v>
      </c>
      <c r="AC32" s="52" t="n">
        <f aca="false">AC30+AC31</f>
        <v>3.84739828</v>
      </c>
      <c r="AD32" s="52" t="n">
        <f aca="false">AD30+AD31</f>
        <v>3.84739828</v>
      </c>
      <c r="AE32" s="52" t="n">
        <f aca="false">AE30+AE31</f>
        <v>3.84739828</v>
      </c>
      <c r="AF32" s="52" t="n">
        <f aca="false">AF30+AF31</f>
        <v>3.84739828</v>
      </c>
      <c r="AG32" s="52" t="n">
        <f aca="false">AG30+AG31</f>
        <v>3.84739828</v>
      </c>
      <c r="AH32" s="52" t="n">
        <f aca="false">AH30+AH31</f>
        <v>7.45844484</v>
      </c>
      <c r="AI32" s="52" t="n">
        <f aca="false">AI30+AI31</f>
        <v>7.95344484</v>
      </c>
      <c r="AJ32" s="52" t="n">
        <f aca="false">AJ30+AJ31</f>
        <v>8.44844484</v>
      </c>
      <c r="AK32" s="52" t="n">
        <f aca="false">AK30+AK31</f>
        <v>8.94344484</v>
      </c>
      <c r="AL32" s="52" t="n">
        <f aca="false">AL30+AL31</f>
        <v>9.43844484</v>
      </c>
      <c r="AM32" s="52" t="n">
        <f aca="false">AM30+AM31</f>
        <v>9.93344484</v>
      </c>
      <c r="AN32" s="52" t="n">
        <f aca="false">AN30+AN31</f>
        <v>9.93344484</v>
      </c>
      <c r="AO32" s="52" t="n">
        <f aca="false">AO30+AO31</f>
        <v>9.93344484</v>
      </c>
      <c r="AP32" s="52" t="n">
        <f aca="false">AP30+AP31</f>
        <v>9.93344484</v>
      </c>
      <c r="AQ32" s="52" t="n">
        <f aca="false">AQ30+AQ31</f>
        <v>9.93344484</v>
      </c>
      <c r="AR32" s="52" t="n">
        <f aca="false">AR30+AR31</f>
        <v>9.93344484</v>
      </c>
      <c r="AS32" s="52" t="n">
        <f aca="false">AS30+AS31</f>
        <v>9.93344484</v>
      </c>
      <c r="AT32" s="52" t="n">
        <f aca="false">AT30+AT31</f>
        <v>13.8332414</v>
      </c>
      <c r="AU32" s="52" t="n">
        <f aca="false">AU30+AU31</f>
        <v>14.4932414</v>
      </c>
      <c r="AV32" s="52" t="n">
        <f aca="false">AV30+AV31</f>
        <v>15.1532414</v>
      </c>
      <c r="AW32" s="52" t="n">
        <f aca="false">AW30+AW31</f>
        <v>15.8132414</v>
      </c>
      <c r="AX32" s="52" t="n">
        <f aca="false">AX30+AX31</f>
        <v>16.4732414</v>
      </c>
      <c r="AY32" s="52" t="n">
        <f aca="false">AY30+AY31</f>
        <v>17.1332414</v>
      </c>
      <c r="AZ32" s="52" t="n">
        <f aca="false">AZ30+AZ31</f>
        <v>17.1332414</v>
      </c>
      <c r="BA32" s="52" t="n">
        <f aca="false">BA30+BA31</f>
        <v>17.1332414</v>
      </c>
      <c r="BB32" s="52" t="n">
        <f aca="false">BB30+BB31</f>
        <v>17.1332414</v>
      </c>
      <c r="BC32" s="52" t="n">
        <f aca="false">BC30+BC31</f>
        <v>17.1332414</v>
      </c>
      <c r="BD32" s="52" t="n">
        <f aca="false">BD30+BD31</f>
        <v>17.1332414</v>
      </c>
      <c r="BE32" s="52" t="n">
        <f aca="false">BE30+BE31</f>
        <v>17.1332414</v>
      </c>
      <c r="BF32" s="52" t="n">
        <f aca="false">BF30+BF31</f>
        <v>20.95053796</v>
      </c>
      <c r="BG32" s="52" t="n">
        <f aca="false">BG30+BG31</f>
        <v>21.52803796</v>
      </c>
      <c r="BH32" s="52" t="n">
        <f aca="false">BH30+BH31</f>
        <v>22.10553796</v>
      </c>
      <c r="BI32" s="52" t="n">
        <f aca="false">BI30+BI31</f>
        <v>22.68303796</v>
      </c>
      <c r="BJ32" s="52" t="n">
        <f aca="false">BJ30+BJ31</f>
        <v>23.26053796</v>
      </c>
      <c r="BK32" s="52" t="n">
        <f aca="false">BK30+BK31</f>
        <v>23.83803796</v>
      </c>
    </row>
    <row r="34" customFormat="false" ht="15" hidden="false" customHeight="true" outlineLevel="0" collapsed="false">
      <c r="A34" s="10" t="s">
        <v>1917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customFormat="false" ht="15" hidden="false" customHeight="true" outlineLevel="0" collapsed="false">
      <c r="A35" s="12" t="s">
        <v>1918</v>
      </c>
      <c r="B35" s="4" t="s">
        <v>62</v>
      </c>
      <c r="D35" s="20" t="n">
        <f aca="false">MAX(1,ROUND(Inputs!$C$33,0))</f>
        <v>2</v>
      </c>
      <c r="E35" s="20" t="n">
        <f aca="false">MAX(1,ROUND(Inputs!$C$33,0))</f>
        <v>2</v>
      </c>
      <c r="F35" s="20" t="n">
        <f aca="false">MAX(1,ROUND(Inputs!$C$33,0))</f>
        <v>2</v>
      </c>
      <c r="G35" s="20" t="n">
        <f aca="false">MAX(1,ROUND(Inputs!$C$33,0))</f>
        <v>2</v>
      </c>
      <c r="H35" s="20" t="n">
        <f aca="false">MAX(1,ROUND(Inputs!$C$33,0))</f>
        <v>2</v>
      </c>
      <c r="I35" s="20" t="n">
        <f aca="false">MAX(1,ROUND(Inputs!$C$33,0))</f>
        <v>2</v>
      </c>
      <c r="J35" s="20" t="n">
        <f aca="false">MAX(1,ROUND(Inputs!$C$33,0))</f>
        <v>2</v>
      </c>
      <c r="K35" s="20" t="n">
        <f aca="false">MAX(1,ROUND(Inputs!$C$33,0))</f>
        <v>2</v>
      </c>
      <c r="L35" s="20" t="n">
        <f aca="false">MAX(1,ROUND(Inputs!$C$33,0))</f>
        <v>2</v>
      </c>
      <c r="M35" s="20" t="n">
        <f aca="false">MAX(1,ROUND(Inputs!$C$33,0))</f>
        <v>2</v>
      </c>
      <c r="N35" s="20" t="n">
        <f aca="false">MAX(1,ROUND(Inputs!$C$33,0))</f>
        <v>2</v>
      </c>
      <c r="O35" s="20" t="n">
        <f aca="false">MAX(1,ROUND(Inputs!$C$33,0))</f>
        <v>2</v>
      </c>
      <c r="P35" s="20" t="n">
        <f aca="false">MAX(1,ROUND(Inputs!$C$33,0))</f>
        <v>2</v>
      </c>
      <c r="Q35" s="20" t="n">
        <f aca="false">MAX(1,ROUND(Inputs!$C$33,0))</f>
        <v>2</v>
      </c>
      <c r="R35" s="20" t="n">
        <f aca="false">MAX(1,ROUND(Inputs!$C$33,0))</f>
        <v>2</v>
      </c>
      <c r="S35" s="20" t="n">
        <f aca="false">MAX(1,ROUND(Inputs!$C$33,0))</f>
        <v>2</v>
      </c>
      <c r="T35" s="20" t="n">
        <f aca="false">MAX(1,ROUND(Inputs!$C$33,0))</f>
        <v>2</v>
      </c>
      <c r="U35" s="20" t="n">
        <f aca="false">MAX(1,ROUND(Inputs!$C$33,0))</f>
        <v>2</v>
      </c>
      <c r="V35" s="20" t="n">
        <f aca="false">MAX(1,ROUND(Inputs!$C$33,0))</f>
        <v>2</v>
      </c>
      <c r="W35" s="20" t="n">
        <f aca="false">MAX(1,ROUND(Inputs!$C$33,0))</f>
        <v>2</v>
      </c>
      <c r="X35" s="20" t="n">
        <f aca="false">MAX(1,ROUND(Inputs!$C$33,0))</f>
        <v>2</v>
      </c>
      <c r="Y35" s="20" t="n">
        <f aca="false">MAX(1,ROUND(Inputs!$C$33,0))</f>
        <v>2</v>
      </c>
      <c r="Z35" s="20" t="n">
        <f aca="false">MAX(1,ROUND(Inputs!$C$33,0))</f>
        <v>2</v>
      </c>
      <c r="AA35" s="20" t="n">
        <f aca="false">MAX(1,ROUND(Inputs!$C$33,0))</f>
        <v>2</v>
      </c>
      <c r="AB35" s="20" t="n">
        <f aca="false">MAX(1,ROUND(Inputs!$C$33,0))</f>
        <v>2</v>
      </c>
      <c r="AC35" s="20" t="n">
        <f aca="false">MAX(1,ROUND(Inputs!$C$33,0))</f>
        <v>2</v>
      </c>
      <c r="AD35" s="20" t="n">
        <f aca="false">MAX(1,ROUND(Inputs!$C$33,0))</f>
        <v>2</v>
      </c>
      <c r="AE35" s="20" t="n">
        <f aca="false">MAX(1,ROUND(Inputs!$C$33,0))</f>
        <v>2</v>
      </c>
      <c r="AF35" s="20" t="n">
        <f aca="false">MAX(1,ROUND(Inputs!$C$33,0))</f>
        <v>2</v>
      </c>
      <c r="AG35" s="20" t="n">
        <f aca="false">MAX(1,ROUND(Inputs!$C$33,0))</f>
        <v>2</v>
      </c>
      <c r="AH35" s="20" t="n">
        <f aca="false">MAX(1,ROUND(Inputs!$C$33,0))</f>
        <v>2</v>
      </c>
      <c r="AI35" s="20" t="n">
        <f aca="false">MAX(1,ROUND(Inputs!$C$33,0))</f>
        <v>2</v>
      </c>
      <c r="AJ35" s="20" t="n">
        <f aca="false">MAX(1,ROUND(Inputs!$C$33,0))</f>
        <v>2</v>
      </c>
      <c r="AK35" s="20" t="n">
        <f aca="false">MAX(1,ROUND(Inputs!$C$33,0))</f>
        <v>2</v>
      </c>
      <c r="AL35" s="20" t="n">
        <f aca="false">MAX(1,ROUND(Inputs!$C$33,0))</f>
        <v>2</v>
      </c>
      <c r="AM35" s="20" t="n">
        <f aca="false">MAX(1,ROUND(Inputs!$C$33,0))</f>
        <v>2</v>
      </c>
      <c r="AN35" s="20" t="n">
        <f aca="false">MAX(1,ROUND(Inputs!$C$33,0))</f>
        <v>2</v>
      </c>
      <c r="AO35" s="20" t="n">
        <f aca="false">MAX(1,ROUND(Inputs!$C$33,0))</f>
        <v>2</v>
      </c>
      <c r="AP35" s="20" t="n">
        <f aca="false">MAX(1,ROUND(Inputs!$C$33,0))</f>
        <v>2</v>
      </c>
      <c r="AQ35" s="20" t="n">
        <f aca="false">MAX(1,ROUND(Inputs!$C$33,0))</f>
        <v>2</v>
      </c>
      <c r="AR35" s="20" t="n">
        <f aca="false">MAX(1,ROUND(Inputs!$C$33,0))</f>
        <v>2</v>
      </c>
      <c r="AS35" s="20" t="n">
        <f aca="false">MAX(1,ROUND(Inputs!$C$33,0))</f>
        <v>2</v>
      </c>
      <c r="AT35" s="20" t="n">
        <f aca="false">MAX(1,ROUND(Inputs!$C$33,0))</f>
        <v>2</v>
      </c>
      <c r="AU35" s="20" t="n">
        <f aca="false">MAX(1,ROUND(Inputs!$C$33,0))</f>
        <v>2</v>
      </c>
      <c r="AV35" s="20" t="n">
        <f aca="false">MAX(1,ROUND(Inputs!$C$33,0))</f>
        <v>2</v>
      </c>
      <c r="AW35" s="20" t="n">
        <f aca="false">MAX(1,ROUND(Inputs!$C$33,0))</f>
        <v>2</v>
      </c>
      <c r="AX35" s="20" t="n">
        <f aca="false">MAX(1,ROUND(Inputs!$C$33,0))</f>
        <v>2</v>
      </c>
      <c r="AY35" s="20" t="n">
        <f aca="false">MAX(1,ROUND(Inputs!$C$33,0))</f>
        <v>2</v>
      </c>
      <c r="AZ35" s="20" t="n">
        <f aca="false">MAX(1,ROUND(Inputs!$C$33,0))</f>
        <v>2</v>
      </c>
      <c r="BA35" s="20" t="n">
        <f aca="false">MAX(1,ROUND(Inputs!$C$33,0))</f>
        <v>2</v>
      </c>
      <c r="BB35" s="20" t="n">
        <f aca="false">MAX(1,ROUND(Inputs!$C$33,0))</f>
        <v>2</v>
      </c>
      <c r="BC35" s="20" t="n">
        <f aca="false">MAX(1,ROUND(Inputs!$C$33,0))</f>
        <v>2</v>
      </c>
      <c r="BD35" s="20" t="n">
        <f aca="false">MAX(1,ROUND(Inputs!$C$33,0))</f>
        <v>2</v>
      </c>
      <c r="BE35" s="20" t="n">
        <f aca="false">MAX(1,ROUND(Inputs!$C$33,0))</f>
        <v>2</v>
      </c>
      <c r="BF35" s="20" t="n">
        <f aca="false">MAX(1,ROUND(Inputs!$C$33,0))</f>
        <v>2</v>
      </c>
      <c r="BG35" s="20" t="n">
        <f aca="false">MAX(1,ROUND(Inputs!$C$33,0))</f>
        <v>2</v>
      </c>
      <c r="BH35" s="20" t="n">
        <f aca="false">MAX(1,ROUND(Inputs!$C$33,0))</f>
        <v>2</v>
      </c>
      <c r="BI35" s="20" t="n">
        <f aca="false">MAX(1,ROUND(Inputs!$C$33,0))</f>
        <v>2</v>
      </c>
      <c r="BJ35" s="20" t="n">
        <f aca="false">MAX(1,ROUND(Inputs!$C$33,0))</f>
        <v>2</v>
      </c>
      <c r="BK35" s="20" t="n">
        <f aca="false">MAX(1,ROUND(Inputs!$C$33,0))</f>
        <v>2</v>
      </c>
    </row>
    <row r="36" customFormat="false" ht="15" hidden="false" customHeight="true" outlineLevel="0" collapsed="false">
      <c r="A36" s="12" t="s">
        <v>1919</v>
      </c>
      <c r="B36" s="4" t="s">
        <v>29</v>
      </c>
      <c r="D36" s="16" t="n">
        <f aca="true">IF(D$6=1,0,SUM(OFFSET(D32,0,-MIN(D35,D$6-1),1,MIN(D35,D$6-1))))</f>
        <v>0</v>
      </c>
      <c r="E36" s="16" t="n">
        <f aca="true">IF(E$6=1,0,SUM(OFFSET(E32,0,-MIN(E35,E$6-1),1,MIN(E35,E$6-1))))</f>
        <v>0</v>
      </c>
      <c r="F36" s="16" t="n">
        <f aca="true">IF(F$6=1,0,SUM(OFFSET(F32,0,-MIN(F35,F$6-1),1,MIN(F35,F$6-1))))</f>
        <v>0</v>
      </c>
      <c r="G36" s="16" t="n">
        <f aca="true">IF(G$6=1,0,SUM(OFFSET(G32,0,-MIN(G35,G$6-1),1,MIN(G35,G$6-1))))</f>
        <v>0</v>
      </c>
      <c r="H36" s="16" t="n">
        <f aca="true">IF(H$6=1,0,SUM(OFFSET(H32,0,-MIN(H35,H$6-1),1,MIN(H35,H$6-1))))</f>
        <v>0</v>
      </c>
      <c r="I36" s="16" t="n">
        <f aca="true">IF(I$6=1,0,SUM(OFFSET(I32,0,-MIN(I35,I$6-1),1,MIN(I35,I$6-1))))</f>
        <v>0</v>
      </c>
      <c r="J36" s="16" t="n">
        <f aca="true">IF(J$6=1,0,SUM(OFFSET(J32,0,-MIN(J35,J$6-1),1,MIN(J35,J$6-1))))</f>
        <v>0</v>
      </c>
      <c r="K36" s="16" t="n">
        <f aca="true">IF(K$6=1,0,SUM(OFFSET(K32,0,-MIN(K35,K$6-1),1,MIN(K35,K$6-1))))</f>
        <v>0.2475</v>
      </c>
      <c r="L36" s="16" t="n">
        <f aca="true">IF(L$6=1,0,SUM(OFFSET(L32,0,-MIN(L35,L$6-1),1,MIN(L35,L$6-1))))</f>
        <v>0.495</v>
      </c>
      <c r="M36" s="16" t="n">
        <f aca="true">IF(M$6=1,0,SUM(OFFSET(M32,0,-MIN(M35,M$6-1),1,MIN(M35,M$6-1))))</f>
        <v>0.495</v>
      </c>
      <c r="N36" s="16" t="n">
        <f aca="true">IF(N$6=1,0,SUM(OFFSET(N32,0,-MIN(N35,N$6-1),1,MIN(N35,N$6-1))))</f>
        <v>0.5775</v>
      </c>
      <c r="O36" s="16" t="n">
        <f aca="true">IF(O$6=1,0,SUM(OFFSET(O32,0,-MIN(O35,O$6-1),1,MIN(O35,O$6-1))))</f>
        <v>0.7425</v>
      </c>
      <c r="P36" s="16" t="n">
        <f aca="true">IF(P$6=1,0,SUM(OFFSET(P32,0,-MIN(P35,P$6-1),1,MIN(P35,P$6-1))))</f>
        <v>0.9075</v>
      </c>
      <c r="Q36" s="16" t="n">
        <f aca="true">IF(Q$6=1,0,SUM(OFFSET(Q32,0,-MIN(Q35,Q$6-1),1,MIN(Q35,Q$6-1))))</f>
        <v>1.0725</v>
      </c>
      <c r="R36" s="16" t="n">
        <f aca="true">IF(R$6=1,0,SUM(OFFSET(R32,0,-MIN(R35,R$6-1),1,MIN(R35,R$6-1))))</f>
        <v>1.2375</v>
      </c>
      <c r="S36" s="16" t="n">
        <f aca="true">IF(S$6=1,0,SUM(OFFSET(S32,0,-MIN(S35,S$6-1),1,MIN(S35,S$6-1))))</f>
        <v>1.4025</v>
      </c>
      <c r="T36" s="16" t="n">
        <f aca="true">IF(T$6=1,0,SUM(OFFSET(T32,0,-MIN(T35,T$6-1),1,MIN(T35,T$6-1))))</f>
        <v>1.485</v>
      </c>
      <c r="U36" s="16" t="n">
        <f aca="true">IF(U$6=1,0,SUM(OFFSET(U32,0,-MIN(U35,U$6-1),1,MIN(U35,U$6-1))))</f>
        <v>1.485</v>
      </c>
      <c r="V36" s="16" t="n">
        <f aca="true">IF(V$6=1,0,SUM(OFFSET(V32,0,-MIN(V35,V$6-1),1,MIN(V35,V$6-1))))</f>
        <v>1.485</v>
      </c>
      <c r="W36" s="16" t="n">
        <f aca="true">IF(W$6=1,0,SUM(OFFSET(W32,0,-MIN(W35,W$6-1),1,MIN(W35,W$6-1))))</f>
        <v>3.35239828</v>
      </c>
      <c r="X36" s="16" t="n">
        <f aca="true">IF(X$6=1,0,SUM(OFFSET(X32,0,-MIN(X35,X$6-1),1,MIN(X35,X$6-1))))</f>
        <v>5.46729656</v>
      </c>
      <c r="Y36" s="16" t="n">
        <f aca="true">IF(Y$6=1,0,SUM(OFFSET(Y32,0,-MIN(Y35,Y$6-1),1,MIN(Y35,Y$6-1))))</f>
        <v>5.96229656</v>
      </c>
      <c r="Z36" s="16" t="n">
        <f aca="true">IF(Z$6=1,0,SUM(OFFSET(Z32,0,-MIN(Z35,Z$6-1),1,MIN(Z35,Z$6-1))))</f>
        <v>6.45729656</v>
      </c>
      <c r="AA36" s="16" t="n">
        <f aca="true">IF(AA$6=1,0,SUM(OFFSET(AA32,0,-MIN(AA35,AA$6-1),1,MIN(AA35,AA$6-1))))</f>
        <v>6.95229656</v>
      </c>
      <c r="AB36" s="16" t="n">
        <f aca="true">IF(AB$6=1,0,SUM(OFFSET(AB32,0,-MIN(AB35,AB$6-1),1,MIN(AB35,AB$6-1))))</f>
        <v>7.44729656</v>
      </c>
      <c r="AC36" s="16" t="n">
        <f aca="true">IF(AC$6=1,0,SUM(OFFSET(AC32,0,-MIN(AC35,AC$6-1),1,MIN(AC35,AC$6-1))))</f>
        <v>7.69479656</v>
      </c>
      <c r="AD36" s="16" t="n">
        <f aca="true">IF(AD$6=1,0,SUM(OFFSET(AD32,0,-MIN(AD35,AD$6-1),1,MIN(AD35,AD$6-1))))</f>
        <v>7.69479656</v>
      </c>
      <c r="AE36" s="16" t="n">
        <f aca="true">IF(AE$6=1,0,SUM(OFFSET(AE32,0,-MIN(AE35,AE$6-1),1,MIN(AE35,AE$6-1))))</f>
        <v>7.69479656</v>
      </c>
      <c r="AF36" s="16" t="n">
        <f aca="true">IF(AF$6=1,0,SUM(OFFSET(AF32,0,-MIN(AF35,AF$6-1),1,MIN(AF35,AF$6-1))))</f>
        <v>7.69479656</v>
      </c>
      <c r="AG36" s="16" t="n">
        <f aca="true">IF(AG$6=1,0,SUM(OFFSET(AG32,0,-MIN(AG35,AG$6-1),1,MIN(AG35,AG$6-1))))</f>
        <v>7.69479656</v>
      </c>
      <c r="AH36" s="16" t="n">
        <f aca="true">IF(AH$6=1,0,SUM(OFFSET(AH32,0,-MIN(AH35,AH$6-1),1,MIN(AH35,AH$6-1))))</f>
        <v>7.69479656</v>
      </c>
      <c r="AI36" s="16" t="n">
        <f aca="true">IF(AI$6=1,0,SUM(OFFSET(AI32,0,-MIN(AI35,AI$6-1),1,MIN(AI35,AI$6-1))))</f>
        <v>11.30584312</v>
      </c>
      <c r="AJ36" s="16" t="n">
        <f aca="true">IF(AJ$6=1,0,SUM(OFFSET(AJ32,0,-MIN(AJ35,AJ$6-1),1,MIN(AJ35,AJ$6-1))))</f>
        <v>15.41188968</v>
      </c>
      <c r="AK36" s="16" t="n">
        <f aca="true">IF(AK$6=1,0,SUM(OFFSET(AK32,0,-MIN(AK35,AK$6-1),1,MIN(AK35,AK$6-1))))</f>
        <v>16.40188968</v>
      </c>
      <c r="AL36" s="16" t="n">
        <f aca="true">IF(AL$6=1,0,SUM(OFFSET(AL32,0,-MIN(AL35,AL$6-1),1,MIN(AL35,AL$6-1))))</f>
        <v>17.39188968</v>
      </c>
      <c r="AM36" s="16" t="n">
        <f aca="true">IF(AM$6=1,0,SUM(OFFSET(AM32,0,-MIN(AM35,AM$6-1),1,MIN(AM35,AM$6-1))))</f>
        <v>18.38188968</v>
      </c>
      <c r="AN36" s="16" t="n">
        <f aca="true">IF(AN$6=1,0,SUM(OFFSET(AN32,0,-MIN(AN35,AN$6-1),1,MIN(AN35,AN$6-1))))</f>
        <v>19.37188968</v>
      </c>
      <c r="AO36" s="16" t="n">
        <f aca="true">IF(AO$6=1,0,SUM(OFFSET(AO32,0,-MIN(AO35,AO$6-1),1,MIN(AO35,AO$6-1))))</f>
        <v>19.86688968</v>
      </c>
      <c r="AP36" s="16" t="n">
        <f aca="true">IF(AP$6=1,0,SUM(OFFSET(AP32,0,-MIN(AP35,AP$6-1),1,MIN(AP35,AP$6-1))))</f>
        <v>19.86688968</v>
      </c>
      <c r="AQ36" s="16" t="n">
        <f aca="true">IF(AQ$6=1,0,SUM(OFFSET(AQ32,0,-MIN(AQ35,AQ$6-1),1,MIN(AQ35,AQ$6-1))))</f>
        <v>19.86688968</v>
      </c>
      <c r="AR36" s="16" t="n">
        <f aca="true">IF(AR$6=1,0,SUM(OFFSET(AR32,0,-MIN(AR35,AR$6-1),1,MIN(AR35,AR$6-1))))</f>
        <v>19.86688968</v>
      </c>
      <c r="AS36" s="16" t="n">
        <f aca="true">IF(AS$6=1,0,SUM(OFFSET(AS32,0,-MIN(AS35,AS$6-1),1,MIN(AS35,AS$6-1))))</f>
        <v>19.86688968</v>
      </c>
      <c r="AT36" s="16" t="n">
        <f aca="true">IF(AT$6=1,0,SUM(OFFSET(AT32,0,-MIN(AT35,AT$6-1),1,MIN(AT35,AT$6-1))))</f>
        <v>19.86688968</v>
      </c>
      <c r="AU36" s="16" t="n">
        <f aca="true">IF(AU$6=1,0,SUM(OFFSET(AU32,0,-MIN(AU35,AU$6-1),1,MIN(AU35,AU$6-1))))</f>
        <v>23.76668624</v>
      </c>
      <c r="AV36" s="16" t="n">
        <f aca="true">IF(AV$6=1,0,SUM(OFFSET(AV32,0,-MIN(AV35,AV$6-1),1,MIN(AV35,AV$6-1))))</f>
        <v>28.3264828</v>
      </c>
      <c r="AW36" s="16" t="n">
        <f aca="true">IF(AW$6=1,0,SUM(OFFSET(AW32,0,-MIN(AW35,AW$6-1),1,MIN(AW35,AW$6-1))))</f>
        <v>29.6464828</v>
      </c>
      <c r="AX36" s="16" t="n">
        <f aca="true">IF(AX$6=1,0,SUM(OFFSET(AX32,0,-MIN(AX35,AX$6-1),1,MIN(AX35,AX$6-1))))</f>
        <v>30.9664828</v>
      </c>
      <c r="AY36" s="16" t="n">
        <f aca="true">IF(AY$6=1,0,SUM(OFFSET(AY32,0,-MIN(AY35,AY$6-1),1,MIN(AY35,AY$6-1))))</f>
        <v>32.2864828</v>
      </c>
      <c r="AZ36" s="16" t="n">
        <f aca="true">IF(AZ$6=1,0,SUM(OFFSET(AZ32,0,-MIN(AZ35,AZ$6-1),1,MIN(AZ35,AZ$6-1))))</f>
        <v>33.6064828</v>
      </c>
      <c r="BA36" s="16" t="n">
        <f aca="true">IF(BA$6=1,0,SUM(OFFSET(BA32,0,-MIN(BA35,BA$6-1),1,MIN(BA35,BA$6-1))))</f>
        <v>34.2664828</v>
      </c>
      <c r="BB36" s="16" t="n">
        <f aca="true">IF(BB$6=1,0,SUM(OFFSET(BB32,0,-MIN(BB35,BB$6-1),1,MIN(BB35,BB$6-1))))</f>
        <v>34.2664828</v>
      </c>
      <c r="BC36" s="16" t="n">
        <f aca="true">IF(BC$6=1,0,SUM(OFFSET(BC32,0,-MIN(BC35,BC$6-1),1,MIN(BC35,BC$6-1))))</f>
        <v>34.2664828</v>
      </c>
      <c r="BD36" s="16" t="n">
        <f aca="true">IF(BD$6=1,0,SUM(OFFSET(BD32,0,-MIN(BD35,BD$6-1),1,MIN(BD35,BD$6-1))))</f>
        <v>34.2664828</v>
      </c>
      <c r="BE36" s="16" t="n">
        <f aca="true">IF(BE$6=1,0,SUM(OFFSET(BE32,0,-MIN(BE35,BE$6-1),1,MIN(BE35,BE$6-1))))</f>
        <v>34.2664828</v>
      </c>
      <c r="BF36" s="16" t="n">
        <f aca="true">IF(BF$6=1,0,SUM(OFFSET(BF32,0,-MIN(BF35,BF$6-1),1,MIN(BF35,BF$6-1))))</f>
        <v>34.2664828</v>
      </c>
      <c r="BG36" s="16" t="n">
        <f aca="true">IF(BG$6=1,0,SUM(OFFSET(BG32,0,-MIN(BG35,BG$6-1),1,MIN(BG35,BG$6-1))))</f>
        <v>38.08377936</v>
      </c>
      <c r="BH36" s="16" t="n">
        <f aca="true">IF(BH$6=1,0,SUM(OFFSET(BH32,0,-MIN(BH35,BH$6-1),1,MIN(BH35,BH$6-1))))</f>
        <v>42.47857592</v>
      </c>
      <c r="BI36" s="16" t="n">
        <f aca="true">IF(BI$6=1,0,SUM(OFFSET(BI32,0,-MIN(BI35,BI$6-1),1,MIN(BI35,BI$6-1))))</f>
        <v>43.63357592</v>
      </c>
      <c r="BJ36" s="16" t="n">
        <f aca="true">IF(BJ$6=1,0,SUM(OFFSET(BJ32,0,-MIN(BJ35,BJ$6-1),1,MIN(BJ35,BJ$6-1))))</f>
        <v>44.78857592</v>
      </c>
      <c r="BK36" s="16" t="n">
        <f aca="true">IF(BK$6=1,0,SUM(OFFSET(BK32,0,-MIN(BK35,BK$6-1),1,MIN(BK35,BK$6-1))))</f>
        <v>45.94357592</v>
      </c>
    </row>
    <row r="37" customFormat="false" ht="15" hidden="false" customHeight="true" outlineLevel="0" collapsed="false">
      <c r="A37" s="12" t="s">
        <v>1920</v>
      </c>
      <c r="B37" s="4" t="s">
        <v>1921</v>
      </c>
      <c r="D37" s="16" t="n">
        <f aca="false">D36+D28*Inputs!$C$35</f>
        <v>0</v>
      </c>
      <c r="E37" s="16" t="n">
        <f aca="false">E36+E28*Inputs!$C$35</f>
        <v>0</v>
      </c>
      <c r="F37" s="16" t="n">
        <f aca="false">F36+F28*Inputs!$C$35</f>
        <v>0</v>
      </c>
      <c r="G37" s="16" t="n">
        <f aca="false">G36+G28*Inputs!$C$35</f>
        <v>0.225</v>
      </c>
      <c r="H37" s="16" t="n">
        <f aca="false">H36+H28*Inputs!$C$35</f>
        <v>0.45</v>
      </c>
      <c r="I37" s="16" t="n">
        <f aca="false">I36+I28*Inputs!$C$35</f>
        <v>0.675</v>
      </c>
      <c r="J37" s="16" t="n">
        <f aca="false">J36+J28*Inputs!$C$35</f>
        <v>0.75</v>
      </c>
      <c r="K37" s="16" t="n">
        <f aca="false">K36+K28*Inputs!$C$35</f>
        <v>1.1475</v>
      </c>
      <c r="L37" s="16" t="n">
        <f aca="false">L36+L28*Inputs!$C$35</f>
        <v>1.62</v>
      </c>
      <c r="M37" s="16" t="n">
        <f aca="false">M36+M28*Inputs!$C$35</f>
        <v>1.845</v>
      </c>
      <c r="N37" s="16" t="n">
        <f aca="false">N36+N28*Inputs!$C$35</f>
        <v>2.1525</v>
      </c>
      <c r="O37" s="16" t="n">
        <f aca="false">O36+O28*Inputs!$C$35</f>
        <v>2.5425</v>
      </c>
      <c r="P37" s="16" t="n">
        <f aca="false">P36+P28*Inputs!$C$35</f>
        <v>2.8575</v>
      </c>
      <c r="Q37" s="16" t="n">
        <f aca="false">Q36+Q28*Inputs!$C$35</f>
        <v>3.0975</v>
      </c>
      <c r="R37" s="16" t="n">
        <f aca="false">R36+R28*Inputs!$C$35</f>
        <v>3.2625</v>
      </c>
      <c r="S37" s="16" t="n">
        <f aca="false">S36+S28*Inputs!$C$35</f>
        <v>5.1251348</v>
      </c>
      <c r="T37" s="16" t="n">
        <f aca="false">T36+T28*Inputs!$C$35</f>
        <v>7.1302696</v>
      </c>
      <c r="U37" s="16" t="n">
        <f aca="false">U36+U28*Inputs!$C$35</f>
        <v>9.2779044</v>
      </c>
      <c r="V37" s="16" t="n">
        <f aca="false">V36+V28*Inputs!$C$35</f>
        <v>9.9529044</v>
      </c>
      <c r="W37" s="16" t="n">
        <f aca="false">W36+W28*Inputs!$C$35</f>
        <v>12.49530268</v>
      </c>
      <c r="X37" s="16" t="n">
        <f aca="false">X36+X28*Inputs!$C$35</f>
        <v>15.28520096</v>
      </c>
      <c r="Y37" s="16" t="n">
        <f aca="false">Y36+Y28*Inputs!$C$35</f>
        <v>16.23020096</v>
      </c>
      <c r="Z37" s="16" t="n">
        <f aca="false">Z36+Z28*Inputs!$C$35</f>
        <v>16.95020096</v>
      </c>
      <c r="AA37" s="16" t="n">
        <f aca="false">AA36+AA28*Inputs!$C$35</f>
        <v>17.44520096</v>
      </c>
      <c r="AB37" s="16" t="n">
        <f aca="false">AB36+AB28*Inputs!$C$35</f>
        <v>17.94020096</v>
      </c>
      <c r="AC37" s="16" t="n">
        <f aca="false">AC36+AC28*Inputs!$C$35</f>
        <v>18.18770096</v>
      </c>
      <c r="AD37" s="16" t="n">
        <f aca="false">AD36+AD28*Inputs!$C$35</f>
        <v>18.18770096</v>
      </c>
      <c r="AE37" s="16" t="n">
        <f aca="false">AE36+AE28*Inputs!$C$35</f>
        <v>21.47047056</v>
      </c>
      <c r="AF37" s="16" t="n">
        <f aca="false">AF36+AF28*Inputs!$C$35</f>
        <v>25.20324016</v>
      </c>
      <c r="AG37" s="16" t="n">
        <f aca="false">AG36+AG28*Inputs!$C$35</f>
        <v>29.38600976</v>
      </c>
      <c r="AH37" s="16" t="n">
        <f aca="false">AH36+AH28*Inputs!$C$35</f>
        <v>30.73600976</v>
      </c>
      <c r="AI37" s="16" t="n">
        <f aca="false">AI36+AI28*Inputs!$C$35</f>
        <v>35.69705632</v>
      </c>
      <c r="AJ37" s="16" t="n">
        <f aca="false">AJ36+AJ28*Inputs!$C$35</f>
        <v>41.15310288</v>
      </c>
      <c r="AK37" s="16" t="n">
        <f aca="false">AK36+AK28*Inputs!$C$35</f>
        <v>43.04310288</v>
      </c>
      <c r="AL37" s="16" t="n">
        <f aca="false">AL36+AL28*Inputs!$C$35</f>
        <v>44.48310288</v>
      </c>
      <c r="AM37" s="16" t="n">
        <f aca="false">AM36+AM28*Inputs!$C$35</f>
        <v>45.47310288</v>
      </c>
      <c r="AN37" s="16" t="n">
        <f aca="false">AN36+AN28*Inputs!$C$35</f>
        <v>46.46310288</v>
      </c>
      <c r="AO37" s="16" t="n">
        <f aca="false">AO36+AO28*Inputs!$C$35</f>
        <v>46.95810288</v>
      </c>
      <c r="AP37" s="16" t="n">
        <f aca="false">AP36+AP28*Inputs!$C$35</f>
        <v>46.95810288</v>
      </c>
      <c r="AQ37" s="16" t="n">
        <f aca="false">AQ36+AQ28*Inputs!$C$35</f>
        <v>50.50337248</v>
      </c>
      <c r="AR37" s="16" t="n">
        <f aca="false">AR36+AR28*Inputs!$C$35</f>
        <v>54.64864208</v>
      </c>
      <c r="AS37" s="16" t="n">
        <f aca="false">AS36+AS28*Inputs!$C$35</f>
        <v>59.39391168</v>
      </c>
      <c r="AT37" s="16" t="n">
        <f aca="false">AT36+AT28*Inputs!$C$35</f>
        <v>61.19391168</v>
      </c>
      <c r="AU37" s="16" t="n">
        <f aca="false">AU36+AU28*Inputs!$C$35</f>
        <v>66.89370824</v>
      </c>
      <c r="AV37" s="16" t="n">
        <f aca="false">AV36+AV28*Inputs!$C$35</f>
        <v>73.2535048</v>
      </c>
      <c r="AW37" s="16" t="n">
        <f aca="false">AW36+AW28*Inputs!$C$35</f>
        <v>75.7735048</v>
      </c>
      <c r="AX37" s="16" t="n">
        <f aca="false">AX36+AX28*Inputs!$C$35</f>
        <v>77.6935048</v>
      </c>
      <c r="AY37" s="16" t="n">
        <f aca="false">AY36+AY28*Inputs!$C$35</f>
        <v>79.0135048</v>
      </c>
      <c r="AZ37" s="16" t="n">
        <f aca="false">AZ36+AZ28*Inputs!$C$35</f>
        <v>80.3335048</v>
      </c>
      <c r="BA37" s="16" t="n">
        <f aca="false">BA36+BA28*Inputs!$C$35</f>
        <v>80.9935048</v>
      </c>
      <c r="BB37" s="16" t="n">
        <f aca="false">BB36+BB28*Inputs!$C$35</f>
        <v>80.9935048</v>
      </c>
      <c r="BC37" s="16" t="n">
        <f aca="false">BC36+BC28*Inputs!$C$35</f>
        <v>84.4637744</v>
      </c>
      <c r="BD37" s="16" t="n">
        <f aca="false">BD36+BD28*Inputs!$C$35</f>
        <v>88.459044</v>
      </c>
      <c r="BE37" s="16" t="n">
        <f aca="false">BE36+BE28*Inputs!$C$35</f>
        <v>92.9793136</v>
      </c>
      <c r="BF37" s="16" t="n">
        <f aca="false">BF36+BF28*Inputs!$C$35</f>
        <v>94.5543136</v>
      </c>
      <c r="BG37" s="16" t="n">
        <f aca="false">BG36+BG28*Inputs!$C$35</f>
        <v>99.94661016</v>
      </c>
      <c r="BH37" s="16" t="n">
        <f aca="false">BH36+BH28*Inputs!$C$35</f>
        <v>105.91640672</v>
      </c>
      <c r="BI37" s="16" t="n">
        <f aca="false">BI36+BI28*Inputs!$C$35</f>
        <v>108.12140672</v>
      </c>
      <c r="BJ37" s="16" t="n">
        <f aca="false">BJ36+BJ28*Inputs!$C$35</f>
        <v>109.80140672</v>
      </c>
      <c r="BK37" s="16" t="n">
        <f aca="false">BK36+BK28*Inputs!$C$35</f>
        <v>110.95640672</v>
      </c>
    </row>
    <row r="38" customFormat="false" ht="15" hidden="false" customHeight="true" outlineLevel="0" collapsed="false">
      <c r="A38" s="12" t="s">
        <v>1922</v>
      </c>
      <c r="B38" s="4" t="s">
        <v>725</v>
      </c>
      <c r="D38" s="20" t="n">
        <f aca="false">IF(D$6&lt;Inputs!$C$36,0,MAX(Inputs!$C$37,ROUNDUP(D37/(Inputs!$C$34/Inputs!$C$130),0)))</f>
        <v>0</v>
      </c>
      <c r="E38" s="20" t="n">
        <f aca="false">IF(E$6&lt;Inputs!$C$36,0,MAX(Inputs!$C$37,ROUNDUP(E37/(Inputs!$C$34/Inputs!$C$130),0)))</f>
        <v>0</v>
      </c>
      <c r="F38" s="20" t="n">
        <f aca="false">IF(F$6&lt;Inputs!$C$36,0,MAX(Inputs!$C$37,ROUNDUP(F37/(Inputs!$C$34/Inputs!$C$130),0)))</f>
        <v>1</v>
      </c>
      <c r="G38" s="20" t="n">
        <f aca="false">IF(G$6&lt;Inputs!$C$36,0,MAX(Inputs!$C$37,ROUNDUP(G37/(Inputs!$C$34/Inputs!$C$130),0)))</f>
        <v>1</v>
      </c>
      <c r="H38" s="20" t="n">
        <f aca="false">IF(H$6&lt;Inputs!$C$36,0,MAX(Inputs!$C$37,ROUNDUP(H37/(Inputs!$C$34/Inputs!$C$130),0)))</f>
        <v>1</v>
      </c>
      <c r="I38" s="20" t="n">
        <f aca="false">IF(I$6&lt;Inputs!$C$36,0,MAX(Inputs!$C$37,ROUNDUP(I37/(Inputs!$C$34/Inputs!$C$130),0)))</f>
        <v>1</v>
      </c>
      <c r="J38" s="20" t="n">
        <f aca="false">IF(J$6&lt;Inputs!$C$36,0,MAX(Inputs!$C$37,ROUNDUP(J37/(Inputs!$C$34/Inputs!$C$130),0)))</f>
        <v>1</v>
      </c>
      <c r="K38" s="20" t="n">
        <f aca="false">IF(K$6&lt;Inputs!$C$36,0,MAX(Inputs!$C$37,ROUNDUP(K37/(Inputs!$C$34/Inputs!$C$130),0)))</f>
        <v>1</v>
      </c>
      <c r="L38" s="20" t="n">
        <f aca="false">IF(L$6&lt;Inputs!$C$36,0,MAX(Inputs!$C$37,ROUNDUP(L37/(Inputs!$C$34/Inputs!$C$130),0)))</f>
        <v>1</v>
      </c>
      <c r="M38" s="20" t="n">
        <f aca="false">IF(M$6&lt;Inputs!$C$36,0,MAX(Inputs!$C$37,ROUNDUP(M37/(Inputs!$C$34/Inputs!$C$130),0)))</f>
        <v>1</v>
      </c>
      <c r="N38" s="20" t="n">
        <f aca="false">IF(N$6&lt;Inputs!$C$36,0,MAX(Inputs!$C$37,ROUNDUP(N37/(Inputs!$C$34/Inputs!$C$130),0)))</f>
        <v>1</v>
      </c>
      <c r="O38" s="20" t="n">
        <f aca="false">IF(O$6&lt;Inputs!$C$36,0,MAX(Inputs!$C$37,ROUNDUP(O37/(Inputs!$C$34/Inputs!$C$130),0)))</f>
        <v>1</v>
      </c>
      <c r="P38" s="20" t="n">
        <f aca="false">IF(P$6&lt;Inputs!$C$36,0,MAX(Inputs!$C$37,ROUNDUP(P37/(Inputs!$C$34/Inputs!$C$130),0)))</f>
        <v>1</v>
      </c>
      <c r="Q38" s="20" t="n">
        <f aca="false">IF(Q$6&lt;Inputs!$C$36,0,MAX(Inputs!$C$37,ROUNDUP(Q37/(Inputs!$C$34/Inputs!$C$130),0)))</f>
        <v>2</v>
      </c>
      <c r="R38" s="20" t="n">
        <f aca="false">IF(R$6&lt;Inputs!$C$36,0,MAX(Inputs!$C$37,ROUNDUP(R37/(Inputs!$C$34/Inputs!$C$130),0)))</f>
        <v>2</v>
      </c>
      <c r="S38" s="20" t="n">
        <f aca="false">IF(S$6&lt;Inputs!$C$36,0,MAX(Inputs!$C$37,ROUNDUP(S37/(Inputs!$C$34/Inputs!$C$130),0)))</f>
        <v>2</v>
      </c>
      <c r="T38" s="20" t="n">
        <f aca="false">IF(T$6&lt;Inputs!$C$36,0,MAX(Inputs!$C$37,ROUNDUP(T37/(Inputs!$C$34/Inputs!$C$130),0)))</f>
        <v>3</v>
      </c>
      <c r="U38" s="20" t="n">
        <f aca="false">IF(U$6&lt;Inputs!$C$36,0,MAX(Inputs!$C$37,ROUNDUP(U37/(Inputs!$C$34/Inputs!$C$130),0)))</f>
        <v>4</v>
      </c>
      <c r="V38" s="20" t="n">
        <f aca="false">IF(V$6&lt;Inputs!$C$36,0,MAX(Inputs!$C$37,ROUNDUP(V37/(Inputs!$C$34/Inputs!$C$130),0)))</f>
        <v>4</v>
      </c>
      <c r="W38" s="20" t="n">
        <f aca="false">IF(W$6&lt;Inputs!$C$36,0,MAX(Inputs!$C$37,ROUNDUP(W37/(Inputs!$C$34/Inputs!$C$130),0)))</f>
        <v>5</v>
      </c>
      <c r="X38" s="20" t="n">
        <f aca="false">IF(X$6&lt;Inputs!$C$36,0,MAX(Inputs!$C$37,ROUNDUP(X37/(Inputs!$C$34/Inputs!$C$130),0)))</f>
        <v>6</v>
      </c>
      <c r="Y38" s="20" t="n">
        <f aca="false">IF(Y$6&lt;Inputs!$C$36,0,MAX(Inputs!$C$37,ROUNDUP(Y37/(Inputs!$C$34/Inputs!$C$130),0)))</f>
        <v>6</v>
      </c>
      <c r="Z38" s="20" t="n">
        <f aca="false">IF(Z$6&lt;Inputs!$C$36,0,MAX(Inputs!$C$37,ROUNDUP(Z37/(Inputs!$C$34/Inputs!$C$130),0)))</f>
        <v>6</v>
      </c>
      <c r="AA38" s="20" t="n">
        <f aca="false">IF(AA$6&lt;Inputs!$C$36,0,MAX(Inputs!$C$37,ROUNDUP(AA37/(Inputs!$C$34/Inputs!$C$130),0)))</f>
        <v>6</v>
      </c>
      <c r="AB38" s="20" t="n">
        <f aca="false">IF(AB$6&lt;Inputs!$C$36,0,MAX(Inputs!$C$37,ROUNDUP(AB37/(Inputs!$C$34/Inputs!$C$130),0)))</f>
        <v>6</v>
      </c>
      <c r="AC38" s="20" t="n">
        <f aca="false">IF(AC$6&lt;Inputs!$C$36,0,MAX(Inputs!$C$37,ROUNDUP(AC37/(Inputs!$C$34/Inputs!$C$130),0)))</f>
        <v>7</v>
      </c>
      <c r="AD38" s="20" t="n">
        <f aca="false">IF(AD$6&lt;Inputs!$C$36,0,MAX(Inputs!$C$37,ROUNDUP(AD37/(Inputs!$C$34/Inputs!$C$130),0)))</f>
        <v>7</v>
      </c>
      <c r="AE38" s="20" t="n">
        <f aca="false">IF(AE$6&lt;Inputs!$C$36,0,MAX(Inputs!$C$37,ROUNDUP(AE37/(Inputs!$C$34/Inputs!$C$130),0)))</f>
        <v>8</v>
      </c>
      <c r="AF38" s="20" t="n">
        <f aca="false">IF(AF$6&lt;Inputs!$C$36,0,MAX(Inputs!$C$37,ROUNDUP(AF37/(Inputs!$C$34/Inputs!$C$130),0)))</f>
        <v>9</v>
      </c>
      <c r="AG38" s="20" t="n">
        <f aca="false">IF(AG$6&lt;Inputs!$C$36,0,MAX(Inputs!$C$37,ROUNDUP(AG37/(Inputs!$C$34/Inputs!$C$130),0)))</f>
        <v>10</v>
      </c>
      <c r="AH38" s="20" t="n">
        <f aca="false">IF(AH$6&lt;Inputs!$C$36,0,MAX(Inputs!$C$37,ROUNDUP(AH37/(Inputs!$C$34/Inputs!$C$130),0)))</f>
        <v>11</v>
      </c>
      <c r="AI38" s="20" t="n">
        <f aca="false">IF(AI$6&lt;Inputs!$C$36,0,MAX(Inputs!$C$37,ROUNDUP(AI37/(Inputs!$C$34/Inputs!$C$130),0)))</f>
        <v>12</v>
      </c>
      <c r="AJ38" s="20" t="n">
        <f aca="false">IF(AJ$6&lt;Inputs!$C$36,0,MAX(Inputs!$C$37,ROUNDUP(AJ37/(Inputs!$C$34/Inputs!$C$130),0)))</f>
        <v>14</v>
      </c>
      <c r="AK38" s="20" t="n">
        <f aca="false">IF(AK$6&lt;Inputs!$C$36,0,MAX(Inputs!$C$37,ROUNDUP(AK37/(Inputs!$C$34/Inputs!$C$130),0)))</f>
        <v>15</v>
      </c>
      <c r="AL38" s="20" t="n">
        <f aca="false">IF(AL$6&lt;Inputs!$C$36,0,MAX(Inputs!$C$37,ROUNDUP(AL37/(Inputs!$C$34/Inputs!$C$130),0)))</f>
        <v>15</v>
      </c>
      <c r="AM38" s="20" t="n">
        <f aca="false">IF(AM$6&lt;Inputs!$C$36,0,MAX(Inputs!$C$37,ROUNDUP(AM37/(Inputs!$C$34/Inputs!$C$130),0)))</f>
        <v>16</v>
      </c>
      <c r="AN38" s="20" t="n">
        <f aca="false">IF(AN$6&lt;Inputs!$C$36,0,MAX(Inputs!$C$37,ROUNDUP(AN37/(Inputs!$C$34/Inputs!$C$130),0)))</f>
        <v>16</v>
      </c>
      <c r="AO38" s="20" t="n">
        <f aca="false">IF(AO$6&lt;Inputs!$C$36,0,MAX(Inputs!$C$37,ROUNDUP(AO37/(Inputs!$C$34/Inputs!$C$130),0)))</f>
        <v>16</v>
      </c>
      <c r="AP38" s="20" t="n">
        <f aca="false">IF(AP$6&lt;Inputs!$C$36,0,MAX(Inputs!$C$37,ROUNDUP(AP37/(Inputs!$C$34/Inputs!$C$130),0)))</f>
        <v>16</v>
      </c>
      <c r="AQ38" s="20" t="n">
        <f aca="false">IF(AQ$6&lt;Inputs!$C$36,0,MAX(Inputs!$C$37,ROUNDUP(AQ37/(Inputs!$C$34/Inputs!$C$130),0)))</f>
        <v>17</v>
      </c>
      <c r="AR38" s="20" t="n">
        <f aca="false">IF(AR$6&lt;Inputs!$C$36,0,MAX(Inputs!$C$37,ROUNDUP(AR37/(Inputs!$C$34/Inputs!$C$130),0)))</f>
        <v>19</v>
      </c>
      <c r="AS38" s="20" t="n">
        <f aca="false">IF(AS$6&lt;Inputs!$C$36,0,MAX(Inputs!$C$37,ROUNDUP(AS37/(Inputs!$C$34/Inputs!$C$130),0)))</f>
        <v>20</v>
      </c>
      <c r="AT38" s="20" t="n">
        <f aca="false">IF(AT$6&lt;Inputs!$C$36,0,MAX(Inputs!$C$37,ROUNDUP(AT37/(Inputs!$C$34/Inputs!$C$130),0)))</f>
        <v>21</v>
      </c>
      <c r="AU38" s="20" t="n">
        <f aca="false">IF(AU$6&lt;Inputs!$C$36,0,MAX(Inputs!$C$37,ROUNDUP(AU37/(Inputs!$C$34/Inputs!$C$130),0)))</f>
        <v>23</v>
      </c>
      <c r="AV38" s="20" t="n">
        <f aca="false">IF(AV$6&lt;Inputs!$C$36,0,MAX(Inputs!$C$37,ROUNDUP(AV37/(Inputs!$C$34/Inputs!$C$130),0)))</f>
        <v>25</v>
      </c>
      <c r="AW38" s="20" t="n">
        <f aca="false">IF(AW$6&lt;Inputs!$C$36,0,MAX(Inputs!$C$37,ROUNDUP(AW37/(Inputs!$C$34/Inputs!$C$130),0)))</f>
        <v>26</v>
      </c>
      <c r="AX38" s="20" t="n">
        <f aca="false">IF(AX$6&lt;Inputs!$C$36,0,MAX(Inputs!$C$37,ROUNDUP(AX37/(Inputs!$C$34/Inputs!$C$130),0)))</f>
        <v>26</v>
      </c>
      <c r="AY38" s="20" t="n">
        <f aca="false">IF(AY$6&lt;Inputs!$C$36,0,MAX(Inputs!$C$37,ROUNDUP(AY37/(Inputs!$C$34/Inputs!$C$130),0)))</f>
        <v>27</v>
      </c>
      <c r="AZ38" s="20" t="n">
        <f aca="false">IF(AZ$6&lt;Inputs!$C$36,0,MAX(Inputs!$C$37,ROUNDUP(AZ37/(Inputs!$C$34/Inputs!$C$130),0)))</f>
        <v>27</v>
      </c>
      <c r="BA38" s="20" t="n">
        <f aca="false">IF(BA$6&lt;Inputs!$C$36,0,MAX(Inputs!$C$37,ROUNDUP(BA37/(Inputs!$C$34/Inputs!$C$130),0)))</f>
        <v>27</v>
      </c>
      <c r="BB38" s="20" t="n">
        <f aca="false">IF(BB$6&lt;Inputs!$C$36,0,MAX(Inputs!$C$37,ROUNDUP(BB37/(Inputs!$C$34/Inputs!$C$130),0)))</f>
        <v>27</v>
      </c>
      <c r="BC38" s="20" t="n">
        <f aca="false">IF(BC$6&lt;Inputs!$C$36,0,MAX(Inputs!$C$37,ROUNDUP(BC37/(Inputs!$C$34/Inputs!$C$130),0)))</f>
        <v>29</v>
      </c>
      <c r="BD38" s="20" t="n">
        <f aca="false">IF(BD$6&lt;Inputs!$C$36,0,MAX(Inputs!$C$37,ROUNDUP(BD37/(Inputs!$C$34/Inputs!$C$130),0)))</f>
        <v>30</v>
      </c>
      <c r="BE38" s="20" t="n">
        <f aca="false">IF(BE$6&lt;Inputs!$C$36,0,MAX(Inputs!$C$37,ROUNDUP(BE37/(Inputs!$C$34/Inputs!$C$130),0)))</f>
        <v>31</v>
      </c>
      <c r="BF38" s="20" t="n">
        <f aca="false">IF(BF$6&lt;Inputs!$C$36,0,MAX(Inputs!$C$37,ROUNDUP(BF37/(Inputs!$C$34/Inputs!$C$130),0)))</f>
        <v>32</v>
      </c>
      <c r="BG38" s="20" t="n">
        <f aca="false">IF(BG$6&lt;Inputs!$C$36,0,MAX(Inputs!$C$37,ROUNDUP(BG37/(Inputs!$C$34/Inputs!$C$130),0)))</f>
        <v>34</v>
      </c>
      <c r="BH38" s="20" t="n">
        <f aca="false">IF(BH$6&lt;Inputs!$C$36,0,MAX(Inputs!$C$37,ROUNDUP(BH37/(Inputs!$C$34/Inputs!$C$130),0)))</f>
        <v>36</v>
      </c>
      <c r="BI38" s="20" t="n">
        <f aca="false">IF(BI$6&lt;Inputs!$C$36,0,MAX(Inputs!$C$37,ROUNDUP(BI37/(Inputs!$C$34/Inputs!$C$130),0)))</f>
        <v>37</v>
      </c>
      <c r="BJ38" s="20" t="n">
        <f aca="false">IF(BJ$6&lt;Inputs!$C$36,0,MAX(Inputs!$C$37,ROUNDUP(BJ37/(Inputs!$C$34/Inputs!$C$130),0)))</f>
        <v>37</v>
      </c>
      <c r="BK38" s="20" t="n">
        <f aca="false">IF(BK$6&lt;Inputs!$C$36,0,MAX(Inputs!$C$37,ROUNDUP(BK37/(Inputs!$C$34/Inputs!$C$130),0)))</f>
        <v>37</v>
      </c>
    </row>
    <row r="39" customFormat="false" ht="15" hidden="false" customHeight="true" outlineLevel="0" collapsed="false">
      <c r="A39" s="12" t="s">
        <v>1923</v>
      </c>
      <c r="B39" s="4" t="s">
        <v>29</v>
      </c>
      <c r="D39" s="16" t="n">
        <f aca="false">MAX(0,D38*Inputs!$C$34/Inputs!$C$130-D28*Inputs!$C$35)/D35</f>
        <v>0</v>
      </c>
      <c r="E39" s="16" t="n">
        <f aca="false">MAX(0,E38*Inputs!$C$34/Inputs!$C$130-E28*Inputs!$C$35)/E35</f>
        <v>0</v>
      </c>
      <c r="F39" s="16" t="n">
        <f aca="false">MAX(0,F38*Inputs!$C$34/Inputs!$C$130-F28*Inputs!$C$35)/F35</f>
        <v>1.5</v>
      </c>
      <c r="G39" s="16" t="n">
        <f aca="false">MAX(0,G38*Inputs!$C$34/Inputs!$C$130-G28*Inputs!$C$35)/G35</f>
        <v>1.3875</v>
      </c>
      <c r="H39" s="16" t="n">
        <f aca="false">MAX(0,H38*Inputs!$C$34/Inputs!$C$130-H28*Inputs!$C$35)/H35</f>
        <v>1.275</v>
      </c>
      <c r="I39" s="16" t="n">
        <f aca="false">MAX(0,I38*Inputs!$C$34/Inputs!$C$130-I28*Inputs!$C$35)/I35</f>
        <v>1.1625</v>
      </c>
      <c r="J39" s="16" t="n">
        <f aca="false">MAX(0,J38*Inputs!$C$34/Inputs!$C$130-J28*Inputs!$C$35)/J35</f>
        <v>1.125</v>
      </c>
      <c r="K39" s="16" t="n">
        <f aca="false">MAX(0,K38*Inputs!$C$34/Inputs!$C$130-K28*Inputs!$C$35)/K35</f>
        <v>1.05</v>
      </c>
      <c r="L39" s="16" t="n">
        <f aca="false">MAX(0,L38*Inputs!$C$34/Inputs!$C$130-L28*Inputs!$C$35)/L35</f>
        <v>0.9375</v>
      </c>
      <c r="M39" s="16" t="n">
        <f aca="false">MAX(0,M38*Inputs!$C$34/Inputs!$C$130-M28*Inputs!$C$35)/M35</f>
        <v>0.825</v>
      </c>
      <c r="N39" s="16" t="n">
        <f aca="false">MAX(0,N38*Inputs!$C$34/Inputs!$C$130-N28*Inputs!$C$35)/N35</f>
        <v>0.7125</v>
      </c>
      <c r="O39" s="16" t="n">
        <f aca="false">MAX(0,O38*Inputs!$C$34/Inputs!$C$130-O28*Inputs!$C$35)/O35</f>
        <v>0.6</v>
      </c>
      <c r="P39" s="16" t="n">
        <f aca="false">MAX(0,P38*Inputs!$C$34/Inputs!$C$130-P28*Inputs!$C$35)/P35</f>
        <v>0.525</v>
      </c>
      <c r="Q39" s="16" t="n">
        <f aca="false">MAX(0,Q38*Inputs!$C$34/Inputs!$C$130-Q28*Inputs!$C$35)/Q35</f>
        <v>1.9875</v>
      </c>
      <c r="R39" s="16" t="n">
        <f aca="false">MAX(0,R38*Inputs!$C$34/Inputs!$C$130-R28*Inputs!$C$35)/R35</f>
        <v>1.9875</v>
      </c>
      <c r="S39" s="16" t="n">
        <f aca="false">MAX(0,S38*Inputs!$C$34/Inputs!$C$130-S28*Inputs!$C$35)/S35</f>
        <v>1.1386826</v>
      </c>
      <c r="T39" s="16" t="n">
        <f aca="false">MAX(0,T38*Inputs!$C$34/Inputs!$C$130-T28*Inputs!$C$35)/T35</f>
        <v>1.6773652</v>
      </c>
      <c r="U39" s="16" t="n">
        <f aca="false">MAX(0,U38*Inputs!$C$34/Inputs!$C$130-U28*Inputs!$C$35)/U35</f>
        <v>2.1035478</v>
      </c>
      <c r="V39" s="16" t="n">
        <f aca="false">MAX(0,V38*Inputs!$C$34/Inputs!$C$130-V28*Inputs!$C$35)/V35</f>
        <v>1.7660478</v>
      </c>
      <c r="W39" s="16" t="n">
        <f aca="false">MAX(0,W38*Inputs!$C$34/Inputs!$C$130-W28*Inputs!$C$35)/W35</f>
        <v>2.9285478</v>
      </c>
      <c r="X39" s="16" t="n">
        <f aca="false">MAX(0,X38*Inputs!$C$34/Inputs!$C$130-X28*Inputs!$C$35)/X35</f>
        <v>4.0910478</v>
      </c>
      <c r="Y39" s="16" t="n">
        <f aca="false">MAX(0,Y38*Inputs!$C$34/Inputs!$C$130-Y28*Inputs!$C$35)/Y35</f>
        <v>3.8660478</v>
      </c>
      <c r="Z39" s="16" t="n">
        <f aca="false">MAX(0,Z38*Inputs!$C$34/Inputs!$C$130-Z28*Inputs!$C$35)/Z35</f>
        <v>3.7535478</v>
      </c>
      <c r="AA39" s="16" t="n">
        <f aca="false">MAX(0,AA38*Inputs!$C$34/Inputs!$C$130-AA28*Inputs!$C$35)/AA35</f>
        <v>3.7535478</v>
      </c>
      <c r="AB39" s="16" t="n">
        <f aca="false">MAX(0,AB38*Inputs!$C$34/Inputs!$C$130-AB28*Inputs!$C$35)/AB35</f>
        <v>3.7535478</v>
      </c>
      <c r="AC39" s="16" t="n">
        <f aca="false">MAX(0,AC38*Inputs!$C$34/Inputs!$C$130-AC28*Inputs!$C$35)/AC35</f>
        <v>5.2535478</v>
      </c>
      <c r="AD39" s="16" t="n">
        <f aca="false">MAX(0,AD38*Inputs!$C$34/Inputs!$C$130-AD28*Inputs!$C$35)/AD35</f>
        <v>5.2535478</v>
      </c>
      <c r="AE39" s="16" t="n">
        <f aca="false">MAX(0,AE38*Inputs!$C$34/Inputs!$C$130-AE28*Inputs!$C$35)/AE35</f>
        <v>5.112163</v>
      </c>
      <c r="AF39" s="16" t="n">
        <f aca="false">MAX(0,AF38*Inputs!$C$34/Inputs!$C$130-AF28*Inputs!$C$35)/AF35</f>
        <v>4.7457782</v>
      </c>
      <c r="AG39" s="16" t="n">
        <f aca="false">MAX(0,AG38*Inputs!$C$34/Inputs!$C$130-AG28*Inputs!$C$35)/AG35</f>
        <v>4.1543934</v>
      </c>
      <c r="AH39" s="16" t="n">
        <f aca="false">MAX(0,AH38*Inputs!$C$34/Inputs!$C$130-AH28*Inputs!$C$35)/AH35</f>
        <v>4.9793934</v>
      </c>
      <c r="AI39" s="16" t="n">
        <f aca="false">MAX(0,AI38*Inputs!$C$34/Inputs!$C$130-AI28*Inputs!$C$35)/AI35</f>
        <v>5.8043934</v>
      </c>
      <c r="AJ39" s="16" t="n">
        <f aca="false">MAX(0,AJ38*Inputs!$C$34/Inputs!$C$130-AJ28*Inputs!$C$35)/AJ35</f>
        <v>8.1293934</v>
      </c>
      <c r="AK39" s="16" t="n">
        <f aca="false">MAX(0,AK38*Inputs!$C$34/Inputs!$C$130-AK28*Inputs!$C$35)/AK35</f>
        <v>9.1793934</v>
      </c>
      <c r="AL39" s="16" t="n">
        <f aca="false">MAX(0,AL38*Inputs!$C$34/Inputs!$C$130-AL28*Inputs!$C$35)/AL35</f>
        <v>8.9543934</v>
      </c>
      <c r="AM39" s="16" t="n">
        <f aca="false">MAX(0,AM38*Inputs!$C$34/Inputs!$C$130-AM28*Inputs!$C$35)/AM35</f>
        <v>10.4543934</v>
      </c>
      <c r="AN39" s="16" t="n">
        <f aca="false">MAX(0,AN38*Inputs!$C$34/Inputs!$C$130-AN28*Inputs!$C$35)/AN35</f>
        <v>10.4543934</v>
      </c>
      <c r="AO39" s="16" t="n">
        <f aca="false">MAX(0,AO38*Inputs!$C$34/Inputs!$C$130-AO28*Inputs!$C$35)/AO35</f>
        <v>10.4543934</v>
      </c>
      <c r="AP39" s="16" t="n">
        <f aca="false">MAX(0,AP38*Inputs!$C$34/Inputs!$C$130-AP28*Inputs!$C$35)/AP35</f>
        <v>10.4543934</v>
      </c>
      <c r="AQ39" s="16" t="n">
        <f aca="false">MAX(0,AQ38*Inputs!$C$34/Inputs!$C$130-AQ28*Inputs!$C$35)/AQ35</f>
        <v>10.1817586</v>
      </c>
      <c r="AR39" s="16" t="n">
        <f aca="false">MAX(0,AR38*Inputs!$C$34/Inputs!$C$130-AR28*Inputs!$C$35)/AR35</f>
        <v>11.1091238</v>
      </c>
      <c r="AS39" s="16" t="n">
        <f aca="false">MAX(0,AS38*Inputs!$C$34/Inputs!$C$130-AS28*Inputs!$C$35)/AS35</f>
        <v>10.236489</v>
      </c>
      <c r="AT39" s="16" t="n">
        <f aca="false">MAX(0,AT38*Inputs!$C$34/Inputs!$C$130-AT28*Inputs!$C$35)/AT35</f>
        <v>10.836489</v>
      </c>
      <c r="AU39" s="16" t="n">
        <f aca="false">MAX(0,AU38*Inputs!$C$34/Inputs!$C$130-AU28*Inputs!$C$35)/AU35</f>
        <v>12.936489</v>
      </c>
      <c r="AV39" s="16" t="n">
        <f aca="false">MAX(0,AV38*Inputs!$C$34/Inputs!$C$130-AV28*Inputs!$C$35)/AV35</f>
        <v>15.036489</v>
      </c>
      <c r="AW39" s="16" t="n">
        <f aca="false">MAX(0,AW38*Inputs!$C$34/Inputs!$C$130-AW28*Inputs!$C$35)/AW35</f>
        <v>15.936489</v>
      </c>
      <c r="AX39" s="16" t="n">
        <f aca="false">MAX(0,AX38*Inputs!$C$34/Inputs!$C$130-AX28*Inputs!$C$35)/AX35</f>
        <v>15.636489</v>
      </c>
      <c r="AY39" s="16" t="n">
        <f aca="false">MAX(0,AY38*Inputs!$C$34/Inputs!$C$130-AY28*Inputs!$C$35)/AY35</f>
        <v>17.136489</v>
      </c>
      <c r="AZ39" s="16" t="n">
        <f aca="false">MAX(0,AZ38*Inputs!$C$34/Inputs!$C$130-AZ28*Inputs!$C$35)/AZ35</f>
        <v>17.136489</v>
      </c>
      <c r="BA39" s="16" t="n">
        <f aca="false">MAX(0,BA38*Inputs!$C$34/Inputs!$C$130-BA28*Inputs!$C$35)/BA35</f>
        <v>17.136489</v>
      </c>
      <c r="BB39" s="16" t="n">
        <f aca="false">MAX(0,BB38*Inputs!$C$34/Inputs!$C$130-BB28*Inputs!$C$35)/BB35</f>
        <v>17.136489</v>
      </c>
      <c r="BC39" s="16" t="n">
        <f aca="false">MAX(0,BC38*Inputs!$C$34/Inputs!$C$130-BC28*Inputs!$C$35)/BC35</f>
        <v>18.4013542</v>
      </c>
      <c r="BD39" s="16" t="n">
        <f aca="false">MAX(0,BD38*Inputs!$C$34/Inputs!$C$130-BD28*Inputs!$C$35)/BD35</f>
        <v>17.9037194</v>
      </c>
      <c r="BE39" s="16" t="n">
        <f aca="false">MAX(0,BE38*Inputs!$C$34/Inputs!$C$130-BE28*Inputs!$C$35)/BE35</f>
        <v>17.1435846</v>
      </c>
      <c r="BF39" s="16" t="n">
        <f aca="false">MAX(0,BF38*Inputs!$C$34/Inputs!$C$130-BF28*Inputs!$C$35)/BF35</f>
        <v>17.8560846</v>
      </c>
      <c r="BG39" s="16" t="n">
        <f aca="false">MAX(0,BG38*Inputs!$C$34/Inputs!$C$130-BG28*Inputs!$C$35)/BG35</f>
        <v>20.0685846</v>
      </c>
      <c r="BH39" s="16" t="n">
        <f aca="false">MAX(0,BH38*Inputs!$C$34/Inputs!$C$130-BH28*Inputs!$C$35)/BH35</f>
        <v>22.2810846</v>
      </c>
      <c r="BI39" s="16" t="n">
        <f aca="false">MAX(0,BI38*Inputs!$C$34/Inputs!$C$130-BI28*Inputs!$C$35)/BI35</f>
        <v>23.2560846</v>
      </c>
      <c r="BJ39" s="16" t="n">
        <f aca="false">MAX(0,BJ38*Inputs!$C$34/Inputs!$C$130-BJ28*Inputs!$C$35)/BJ35</f>
        <v>22.9935846</v>
      </c>
      <c r="BK39" s="16" t="n">
        <f aca="false">MAX(0,BK38*Inputs!$C$34/Inputs!$C$130-BK28*Inputs!$C$35)/BK35</f>
        <v>22.9935846</v>
      </c>
    </row>
    <row r="40" customFormat="false" ht="15" hidden="false" customHeight="true" outlineLevel="0" collapsed="false">
      <c r="A40" s="12" t="s">
        <v>1924</v>
      </c>
      <c r="B40" s="4" t="s">
        <v>29</v>
      </c>
      <c r="D40" s="16" t="n">
        <f aca="true">IF(D$6&gt;D35,OFFSET(D32,0,-(D35)),0)</f>
        <v>0</v>
      </c>
      <c r="E40" s="16" t="n">
        <f aca="true">IF(E$6&gt;E35,OFFSET(E32,0,-(E35)),0)</f>
        <v>0</v>
      </c>
      <c r="F40" s="16" t="n">
        <f aca="true">IF(F$6&gt;F35,OFFSET(F32,0,-(F35)),0)</f>
        <v>0</v>
      </c>
      <c r="G40" s="16" t="n">
        <f aca="true">IF(G$6&gt;G35,OFFSET(G32,0,-(G35)),0)</f>
        <v>0</v>
      </c>
      <c r="H40" s="16" t="n">
        <f aca="true">IF(H$6&gt;H35,OFFSET(H32,0,-(H35)),0)</f>
        <v>0</v>
      </c>
      <c r="I40" s="16" t="n">
        <f aca="true">IF(I$6&gt;I35,OFFSET(I32,0,-(I35)),0)</f>
        <v>0</v>
      </c>
      <c r="J40" s="16" t="n">
        <f aca="true">IF(J$6&gt;J35,OFFSET(J32,0,-(J35)),0)</f>
        <v>0</v>
      </c>
      <c r="K40" s="16" t="n">
        <f aca="true">IF(K$6&gt;K35,OFFSET(K32,0,-(K35)),0)</f>
        <v>0</v>
      </c>
      <c r="L40" s="16" t="n">
        <f aca="true">IF(L$6&gt;L35,OFFSET(L32,0,-(L35)),0)</f>
        <v>0.2475</v>
      </c>
      <c r="M40" s="16" t="n">
        <f aca="true">IF(M$6&gt;M35,OFFSET(M32,0,-(M35)),0)</f>
        <v>0.2475</v>
      </c>
      <c r="N40" s="16" t="n">
        <f aca="true">IF(N$6&gt;N35,OFFSET(N32,0,-(N35)),0)</f>
        <v>0.2475</v>
      </c>
      <c r="O40" s="16" t="n">
        <f aca="true">IF(O$6&gt;O35,OFFSET(O32,0,-(O35)),0)</f>
        <v>0.33</v>
      </c>
      <c r="P40" s="16" t="n">
        <f aca="true">IF(P$6&gt;P35,OFFSET(P32,0,-(P35)),0)</f>
        <v>0.4125</v>
      </c>
      <c r="Q40" s="16" t="n">
        <f aca="true">IF(Q$6&gt;Q35,OFFSET(Q32,0,-(Q35)),0)</f>
        <v>0.495</v>
      </c>
      <c r="R40" s="16" t="n">
        <f aca="true">IF(R$6&gt;R35,OFFSET(R32,0,-(R35)),0)</f>
        <v>0.5775</v>
      </c>
      <c r="S40" s="16" t="n">
        <f aca="true">IF(S$6&gt;S35,OFFSET(S32,0,-(S35)),0)</f>
        <v>0.66</v>
      </c>
      <c r="T40" s="16" t="n">
        <f aca="true">IF(T$6&gt;T35,OFFSET(T32,0,-(T35)),0)</f>
        <v>0.7425</v>
      </c>
      <c r="U40" s="16" t="n">
        <f aca="true">IF(U$6&gt;U35,OFFSET(U32,0,-(U35)),0)</f>
        <v>0.7425</v>
      </c>
      <c r="V40" s="16" t="n">
        <f aca="true">IF(V$6&gt;V35,OFFSET(V32,0,-(V35)),0)</f>
        <v>0.7425</v>
      </c>
      <c r="W40" s="16" t="n">
        <f aca="true">IF(W$6&gt;W35,OFFSET(W32,0,-(W35)),0)</f>
        <v>0.7425</v>
      </c>
      <c r="X40" s="16" t="n">
        <f aca="true">IF(X$6&gt;X35,OFFSET(X32,0,-(X35)),0)</f>
        <v>2.60989828</v>
      </c>
      <c r="Y40" s="16" t="n">
        <f aca="true">IF(Y$6&gt;Y35,OFFSET(Y32,0,-(Y35)),0)</f>
        <v>2.85739828</v>
      </c>
      <c r="Z40" s="16" t="n">
        <f aca="true">IF(Z$6&gt;Z35,OFFSET(Z32,0,-(Z35)),0)</f>
        <v>3.10489828</v>
      </c>
      <c r="AA40" s="16" t="n">
        <f aca="true">IF(AA$6&gt;AA35,OFFSET(AA32,0,-(AA35)),0)</f>
        <v>3.35239828</v>
      </c>
      <c r="AB40" s="16" t="n">
        <f aca="true">IF(AB$6&gt;AB35,OFFSET(AB32,0,-(AB35)),0)</f>
        <v>3.59989828</v>
      </c>
      <c r="AC40" s="16" t="n">
        <f aca="true">IF(AC$6&gt;AC35,OFFSET(AC32,0,-(AC35)),0)</f>
        <v>3.84739828</v>
      </c>
      <c r="AD40" s="16" t="n">
        <f aca="true">IF(AD$6&gt;AD35,OFFSET(AD32,0,-(AD35)),0)</f>
        <v>3.84739828</v>
      </c>
      <c r="AE40" s="16" t="n">
        <f aca="true">IF(AE$6&gt;AE35,OFFSET(AE32,0,-(AE35)),0)</f>
        <v>3.84739828</v>
      </c>
      <c r="AF40" s="16" t="n">
        <f aca="true">IF(AF$6&gt;AF35,OFFSET(AF32,0,-(AF35)),0)</f>
        <v>3.84739828</v>
      </c>
      <c r="AG40" s="16" t="n">
        <f aca="true">IF(AG$6&gt;AG35,OFFSET(AG32,0,-(AG35)),0)</f>
        <v>3.84739828</v>
      </c>
      <c r="AH40" s="16" t="n">
        <f aca="true">IF(AH$6&gt;AH35,OFFSET(AH32,0,-(AH35)),0)</f>
        <v>3.84739828</v>
      </c>
      <c r="AI40" s="16" t="n">
        <f aca="true">IF(AI$6&gt;AI35,OFFSET(AI32,0,-(AI35)),0)</f>
        <v>3.84739828</v>
      </c>
      <c r="AJ40" s="16" t="n">
        <f aca="true">IF(AJ$6&gt;AJ35,OFFSET(AJ32,0,-(AJ35)),0)</f>
        <v>7.45844484</v>
      </c>
      <c r="AK40" s="16" t="n">
        <f aca="true">IF(AK$6&gt;AK35,OFFSET(AK32,0,-(AK35)),0)</f>
        <v>7.95344484</v>
      </c>
      <c r="AL40" s="16" t="n">
        <f aca="true">IF(AL$6&gt;AL35,OFFSET(AL32,0,-(AL35)),0)</f>
        <v>8.44844484</v>
      </c>
      <c r="AM40" s="16" t="n">
        <f aca="true">IF(AM$6&gt;AM35,OFFSET(AM32,0,-(AM35)),0)</f>
        <v>8.94344484</v>
      </c>
      <c r="AN40" s="16" t="n">
        <f aca="true">IF(AN$6&gt;AN35,OFFSET(AN32,0,-(AN35)),0)</f>
        <v>9.43844484</v>
      </c>
      <c r="AO40" s="16" t="n">
        <f aca="true">IF(AO$6&gt;AO35,OFFSET(AO32,0,-(AO35)),0)</f>
        <v>9.93344484</v>
      </c>
      <c r="AP40" s="16" t="n">
        <f aca="true">IF(AP$6&gt;AP35,OFFSET(AP32,0,-(AP35)),0)</f>
        <v>9.93344484</v>
      </c>
      <c r="AQ40" s="16" t="n">
        <f aca="true">IF(AQ$6&gt;AQ35,OFFSET(AQ32,0,-(AQ35)),0)</f>
        <v>9.93344484</v>
      </c>
      <c r="AR40" s="16" t="n">
        <f aca="true">IF(AR$6&gt;AR35,OFFSET(AR32,0,-(AR35)),0)</f>
        <v>9.93344484</v>
      </c>
      <c r="AS40" s="16" t="n">
        <f aca="true">IF(AS$6&gt;AS35,OFFSET(AS32,0,-(AS35)),0)</f>
        <v>9.93344484</v>
      </c>
      <c r="AT40" s="16" t="n">
        <f aca="true">IF(AT$6&gt;AT35,OFFSET(AT32,0,-(AT35)),0)</f>
        <v>9.93344484</v>
      </c>
      <c r="AU40" s="16" t="n">
        <f aca="true">IF(AU$6&gt;AU35,OFFSET(AU32,0,-(AU35)),0)</f>
        <v>9.93344484</v>
      </c>
      <c r="AV40" s="16" t="n">
        <f aca="true">IF(AV$6&gt;AV35,OFFSET(AV32,0,-(AV35)),0)</f>
        <v>13.8332414</v>
      </c>
      <c r="AW40" s="16" t="n">
        <f aca="true">IF(AW$6&gt;AW35,OFFSET(AW32,0,-(AW35)),0)</f>
        <v>14.4932414</v>
      </c>
      <c r="AX40" s="16" t="n">
        <f aca="true">IF(AX$6&gt;AX35,OFFSET(AX32,0,-(AX35)),0)</f>
        <v>15.1532414</v>
      </c>
      <c r="AY40" s="16" t="n">
        <f aca="true">IF(AY$6&gt;AY35,OFFSET(AY32,0,-(AY35)),0)</f>
        <v>15.8132414</v>
      </c>
      <c r="AZ40" s="16" t="n">
        <f aca="true">IF(AZ$6&gt;AZ35,OFFSET(AZ32,0,-(AZ35)),0)</f>
        <v>16.4732414</v>
      </c>
      <c r="BA40" s="16" t="n">
        <f aca="true">IF(BA$6&gt;BA35,OFFSET(BA32,0,-(BA35)),0)</f>
        <v>17.1332414</v>
      </c>
      <c r="BB40" s="16" t="n">
        <f aca="true">IF(BB$6&gt;BB35,OFFSET(BB32,0,-(BB35)),0)</f>
        <v>17.1332414</v>
      </c>
      <c r="BC40" s="16" t="n">
        <f aca="true">IF(BC$6&gt;BC35,OFFSET(BC32,0,-(BC35)),0)</f>
        <v>17.1332414</v>
      </c>
      <c r="BD40" s="16" t="n">
        <f aca="true">IF(BD$6&gt;BD35,OFFSET(BD32,0,-(BD35)),0)</f>
        <v>17.1332414</v>
      </c>
      <c r="BE40" s="16" t="n">
        <f aca="true">IF(BE$6&gt;BE35,OFFSET(BE32,0,-(BE35)),0)</f>
        <v>17.1332414</v>
      </c>
      <c r="BF40" s="16" t="n">
        <f aca="true">IF(BF$6&gt;BF35,OFFSET(BF32,0,-(BF35)),0)</f>
        <v>17.1332414</v>
      </c>
      <c r="BG40" s="16" t="n">
        <f aca="true">IF(BG$6&gt;BG35,OFFSET(BG32,0,-(BG35)),0)</f>
        <v>17.1332414</v>
      </c>
      <c r="BH40" s="16" t="n">
        <f aca="true">IF(BH$6&gt;BH35,OFFSET(BH32,0,-(BH35)),0)</f>
        <v>20.95053796</v>
      </c>
      <c r="BI40" s="16" t="n">
        <f aca="true">IF(BI$6&gt;BI35,OFFSET(BI32,0,-(BI35)),0)</f>
        <v>21.52803796</v>
      </c>
      <c r="BJ40" s="16" t="n">
        <f aca="true">IF(BJ$6&gt;BJ35,OFFSET(BJ32,0,-(BJ35)),0)</f>
        <v>22.10553796</v>
      </c>
      <c r="BK40" s="16" t="n">
        <f aca="true">IF(BK$6&gt;BK35,OFFSET(BK32,0,-(BK35)),0)</f>
        <v>22.68303796</v>
      </c>
    </row>
    <row r="41" customFormat="false" ht="15" hidden="false" customHeight="true" outlineLevel="0" collapsed="false">
      <c r="A41" s="12" t="s">
        <v>1925</v>
      </c>
      <c r="B41" s="4" t="s">
        <v>29</v>
      </c>
      <c r="D41" s="16" t="n">
        <f aca="false">0</f>
        <v>0</v>
      </c>
      <c r="E41" s="16" t="n">
        <f aca="false">D43</f>
        <v>0</v>
      </c>
      <c r="F41" s="16" t="n">
        <f aca="false">E43</f>
        <v>0</v>
      </c>
      <c r="G41" s="16" t="n">
        <f aca="false">F43</f>
        <v>0</v>
      </c>
      <c r="H41" s="16" t="n">
        <f aca="false">G43</f>
        <v>0</v>
      </c>
      <c r="I41" s="16" t="n">
        <f aca="false">H43</f>
        <v>0</v>
      </c>
      <c r="J41" s="16" t="n">
        <f aca="false">I43</f>
        <v>0</v>
      </c>
      <c r="K41" s="16" t="n">
        <f aca="false">J43</f>
        <v>0</v>
      </c>
      <c r="L41" s="16" t="n">
        <f aca="false">K43</f>
        <v>0</v>
      </c>
      <c r="M41" s="16" t="n">
        <f aca="false">L43</f>
        <v>0</v>
      </c>
      <c r="N41" s="16" t="n">
        <f aca="false">M43</f>
        <v>0</v>
      </c>
      <c r="O41" s="16" t="n">
        <f aca="false">N43</f>
        <v>0</v>
      </c>
      <c r="P41" s="16" t="n">
        <f aca="false">O43</f>
        <v>0</v>
      </c>
      <c r="Q41" s="16" t="n">
        <f aca="false">P43</f>
        <v>0</v>
      </c>
      <c r="R41" s="16" t="n">
        <f aca="false">Q43</f>
        <v>0</v>
      </c>
      <c r="S41" s="16" t="n">
        <f aca="false">R43</f>
        <v>0</v>
      </c>
      <c r="T41" s="16" t="n">
        <f aca="false">S43</f>
        <v>0</v>
      </c>
      <c r="U41" s="16" t="n">
        <f aca="false">T43</f>
        <v>0</v>
      </c>
      <c r="V41" s="16" t="n">
        <f aca="false">U43</f>
        <v>0</v>
      </c>
      <c r="W41" s="16" t="n">
        <f aca="false">V43</f>
        <v>0</v>
      </c>
      <c r="X41" s="16" t="n">
        <f aca="false">W43</f>
        <v>0</v>
      </c>
      <c r="Y41" s="16" t="n">
        <f aca="false">X43</f>
        <v>0</v>
      </c>
      <c r="Z41" s="16" t="n">
        <f aca="false">Y43</f>
        <v>0</v>
      </c>
      <c r="AA41" s="16" t="n">
        <f aca="false">Z43</f>
        <v>0</v>
      </c>
      <c r="AB41" s="16" t="n">
        <f aca="false">AA43</f>
        <v>0</v>
      </c>
      <c r="AC41" s="16" t="n">
        <f aca="false">AB43</f>
        <v>0</v>
      </c>
      <c r="AD41" s="16" t="n">
        <f aca="false">AC43</f>
        <v>0</v>
      </c>
      <c r="AE41" s="16" t="n">
        <f aca="false">AD43</f>
        <v>0</v>
      </c>
      <c r="AF41" s="16" t="n">
        <f aca="false">AE43</f>
        <v>0</v>
      </c>
      <c r="AG41" s="16" t="n">
        <f aca="false">AF43</f>
        <v>0</v>
      </c>
      <c r="AH41" s="16" t="n">
        <f aca="false">AG43</f>
        <v>0</v>
      </c>
      <c r="AI41" s="16" t="n">
        <f aca="false">AH43</f>
        <v>0</v>
      </c>
      <c r="AJ41" s="16" t="n">
        <f aca="false">AI43</f>
        <v>0</v>
      </c>
      <c r="AK41" s="16" t="n">
        <f aca="false">AJ43</f>
        <v>0</v>
      </c>
      <c r="AL41" s="16" t="n">
        <f aca="false">AK43</f>
        <v>0</v>
      </c>
      <c r="AM41" s="16" t="n">
        <f aca="false">AL43</f>
        <v>0</v>
      </c>
      <c r="AN41" s="16" t="n">
        <f aca="false">AM43</f>
        <v>0</v>
      </c>
      <c r="AO41" s="16" t="n">
        <f aca="false">AN43</f>
        <v>0</v>
      </c>
      <c r="AP41" s="16" t="n">
        <f aca="false">AO43</f>
        <v>0</v>
      </c>
      <c r="AQ41" s="16" t="n">
        <f aca="false">AP43</f>
        <v>0</v>
      </c>
      <c r="AR41" s="16" t="n">
        <f aca="false">AQ43</f>
        <v>0</v>
      </c>
      <c r="AS41" s="16" t="n">
        <f aca="false">AR43</f>
        <v>0</v>
      </c>
      <c r="AT41" s="16" t="n">
        <f aca="false">AS43</f>
        <v>0</v>
      </c>
      <c r="AU41" s="16" t="n">
        <f aca="false">AT43</f>
        <v>0</v>
      </c>
      <c r="AV41" s="16" t="n">
        <f aca="false">AU43</f>
        <v>0</v>
      </c>
      <c r="AW41" s="16" t="n">
        <f aca="false">AV43</f>
        <v>0</v>
      </c>
      <c r="AX41" s="16" t="n">
        <f aca="false">AW43</f>
        <v>0</v>
      </c>
      <c r="AY41" s="16" t="n">
        <f aca="false">AX43</f>
        <v>0</v>
      </c>
      <c r="AZ41" s="16" t="n">
        <f aca="false">AY43</f>
        <v>0</v>
      </c>
      <c r="BA41" s="16" t="n">
        <f aca="false">AZ43</f>
        <v>0</v>
      </c>
      <c r="BB41" s="16" t="n">
        <f aca="false">BA43</f>
        <v>0</v>
      </c>
      <c r="BC41" s="16" t="n">
        <f aca="false">BB43</f>
        <v>0</v>
      </c>
      <c r="BD41" s="16" t="n">
        <f aca="false">BC43</f>
        <v>0</v>
      </c>
      <c r="BE41" s="16" t="n">
        <f aca="false">BD43</f>
        <v>0</v>
      </c>
      <c r="BF41" s="16" t="n">
        <f aca="false">BE43</f>
        <v>0</v>
      </c>
      <c r="BG41" s="16" t="n">
        <f aca="false">BF43</f>
        <v>0</v>
      </c>
      <c r="BH41" s="16" t="n">
        <f aca="false">BG43</f>
        <v>0</v>
      </c>
      <c r="BI41" s="16" t="n">
        <f aca="false">BH43</f>
        <v>0</v>
      </c>
      <c r="BJ41" s="16" t="n">
        <f aca="false">BI43</f>
        <v>0</v>
      </c>
      <c r="BK41" s="16" t="n">
        <f aca="false">BJ43</f>
        <v>0</v>
      </c>
    </row>
    <row r="42" customFormat="false" ht="15" hidden="false" customHeight="true" outlineLevel="0" collapsed="false">
      <c r="A42" s="5" t="s">
        <v>1926</v>
      </c>
      <c r="B42" s="4" t="s">
        <v>29</v>
      </c>
      <c r="D42" s="52" t="n">
        <f aca="false">MIN(D41+D40,D39)</f>
        <v>0</v>
      </c>
      <c r="E42" s="52" t="n">
        <f aca="false">MIN(E41+E40,E39)</f>
        <v>0</v>
      </c>
      <c r="F42" s="52" t="n">
        <f aca="false">MIN(F41+F40,F39)</f>
        <v>0</v>
      </c>
      <c r="G42" s="52" t="n">
        <f aca="false">MIN(G41+G40,G39)</f>
        <v>0</v>
      </c>
      <c r="H42" s="52" t="n">
        <f aca="false">MIN(H41+H40,H39)</f>
        <v>0</v>
      </c>
      <c r="I42" s="52" t="n">
        <f aca="false">MIN(I41+I40,I39)</f>
        <v>0</v>
      </c>
      <c r="J42" s="52" t="n">
        <f aca="false">MIN(J41+J40,J39)</f>
        <v>0</v>
      </c>
      <c r="K42" s="52" t="n">
        <f aca="false">MIN(K41+K40,K39)</f>
        <v>0</v>
      </c>
      <c r="L42" s="52" t="n">
        <f aca="false">MIN(L41+L40,L39)</f>
        <v>0.2475</v>
      </c>
      <c r="M42" s="52" t="n">
        <f aca="false">MIN(M41+M40,M39)</f>
        <v>0.2475</v>
      </c>
      <c r="N42" s="52" t="n">
        <f aca="false">MIN(N41+N40,N39)</f>
        <v>0.2475</v>
      </c>
      <c r="O42" s="52" t="n">
        <f aca="false">MIN(O41+O40,O39)</f>
        <v>0.33</v>
      </c>
      <c r="P42" s="52" t="n">
        <f aca="false">MIN(P41+P40,P39)</f>
        <v>0.4125</v>
      </c>
      <c r="Q42" s="52" t="n">
        <f aca="false">MIN(Q41+Q40,Q39)</f>
        <v>0.495</v>
      </c>
      <c r="R42" s="52" t="n">
        <f aca="false">MIN(R41+R40,R39)</f>
        <v>0.5775</v>
      </c>
      <c r="S42" s="52" t="n">
        <f aca="false">MIN(S41+S40,S39)</f>
        <v>0.66</v>
      </c>
      <c r="T42" s="52" t="n">
        <f aca="false">MIN(T41+T40,T39)</f>
        <v>0.7425</v>
      </c>
      <c r="U42" s="52" t="n">
        <f aca="false">MIN(U41+U40,U39)</f>
        <v>0.7425</v>
      </c>
      <c r="V42" s="52" t="n">
        <f aca="false">MIN(V41+V40,V39)</f>
        <v>0.7425</v>
      </c>
      <c r="W42" s="52" t="n">
        <f aca="false">MIN(W41+W40,W39)</f>
        <v>0.7425</v>
      </c>
      <c r="X42" s="52" t="n">
        <f aca="false">MIN(X41+X40,X39)</f>
        <v>2.60989828</v>
      </c>
      <c r="Y42" s="52" t="n">
        <f aca="false">MIN(Y41+Y40,Y39)</f>
        <v>2.85739828</v>
      </c>
      <c r="Z42" s="52" t="n">
        <f aca="false">MIN(Z41+Z40,Z39)</f>
        <v>3.10489828</v>
      </c>
      <c r="AA42" s="52" t="n">
        <f aca="false">MIN(AA41+AA40,AA39)</f>
        <v>3.35239828</v>
      </c>
      <c r="AB42" s="52" t="n">
        <f aca="false">MIN(AB41+AB40,AB39)</f>
        <v>3.59989828</v>
      </c>
      <c r="AC42" s="52" t="n">
        <f aca="false">MIN(AC41+AC40,AC39)</f>
        <v>3.84739828</v>
      </c>
      <c r="AD42" s="52" t="n">
        <f aca="false">MIN(AD41+AD40,AD39)</f>
        <v>3.84739828</v>
      </c>
      <c r="AE42" s="52" t="n">
        <f aca="false">MIN(AE41+AE40,AE39)</f>
        <v>3.84739828</v>
      </c>
      <c r="AF42" s="52" t="n">
        <f aca="false">MIN(AF41+AF40,AF39)</f>
        <v>3.84739828</v>
      </c>
      <c r="AG42" s="52" t="n">
        <f aca="false">MIN(AG41+AG40,AG39)</f>
        <v>3.84739828</v>
      </c>
      <c r="AH42" s="52" t="n">
        <f aca="false">MIN(AH41+AH40,AH39)</f>
        <v>3.84739828</v>
      </c>
      <c r="AI42" s="52" t="n">
        <f aca="false">MIN(AI41+AI40,AI39)</f>
        <v>3.84739828</v>
      </c>
      <c r="AJ42" s="52" t="n">
        <f aca="false">MIN(AJ41+AJ40,AJ39)</f>
        <v>7.45844484</v>
      </c>
      <c r="AK42" s="52" t="n">
        <f aca="false">MIN(AK41+AK40,AK39)</f>
        <v>7.95344484</v>
      </c>
      <c r="AL42" s="52" t="n">
        <f aca="false">MIN(AL41+AL40,AL39)</f>
        <v>8.44844484</v>
      </c>
      <c r="AM42" s="52" t="n">
        <f aca="false">MIN(AM41+AM40,AM39)</f>
        <v>8.94344484</v>
      </c>
      <c r="AN42" s="52" t="n">
        <f aca="false">MIN(AN41+AN40,AN39)</f>
        <v>9.43844484</v>
      </c>
      <c r="AO42" s="52" t="n">
        <f aca="false">MIN(AO41+AO40,AO39)</f>
        <v>9.93344484</v>
      </c>
      <c r="AP42" s="52" t="n">
        <f aca="false">MIN(AP41+AP40,AP39)</f>
        <v>9.93344484</v>
      </c>
      <c r="AQ42" s="52" t="n">
        <f aca="false">MIN(AQ41+AQ40,AQ39)</f>
        <v>9.93344484</v>
      </c>
      <c r="AR42" s="52" t="n">
        <f aca="false">MIN(AR41+AR40,AR39)</f>
        <v>9.93344484</v>
      </c>
      <c r="AS42" s="52" t="n">
        <f aca="false">MIN(AS41+AS40,AS39)</f>
        <v>9.93344484</v>
      </c>
      <c r="AT42" s="52" t="n">
        <f aca="false">MIN(AT41+AT40,AT39)</f>
        <v>9.93344484</v>
      </c>
      <c r="AU42" s="52" t="n">
        <f aca="false">MIN(AU41+AU40,AU39)</f>
        <v>9.93344484</v>
      </c>
      <c r="AV42" s="52" t="n">
        <f aca="false">MIN(AV41+AV40,AV39)</f>
        <v>13.8332414</v>
      </c>
      <c r="AW42" s="52" t="n">
        <f aca="false">MIN(AW41+AW40,AW39)</f>
        <v>14.4932414</v>
      </c>
      <c r="AX42" s="52" t="n">
        <f aca="false">MIN(AX41+AX40,AX39)</f>
        <v>15.1532414</v>
      </c>
      <c r="AY42" s="52" t="n">
        <f aca="false">MIN(AY41+AY40,AY39)</f>
        <v>15.8132414</v>
      </c>
      <c r="AZ42" s="52" t="n">
        <f aca="false">MIN(AZ41+AZ40,AZ39)</f>
        <v>16.4732414</v>
      </c>
      <c r="BA42" s="52" t="n">
        <f aca="false">MIN(BA41+BA40,BA39)</f>
        <v>17.1332414</v>
      </c>
      <c r="BB42" s="52" t="n">
        <f aca="false">MIN(BB41+BB40,BB39)</f>
        <v>17.1332414</v>
      </c>
      <c r="BC42" s="52" t="n">
        <f aca="false">MIN(BC41+BC40,BC39)</f>
        <v>17.1332414</v>
      </c>
      <c r="BD42" s="52" t="n">
        <f aca="false">MIN(BD41+BD40,BD39)</f>
        <v>17.1332414</v>
      </c>
      <c r="BE42" s="52" t="n">
        <f aca="false">MIN(BE41+BE40,BE39)</f>
        <v>17.1332414</v>
      </c>
      <c r="BF42" s="52" t="n">
        <f aca="false">MIN(BF41+BF40,BF39)</f>
        <v>17.1332414</v>
      </c>
      <c r="BG42" s="52" t="n">
        <f aca="false">MIN(BG41+BG40,BG39)</f>
        <v>17.1332414</v>
      </c>
      <c r="BH42" s="52" t="n">
        <f aca="false">MIN(BH41+BH40,BH39)</f>
        <v>20.95053796</v>
      </c>
      <c r="BI42" s="52" t="n">
        <f aca="false">MIN(BI41+BI40,BI39)</f>
        <v>21.52803796</v>
      </c>
      <c r="BJ42" s="52" t="n">
        <f aca="false">MIN(BJ41+BJ40,BJ39)</f>
        <v>22.10553796</v>
      </c>
      <c r="BK42" s="52" t="n">
        <f aca="false">MIN(BK41+BK40,BK39)</f>
        <v>22.68303796</v>
      </c>
    </row>
    <row r="43" customFormat="false" ht="15" hidden="false" customHeight="true" outlineLevel="0" collapsed="false">
      <c r="A43" s="12" t="s">
        <v>1927</v>
      </c>
      <c r="B43" s="4" t="s">
        <v>29</v>
      </c>
      <c r="D43" s="16" t="n">
        <f aca="false">D41+D40-D42</f>
        <v>0</v>
      </c>
      <c r="E43" s="16" t="n">
        <f aca="false">E41+E40-E42</f>
        <v>0</v>
      </c>
      <c r="F43" s="16" t="n">
        <f aca="false">F41+F40-F42</f>
        <v>0</v>
      </c>
      <c r="G43" s="16" t="n">
        <f aca="false">G41+G40-G42</f>
        <v>0</v>
      </c>
      <c r="H43" s="16" t="n">
        <f aca="false">H41+H40-H42</f>
        <v>0</v>
      </c>
      <c r="I43" s="16" t="n">
        <f aca="false">I41+I40-I42</f>
        <v>0</v>
      </c>
      <c r="J43" s="16" t="n">
        <f aca="false">J41+J40-J42</f>
        <v>0</v>
      </c>
      <c r="K43" s="16" t="n">
        <f aca="false">K41+K40-K42</f>
        <v>0</v>
      </c>
      <c r="L43" s="16" t="n">
        <f aca="false">L41+L40-L42</f>
        <v>0</v>
      </c>
      <c r="M43" s="16" t="n">
        <f aca="false">M41+M40-M42</f>
        <v>0</v>
      </c>
      <c r="N43" s="16" t="n">
        <f aca="false">N41+N40-N42</f>
        <v>0</v>
      </c>
      <c r="O43" s="16" t="n">
        <f aca="false">O41+O40-O42</f>
        <v>0</v>
      </c>
      <c r="P43" s="16" t="n">
        <f aca="false">P41+P40-P42</f>
        <v>0</v>
      </c>
      <c r="Q43" s="16" t="n">
        <f aca="false">Q41+Q40-Q42</f>
        <v>0</v>
      </c>
      <c r="R43" s="16" t="n">
        <f aca="false">R41+R40-R42</f>
        <v>0</v>
      </c>
      <c r="S43" s="16" t="n">
        <f aca="false">S41+S40-S42</f>
        <v>0</v>
      </c>
      <c r="T43" s="16" t="n">
        <f aca="false">T41+T40-T42</f>
        <v>0</v>
      </c>
      <c r="U43" s="16" t="n">
        <f aca="false">U41+U40-U42</f>
        <v>0</v>
      </c>
      <c r="V43" s="16" t="n">
        <f aca="false">V41+V40-V42</f>
        <v>0</v>
      </c>
      <c r="W43" s="16" t="n">
        <f aca="false">W41+W40-W42</f>
        <v>0</v>
      </c>
      <c r="X43" s="16" t="n">
        <f aca="false">X41+X40-X42</f>
        <v>0</v>
      </c>
      <c r="Y43" s="16" t="n">
        <f aca="false">Y41+Y40-Y42</f>
        <v>0</v>
      </c>
      <c r="Z43" s="16" t="n">
        <f aca="false">Z41+Z40-Z42</f>
        <v>0</v>
      </c>
      <c r="AA43" s="16" t="n">
        <f aca="false">AA41+AA40-AA42</f>
        <v>0</v>
      </c>
      <c r="AB43" s="16" t="n">
        <f aca="false">AB41+AB40-AB42</f>
        <v>0</v>
      </c>
      <c r="AC43" s="16" t="n">
        <f aca="false">AC41+AC40-AC42</f>
        <v>0</v>
      </c>
      <c r="AD43" s="16" t="n">
        <f aca="false">AD41+AD40-AD42</f>
        <v>0</v>
      </c>
      <c r="AE43" s="16" t="n">
        <f aca="false">AE41+AE40-AE42</f>
        <v>0</v>
      </c>
      <c r="AF43" s="16" t="n">
        <f aca="false">AF41+AF40-AF42</f>
        <v>0</v>
      </c>
      <c r="AG43" s="16" t="n">
        <f aca="false">AG41+AG40-AG42</f>
        <v>0</v>
      </c>
      <c r="AH43" s="16" t="n">
        <f aca="false">AH41+AH40-AH42</f>
        <v>0</v>
      </c>
      <c r="AI43" s="16" t="n">
        <f aca="false">AI41+AI40-AI42</f>
        <v>0</v>
      </c>
      <c r="AJ43" s="16" t="n">
        <f aca="false">AJ41+AJ40-AJ42</f>
        <v>0</v>
      </c>
      <c r="AK43" s="16" t="n">
        <f aca="false">AK41+AK40-AK42</f>
        <v>0</v>
      </c>
      <c r="AL43" s="16" t="n">
        <f aca="false">AL41+AL40-AL42</f>
        <v>0</v>
      </c>
      <c r="AM43" s="16" t="n">
        <f aca="false">AM41+AM40-AM42</f>
        <v>0</v>
      </c>
      <c r="AN43" s="16" t="n">
        <f aca="false">AN41+AN40-AN42</f>
        <v>0</v>
      </c>
      <c r="AO43" s="16" t="n">
        <f aca="false">AO41+AO40-AO42</f>
        <v>0</v>
      </c>
      <c r="AP43" s="16" t="n">
        <f aca="false">AP41+AP40-AP42</f>
        <v>0</v>
      </c>
      <c r="AQ43" s="16" t="n">
        <f aca="false">AQ41+AQ40-AQ42</f>
        <v>0</v>
      </c>
      <c r="AR43" s="16" t="n">
        <f aca="false">AR41+AR40-AR42</f>
        <v>0</v>
      </c>
      <c r="AS43" s="16" t="n">
        <f aca="false">AS41+AS40-AS42</f>
        <v>0</v>
      </c>
      <c r="AT43" s="16" t="n">
        <f aca="false">AT41+AT40-AT42</f>
        <v>0</v>
      </c>
      <c r="AU43" s="16" t="n">
        <f aca="false">AU41+AU40-AU42</f>
        <v>0</v>
      </c>
      <c r="AV43" s="16" t="n">
        <f aca="false">AV41+AV40-AV42</f>
        <v>0</v>
      </c>
      <c r="AW43" s="16" t="n">
        <f aca="false">AW41+AW40-AW42</f>
        <v>0</v>
      </c>
      <c r="AX43" s="16" t="n">
        <f aca="false">AX41+AX40-AX42</f>
        <v>0</v>
      </c>
      <c r="AY43" s="16" t="n">
        <f aca="false">AY41+AY40-AY42</f>
        <v>0</v>
      </c>
      <c r="AZ43" s="16" t="n">
        <f aca="false">AZ41+AZ40-AZ42</f>
        <v>0</v>
      </c>
      <c r="BA43" s="16" t="n">
        <f aca="false">BA41+BA40-BA42</f>
        <v>0</v>
      </c>
      <c r="BB43" s="16" t="n">
        <f aca="false">BB41+BB40-BB42</f>
        <v>0</v>
      </c>
      <c r="BC43" s="16" t="n">
        <f aca="false">BC41+BC40-BC42</f>
        <v>0</v>
      </c>
      <c r="BD43" s="16" t="n">
        <f aca="false">BD41+BD40-BD42</f>
        <v>0</v>
      </c>
      <c r="BE43" s="16" t="n">
        <f aca="false">BE41+BE40-BE42</f>
        <v>0</v>
      </c>
      <c r="BF43" s="16" t="n">
        <f aca="false">BF41+BF40-BF42</f>
        <v>0</v>
      </c>
      <c r="BG43" s="16" t="n">
        <f aca="false">BG41+BG40-BG42</f>
        <v>0</v>
      </c>
      <c r="BH43" s="16" t="n">
        <f aca="false">BH41+BH40-BH42</f>
        <v>0</v>
      </c>
      <c r="BI43" s="16" t="n">
        <f aca="false">BI41+BI40-BI42</f>
        <v>0</v>
      </c>
      <c r="BJ43" s="16" t="n">
        <f aca="false">BJ41+BJ40-BJ42</f>
        <v>0</v>
      </c>
      <c r="BK43" s="16" t="n">
        <f aca="false">BK41+BK40-BK42</f>
        <v>0</v>
      </c>
    </row>
    <row r="45" customFormat="false" ht="15" hidden="false" customHeight="true" outlineLevel="0" collapsed="false">
      <c r="A45" s="10" t="s">
        <v>1928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customFormat="false" ht="15" hidden="false" customHeight="true" outlineLevel="0" collapsed="false">
      <c r="A46" s="12" t="s">
        <v>1929</v>
      </c>
      <c r="B46" s="4" t="s">
        <v>46</v>
      </c>
      <c r="D46" s="17" t="n">
        <f aca="false">1-(1-MIN(0.95,Inputs!$C$50*Inputs!$C$127))^(1/12)</f>
        <v>0.00782842034248321</v>
      </c>
      <c r="E46" s="17" t="n">
        <f aca="false">1-(1-MIN(0.95,Inputs!$C$50*Inputs!$C$127))^(1/12)</f>
        <v>0.00782842034248321</v>
      </c>
      <c r="F46" s="17" t="n">
        <f aca="false">1-(1-MIN(0.95,Inputs!$C$50*Inputs!$C$127))^(1/12)</f>
        <v>0.00782842034248321</v>
      </c>
      <c r="G46" s="17" t="n">
        <f aca="false">1-(1-MIN(0.95,Inputs!$C$50*Inputs!$C$127))^(1/12)</f>
        <v>0.00782842034248321</v>
      </c>
      <c r="H46" s="17" t="n">
        <f aca="false">1-(1-MIN(0.95,Inputs!$C$50*Inputs!$C$127))^(1/12)</f>
        <v>0.00782842034248321</v>
      </c>
      <c r="I46" s="17" t="n">
        <f aca="false">1-(1-MIN(0.95,Inputs!$C$50*Inputs!$C$127))^(1/12)</f>
        <v>0.00782842034248321</v>
      </c>
      <c r="J46" s="17" t="n">
        <f aca="false">1-(1-MIN(0.95,Inputs!$C$50*Inputs!$C$127))^(1/12)</f>
        <v>0.00782842034248321</v>
      </c>
      <c r="K46" s="17" t="n">
        <f aca="false">1-(1-MIN(0.95,Inputs!$C$50*Inputs!$C$127))^(1/12)</f>
        <v>0.00782842034248321</v>
      </c>
      <c r="L46" s="17" t="n">
        <f aca="false">1-(1-MIN(0.95,Inputs!$C$50*Inputs!$C$127))^(1/12)</f>
        <v>0.00782842034248321</v>
      </c>
      <c r="M46" s="17" t="n">
        <f aca="false">1-(1-MIN(0.95,Inputs!$C$50*Inputs!$C$127))^(1/12)</f>
        <v>0.00782842034248321</v>
      </c>
      <c r="N46" s="17" t="n">
        <f aca="false">1-(1-MIN(0.95,Inputs!$C$50*Inputs!$C$127))^(1/12)</f>
        <v>0.00782842034248321</v>
      </c>
      <c r="O46" s="17" t="n">
        <f aca="false">1-(1-MIN(0.95,Inputs!$C$50*Inputs!$C$127))^(1/12)</f>
        <v>0.00782842034248321</v>
      </c>
      <c r="P46" s="17" t="n">
        <f aca="false">1-(1-MIN(0.95,Inputs!$C$50*Inputs!$C$127))^(1/12)</f>
        <v>0.00782842034248321</v>
      </c>
      <c r="Q46" s="17" t="n">
        <f aca="false">1-(1-MIN(0.95,Inputs!$C$50*Inputs!$C$127))^(1/12)</f>
        <v>0.00782842034248321</v>
      </c>
      <c r="R46" s="17" t="n">
        <f aca="false">1-(1-MIN(0.95,Inputs!$C$50*Inputs!$C$127))^(1/12)</f>
        <v>0.00782842034248321</v>
      </c>
      <c r="S46" s="17" t="n">
        <f aca="false">1-(1-MIN(0.95,Inputs!$C$50*Inputs!$C$127))^(1/12)</f>
        <v>0.00782842034248321</v>
      </c>
      <c r="T46" s="17" t="n">
        <f aca="false">1-(1-MIN(0.95,Inputs!$C$50*Inputs!$C$127))^(1/12)</f>
        <v>0.00782842034248321</v>
      </c>
      <c r="U46" s="17" t="n">
        <f aca="false">1-(1-MIN(0.95,Inputs!$C$50*Inputs!$C$127))^(1/12)</f>
        <v>0.00782842034248321</v>
      </c>
      <c r="V46" s="17" t="n">
        <f aca="false">1-(1-MIN(0.95,Inputs!$C$50*Inputs!$C$127))^(1/12)</f>
        <v>0.00782842034248321</v>
      </c>
      <c r="W46" s="17" t="n">
        <f aca="false">1-(1-MIN(0.95,Inputs!$C$50*Inputs!$C$127))^(1/12)</f>
        <v>0.00782842034248321</v>
      </c>
      <c r="X46" s="17" t="n">
        <f aca="false">1-(1-MIN(0.95,Inputs!$C$50*Inputs!$C$127))^(1/12)</f>
        <v>0.00782842034248321</v>
      </c>
      <c r="Y46" s="17" t="n">
        <f aca="false">1-(1-MIN(0.95,Inputs!$C$50*Inputs!$C$127))^(1/12)</f>
        <v>0.00782842034248321</v>
      </c>
      <c r="Z46" s="17" t="n">
        <f aca="false">1-(1-MIN(0.95,Inputs!$C$50*Inputs!$C$127))^(1/12)</f>
        <v>0.00782842034248321</v>
      </c>
      <c r="AA46" s="17" t="n">
        <f aca="false">1-(1-MIN(0.95,Inputs!$C$50*Inputs!$C$127))^(1/12)</f>
        <v>0.00782842034248321</v>
      </c>
      <c r="AB46" s="17" t="n">
        <f aca="false">1-(1-MIN(0.95,Inputs!$C$50*Inputs!$C$127))^(1/12)</f>
        <v>0.00782842034248321</v>
      </c>
      <c r="AC46" s="17" t="n">
        <f aca="false">1-(1-MIN(0.95,Inputs!$C$50*Inputs!$C$127))^(1/12)</f>
        <v>0.00782842034248321</v>
      </c>
      <c r="AD46" s="17" t="n">
        <f aca="false">1-(1-MIN(0.95,Inputs!$C$50*Inputs!$C$127))^(1/12)</f>
        <v>0.00782842034248321</v>
      </c>
      <c r="AE46" s="17" t="n">
        <f aca="false">1-(1-MIN(0.95,Inputs!$C$50*Inputs!$C$127))^(1/12)</f>
        <v>0.00782842034248321</v>
      </c>
      <c r="AF46" s="17" t="n">
        <f aca="false">1-(1-MIN(0.95,Inputs!$C$50*Inputs!$C$127))^(1/12)</f>
        <v>0.00782842034248321</v>
      </c>
      <c r="AG46" s="17" t="n">
        <f aca="false">1-(1-MIN(0.95,Inputs!$C$50*Inputs!$C$127))^(1/12)</f>
        <v>0.00782842034248321</v>
      </c>
      <c r="AH46" s="17" t="n">
        <f aca="false">1-(1-MIN(0.95,Inputs!$C$50*Inputs!$C$127))^(1/12)</f>
        <v>0.00782842034248321</v>
      </c>
      <c r="AI46" s="17" t="n">
        <f aca="false">1-(1-MIN(0.95,Inputs!$C$50*Inputs!$C$127))^(1/12)</f>
        <v>0.00782842034248321</v>
      </c>
      <c r="AJ46" s="17" t="n">
        <f aca="false">1-(1-MIN(0.95,Inputs!$C$50*Inputs!$C$127))^(1/12)</f>
        <v>0.00782842034248321</v>
      </c>
      <c r="AK46" s="17" t="n">
        <f aca="false">1-(1-MIN(0.95,Inputs!$C$50*Inputs!$C$127))^(1/12)</f>
        <v>0.00782842034248321</v>
      </c>
      <c r="AL46" s="17" t="n">
        <f aca="false">1-(1-MIN(0.95,Inputs!$C$50*Inputs!$C$127))^(1/12)</f>
        <v>0.00782842034248321</v>
      </c>
      <c r="AM46" s="17" t="n">
        <f aca="false">1-(1-MIN(0.95,Inputs!$C$50*Inputs!$C$127))^(1/12)</f>
        <v>0.00782842034248321</v>
      </c>
      <c r="AN46" s="17" t="n">
        <f aca="false">1-(1-MIN(0.95,Inputs!$C$50*Inputs!$C$127))^(1/12)</f>
        <v>0.00782842034248321</v>
      </c>
      <c r="AO46" s="17" t="n">
        <f aca="false">1-(1-MIN(0.95,Inputs!$C$50*Inputs!$C$127))^(1/12)</f>
        <v>0.00782842034248321</v>
      </c>
      <c r="AP46" s="17" t="n">
        <f aca="false">1-(1-MIN(0.95,Inputs!$C$50*Inputs!$C$127))^(1/12)</f>
        <v>0.00782842034248321</v>
      </c>
      <c r="AQ46" s="17" t="n">
        <f aca="false">1-(1-MIN(0.95,Inputs!$C$50*Inputs!$C$127))^(1/12)</f>
        <v>0.00782842034248321</v>
      </c>
      <c r="AR46" s="17" t="n">
        <f aca="false">1-(1-MIN(0.95,Inputs!$C$50*Inputs!$C$127))^(1/12)</f>
        <v>0.00782842034248321</v>
      </c>
      <c r="AS46" s="17" t="n">
        <f aca="false">1-(1-MIN(0.95,Inputs!$C$50*Inputs!$C$127))^(1/12)</f>
        <v>0.00782842034248321</v>
      </c>
      <c r="AT46" s="17" t="n">
        <f aca="false">1-(1-MIN(0.95,Inputs!$C$50*Inputs!$C$127))^(1/12)</f>
        <v>0.00782842034248321</v>
      </c>
      <c r="AU46" s="17" t="n">
        <f aca="false">1-(1-MIN(0.95,Inputs!$C$50*Inputs!$C$127))^(1/12)</f>
        <v>0.00782842034248321</v>
      </c>
      <c r="AV46" s="17" t="n">
        <f aca="false">1-(1-MIN(0.95,Inputs!$C$50*Inputs!$C$127))^(1/12)</f>
        <v>0.00782842034248321</v>
      </c>
      <c r="AW46" s="17" t="n">
        <f aca="false">1-(1-MIN(0.95,Inputs!$C$50*Inputs!$C$127))^(1/12)</f>
        <v>0.00782842034248321</v>
      </c>
      <c r="AX46" s="17" t="n">
        <f aca="false">1-(1-MIN(0.95,Inputs!$C$50*Inputs!$C$127))^(1/12)</f>
        <v>0.00782842034248321</v>
      </c>
      <c r="AY46" s="17" t="n">
        <f aca="false">1-(1-MIN(0.95,Inputs!$C$50*Inputs!$C$127))^(1/12)</f>
        <v>0.00782842034248321</v>
      </c>
      <c r="AZ46" s="17" t="n">
        <f aca="false">1-(1-MIN(0.95,Inputs!$C$50*Inputs!$C$127))^(1/12)</f>
        <v>0.00782842034248321</v>
      </c>
      <c r="BA46" s="17" t="n">
        <f aca="false">1-(1-MIN(0.95,Inputs!$C$50*Inputs!$C$127))^(1/12)</f>
        <v>0.00782842034248321</v>
      </c>
      <c r="BB46" s="17" t="n">
        <f aca="false">1-(1-MIN(0.95,Inputs!$C$50*Inputs!$C$127))^(1/12)</f>
        <v>0.00782842034248321</v>
      </c>
      <c r="BC46" s="17" t="n">
        <f aca="false">1-(1-MIN(0.95,Inputs!$C$50*Inputs!$C$127))^(1/12)</f>
        <v>0.00782842034248321</v>
      </c>
      <c r="BD46" s="17" t="n">
        <f aca="false">1-(1-MIN(0.95,Inputs!$C$50*Inputs!$C$127))^(1/12)</f>
        <v>0.00782842034248321</v>
      </c>
      <c r="BE46" s="17" t="n">
        <f aca="false">1-(1-MIN(0.95,Inputs!$C$50*Inputs!$C$127))^(1/12)</f>
        <v>0.00782842034248321</v>
      </c>
      <c r="BF46" s="17" t="n">
        <f aca="false">1-(1-MIN(0.95,Inputs!$C$50*Inputs!$C$127))^(1/12)</f>
        <v>0.00782842034248321</v>
      </c>
      <c r="BG46" s="17" t="n">
        <f aca="false">1-(1-MIN(0.95,Inputs!$C$50*Inputs!$C$127))^(1/12)</f>
        <v>0.00782842034248321</v>
      </c>
      <c r="BH46" s="17" t="n">
        <f aca="false">1-(1-MIN(0.95,Inputs!$C$50*Inputs!$C$127))^(1/12)</f>
        <v>0.00782842034248321</v>
      </c>
      <c r="BI46" s="17" t="n">
        <f aca="false">1-(1-MIN(0.95,Inputs!$C$50*Inputs!$C$127))^(1/12)</f>
        <v>0.00782842034248321</v>
      </c>
      <c r="BJ46" s="17" t="n">
        <f aca="false">1-(1-MIN(0.95,Inputs!$C$50*Inputs!$C$127))^(1/12)</f>
        <v>0.00782842034248321</v>
      </c>
      <c r="BK46" s="17" t="n">
        <f aca="false">1-(1-MIN(0.95,Inputs!$C$50*Inputs!$C$127))^(1/12)</f>
        <v>0.00782842034248321</v>
      </c>
    </row>
    <row r="47" customFormat="false" ht="15" hidden="false" customHeight="true" outlineLevel="0" collapsed="false">
      <c r="A47" s="12" t="s">
        <v>1812</v>
      </c>
      <c r="B47" s="4" t="s">
        <v>29</v>
      </c>
      <c r="D47" s="16" t="n">
        <f aca="false">0</f>
        <v>0</v>
      </c>
      <c r="E47" s="16" t="n">
        <f aca="false">D49</f>
        <v>0</v>
      </c>
      <c r="F47" s="16" t="n">
        <f aca="false">E49</f>
        <v>0</v>
      </c>
      <c r="G47" s="16" t="n">
        <f aca="false">F49</f>
        <v>0</v>
      </c>
      <c r="H47" s="16" t="n">
        <f aca="false">G49</f>
        <v>0</v>
      </c>
      <c r="I47" s="16" t="n">
        <f aca="false">H49</f>
        <v>0</v>
      </c>
      <c r="J47" s="16" t="n">
        <f aca="false">I49</f>
        <v>0</v>
      </c>
      <c r="K47" s="16" t="n">
        <f aca="false">J49</f>
        <v>0</v>
      </c>
      <c r="L47" s="16" t="n">
        <f aca="false">K49</f>
        <v>0</v>
      </c>
      <c r="M47" s="16" t="n">
        <f aca="false">L49</f>
        <v>0.2475</v>
      </c>
      <c r="N47" s="16" t="n">
        <f aca="false">M49</f>
        <v>0.493062465965235</v>
      </c>
      <c r="O47" s="16" t="n">
        <f aca="false">N49</f>
        <v>0.736702565726558</v>
      </c>
      <c r="P47" s="16" t="n">
        <f aca="false">O49</f>
        <v>1.06093534837466</v>
      </c>
      <c r="Q47" s="16" t="n">
        <f aca="false">P49</f>
        <v>1.46512990051139</v>
      </c>
      <c r="R47" s="16" t="n">
        <f aca="false">Q49</f>
        <v>1.94866024779385</v>
      </c>
      <c r="S47" s="16" t="n">
        <f aca="false">R49</f>
        <v>2.51090531626943</v>
      </c>
      <c r="T47" s="16" t="n">
        <f aca="false">S49</f>
        <v>3.1512488940135</v>
      </c>
      <c r="U47" s="16" t="n">
        <f aca="false">T49</f>
        <v>3.86907959306737</v>
      </c>
      <c r="V47" s="16" t="n">
        <f aca="false">U49</f>
        <v>4.58129081167432</v>
      </c>
      <c r="W47" s="16" t="n">
        <f aca="false">V49</f>
        <v>5.28792654148937</v>
      </c>
      <c r="X47" s="16" t="n">
        <f aca="false">W49</f>
        <v>5.98903042978242</v>
      </c>
      <c r="Y47" s="16" t="n">
        <f aca="false">X49</f>
        <v>8.55204406213416</v>
      </c>
      <c r="Z47" s="16" t="n">
        <f aca="false">Y49</f>
        <v>11.3424933464283</v>
      </c>
      <c r="AA47" s="16" t="n">
        <f aca="false">Z49</f>
        <v>14.3585978207807</v>
      </c>
      <c r="AB47" s="16" t="n">
        <f aca="false">AA49</f>
        <v>17.5985909615109</v>
      </c>
      <c r="AC47" s="16" t="n">
        <f aca="false">AB49</f>
        <v>21.0607200740288</v>
      </c>
      <c r="AD47" s="16" t="n">
        <f aca="false">AC49</f>
        <v>24.7432461845739</v>
      </c>
      <c r="AE47" s="16" t="n">
        <f aca="false">AD49</f>
        <v>28.3969439328036</v>
      </c>
      <c r="AF47" s="16" t="n">
        <f aca="false">AE49</f>
        <v>32.0220389992556</v>
      </c>
      <c r="AG47" s="16" t="n">
        <f aca="false">AF49</f>
        <v>35.6187552977461</v>
      </c>
      <c r="AH47" s="16" t="n">
        <f aca="false">AG49</f>
        <v>39.1873149891993</v>
      </c>
      <c r="AI47" s="16" t="n">
        <f aca="false">AH49</f>
        <v>42.7279384953705</v>
      </c>
      <c r="AJ47" s="16" t="n">
        <f aca="false">AI49</f>
        <v>46.240844512461</v>
      </c>
      <c r="AK47" s="16" t="n">
        <f aca="false">AJ49</f>
        <v>53.337296584626</v>
      </c>
      <c r="AL47" s="16" t="n">
        <f aca="false">AK49</f>
        <v>60.8731946470299</v>
      </c>
      <c r="AM47" s="16" t="n">
        <f aca="false">AL49</f>
        <v>68.8450985317431</v>
      </c>
      <c r="AN47" s="16" t="n">
        <f aca="false">AM49</f>
        <v>77.249595001917</v>
      </c>
      <c r="AO47" s="16" t="n">
        <f aca="false">AN49</f>
        <v>86.0832975409554</v>
      </c>
      <c r="AP47" s="16" t="n">
        <f aca="false">AO49</f>
        <v>95.3428461433377</v>
      </c>
      <c r="AQ47" s="16" t="n">
        <f aca="false">AP49</f>
        <v>104.529907107079</v>
      </c>
      <c r="AR47" s="16" t="n">
        <f aca="false">AQ49</f>
        <v>113.645047895884</v>
      </c>
      <c r="AS47" s="16" t="n">
        <f aca="false">AR49</f>
        <v>122.688831531113</v>
      </c>
      <c r="AT47" s="16" t="n">
        <f aca="false">AS49</f>
        <v>131.66181662656</v>
      </c>
      <c r="AU47" s="16" t="n">
        <f aca="false">AT49</f>
        <v>140.564557422952</v>
      </c>
      <c r="AV47" s="16" t="n">
        <f aca="false">AU49</f>
        <v>149.39760382219</v>
      </c>
      <c r="AW47" s="16" t="n">
        <f aca="false">AV49</f>
        <v>162.06129798131</v>
      </c>
      <c r="AX47" s="16" t="n">
        <f aca="false">AW49</f>
        <v>175.285855419464</v>
      </c>
      <c r="AY47" s="16" t="n">
        <f aca="false">AX49</f>
        <v>189.066885463149</v>
      </c>
      <c r="AZ47" s="16" t="n">
        <f aca="false">AY49</f>
        <v>203.400031810899</v>
      </c>
      <c r="BA47" s="16" t="n">
        <f aca="false">AZ49</f>
        <v>218.280972264209</v>
      </c>
      <c r="BB47" s="16" t="n">
        <f aca="false">BA49</f>
        <v>233.705418460559</v>
      </c>
      <c r="BC47" s="16" t="n">
        <f aca="false">BB49</f>
        <v>249.009115608534</v>
      </c>
      <c r="BD47" s="16" t="n">
        <f aca="false">BC49</f>
        <v>264.19300898244</v>
      </c>
      <c r="BE47" s="16" t="n">
        <f aca="false">BD49</f>
        <v>279.25803645658</v>
      </c>
      <c r="BF47" s="16" t="n">
        <f aca="false">BE49</f>
        <v>294.205128563182</v>
      </c>
      <c r="BG47" s="16" t="n">
        <f aca="false">BF49</f>
        <v>309.035208549875</v>
      </c>
      <c r="BH47" s="16" t="n">
        <f aca="false">BG49</f>
        <v>323.749192436719</v>
      </c>
      <c r="BI47" s="16" t="n">
        <f aca="false">BH49</f>
        <v>342.165285632785</v>
      </c>
      <c r="BJ47" s="16" t="n">
        <f aca="false">BI49</f>
        <v>361.014709910246</v>
      </c>
      <c r="BK47" s="16" t="n">
        <f aca="false">BJ49</f>
        <v>380.294072971249</v>
      </c>
    </row>
    <row r="48" customFormat="false" ht="15" hidden="false" customHeight="true" outlineLevel="0" collapsed="false">
      <c r="A48" s="12" t="s">
        <v>649</v>
      </c>
      <c r="B48" s="4" t="s">
        <v>29</v>
      </c>
      <c r="D48" s="16" t="n">
        <f aca="false">D47*D46</f>
        <v>0</v>
      </c>
      <c r="E48" s="16" t="n">
        <f aca="false">E47*E46</f>
        <v>0</v>
      </c>
      <c r="F48" s="16" t="n">
        <f aca="false">F47*F46</f>
        <v>0</v>
      </c>
      <c r="G48" s="16" t="n">
        <f aca="false">G47*G46</f>
        <v>0</v>
      </c>
      <c r="H48" s="16" t="n">
        <f aca="false">H47*H46</f>
        <v>0</v>
      </c>
      <c r="I48" s="16" t="n">
        <f aca="false">I47*I46</f>
        <v>0</v>
      </c>
      <c r="J48" s="16" t="n">
        <f aca="false">J47*J46</f>
        <v>0</v>
      </c>
      <c r="K48" s="16" t="n">
        <f aca="false">K47*K46</f>
        <v>0</v>
      </c>
      <c r="L48" s="16" t="n">
        <f aca="false">L47*L46</f>
        <v>0</v>
      </c>
      <c r="M48" s="16" t="n">
        <f aca="false">M47*M46</f>
        <v>0.00193753403476459</v>
      </c>
      <c r="N48" s="16" t="n">
        <f aca="false">N47*N46</f>
        <v>0.00385990023867718</v>
      </c>
      <c r="O48" s="16" t="n">
        <f aca="false">O47*O46</f>
        <v>0.00576721735189336</v>
      </c>
      <c r="P48" s="16" t="n">
        <f aca="false">P47*P46</f>
        <v>0.00830544786327574</v>
      </c>
      <c r="Q48" s="16" t="n">
        <f aca="false">Q47*Q46</f>
        <v>0.0114696527175438</v>
      </c>
      <c r="R48" s="16" t="n">
        <f aca="false">R47*R46</f>
        <v>0.0152549315244177</v>
      </c>
      <c r="S48" s="16" t="n">
        <f aca="false">S47*S46</f>
        <v>0.0196564222559328</v>
      </c>
      <c r="T48" s="16" t="n">
        <f aca="false">T47*T46</f>
        <v>0.024669300946123</v>
      </c>
      <c r="U48" s="16" t="n">
        <f aca="false">U47*U46</f>
        <v>0.0302887813930553</v>
      </c>
      <c r="V48" s="16" t="n">
        <f aca="false">V47*V46</f>
        <v>0.0358642701849427</v>
      </c>
      <c r="W48" s="16" t="n">
        <f aca="false">W47*W46</f>
        <v>0.0413961117069523</v>
      </c>
      <c r="X48" s="16" t="n">
        <f aca="false">X47*X46</f>
        <v>0.0468846476482597</v>
      </c>
      <c r="Y48" s="16" t="n">
        <f aca="false">Y47*Y46</f>
        <v>0.0669489957058238</v>
      </c>
      <c r="Z48" s="16" t="n">
        <f aca="false">Z47*Z46</f>
        <v>0.0887938056476601</v>
      </c>
      <c r="AA48" s="16" t="n">
        <f aca="false">AA47*AA46</f>
        <v>0.112405139269735</v>
      </c>
      <c r="AB48" s="16" t="n">
        <f aca="false">AB47*AB46</f>
        <v>0.137769167482133</v>
      </c>
      <c r="AC48" s="16" t="n">
        <f aca="false">AC47*AC46</f>
        <v>0.164872169454872</v>
      </c>
      <c r="AD48" s="16" t="n">
        <f aca="false">AD47*AD46</f>
        <v>0.193700531770389</v>
      </c>
      <c r="AE48" s="16" t="n">
        <f aca="false">AE47*AE46</f>
        <v>0.222303213547915</v>
      </c>
      <c r="AF48" s="16" t="n">
        <f aca="false">AF47*AF46</f>
        <v>0.250681981509564</v>
      </c>
      <c r="AG48" s="16" t="n">
        <f aca="false">AG47*AG46</f>
        <v>0.278838588546807</v>
      </c>
      <c r="AH48" s="16" t="n">
        <f aca="false">AH47*AH46</f>
        <v>0.306774773828745</v>
      </c>
      <c r="AI48" s="16" t="n">
        <f aca="false">AI47*AI46</f>
        <v>0.33449226290953</v>
      </c>
      <c r="AJ48" s="16" t="n">
        <f aca="false">AJ47*AJ46</f>
        <v>0.361992767834953</v>
      </c>
      <c r="AK48" s="16" t="n">
        <f aca="false">AK47*AK46</f>
        <v>0.417546777596147</v>
      </c>
      <c r="AL48" s="16" t="n">
        <f aca="false">AL47*AL46</f>
        <v>0.476540955286749</v>
      </c>
      <c r="AM48" s="16" t="n">
        <f aca="false">AM47*AM46</f>
        <v>0.538948369826159</v>
      </c>
      <c r="AN48" s="16" t="n">
        <f aca="false">AN47*AN46</f>
        <v>0.604742300961596</v>
      </c>
      <c r="AO48" s="16" t="n">
        <f aca="false">AO47*AO46</f>
        <v>0.67389623761765</v>
      </c>
      <c r="AP48" s="16" t="n">
        <f aca="false">AP47*AP46</f>
        <v>0.746383876258752</v>
      </c>
      <c r="AQ48" s="16" t="n">
        <f aca="false">AQ47*AQ46</f>
        <v>0.818304051194938</v>
      </c>
      <c r="AR48" s="16" t="n">
        <f aca="false">AR47*AR46</f>
        <v>0.889661204770618</v>
      </c>
      <c r="AS48" s="16" t="n">
        <f aca="false">AS47*AS46</f>
        <v>0.960459744553664</v>
      </c>
      <c r="AT48" s="16" t="n">
        <f aca="false">AT47*AT46</f>
        <v>1.03070404360765</v>
      </c>
      <c r="AU48" s="16" t="n">
        <f aca="false">AU47*AU46</f>
        <v>1.10039844076199</v>
      </c>
      <c r="AV48" s="16" t="n">
        <f aca="false">AV47*AV46</f>
        <v>1.16954724087988</v>
      </c>
      <c r="AW48" s="16" t="n">
        <f aca="false">AW47*AW46</f>
        <v>1.26868396184612</v>
      </c>
      <c r="AX48" s="16" t="n">
        <f aca="false">AX47*AX46</f>
        <v>1.3722113563153</v>
      </c>
      <c r="AY48" s="16" t="n">
        <f aca="false">AY47*AY46</f>
        <v>1.48009505224966</v>
      </c>
      <c r="AZ48" s="16" t="n">
        <f aca="false">AZ47*AZ46</f>
        <v>1.59230094669018</v>
      </c>
      <c r="BA48" s="16" t="n">
        <f aca="false">BA47*BA46</f>
        <v>1.70879520365015</v>
      </c>
      <c r="BB48" s="16" t="n">
        <f aca="false">BB47*BB46</f>
        <v>1.82954425202519</v>
      </c>
      <c r="BC48" s="16" t="n">
        <f aca="false">BC47*BC46</f>
        <v>1.9493480260936</v>
      </c>
      <c r="BD48" s="16" t="n">
        <f aca="false">BD47*BD46</f>
        <v>2.06821392585998</v>
      </c>
      <c r="BE48" s="16" t="n">
        <f aca="false">BE47*BE46</f>
        <v>2.18614929339861</v>
      </c>
      <c r="BF48" s="16" t="n">
        <f aca="false">BF47*BF46</f>
        <v>2.3031614133069</v>
      </c>
      <c r="BG48" s="16" t="n">
        <f aca="false">BG47*BG46</f>
        <v>2.41925751315538</v>
      </c>
      <c r="BH48" s="16" t="n">
        <f aca="false">BH47*BH46</f>
        <v>2.53444476393413</v>
      </c>
      <c r="BI48" s="16" t="n">
        <f aca="false">BI47*BI46</f>
        <v>2.67861368253927</v>
      </c>
      <c r="BJ48" s="16" t="n">
        <f aca="false">BJ47*BJ46</f>
        <v>2.82617489899704</v>
      </c>
      <c r="BK48" s="16" t="n">
        <f aca="false">BK47*BK46</f>
        <v>2.97710185697392</v>
      </c>
    </row>
    <row r="49" customFormat="false" ht="15" hidden="false" customHeight="true" outlineLevel="0" collapsed="false">
      <c r="A49" s="5" t="s">
        <v>1816</v>
      </c>
      <c r="B49" s="4" t="s">
        <v>29</v>
      </c>
      <c r="D49" s="52" t="n">
        <f aca="false">D47-D48+D42</f>
        <v>0</v>
      </c>
      <c r="E49" s="52" t="n">
        <f aca="false">E47-E48+E42</f>
        <v>0</v>
      </c>
      <c r="F49" s="52" t="n">
        <f aca="false">F47-F48+F42</f>
        <v>0</v>
      </c>
      <c r="G49" s="52" t="n">
        <f aca="false">G47-G48+G42</f>
        <v>0</v>
      </c>
      <c r="H49" s="52" t="n">
        <f aca="false">H47-H48+H42</f>
        <v>0</v>
      </c>
      <c r="I49" s="52" t="n">
        <f aca="false">I47-I48+I42</f>
        <v>0</v>
      </c>
      <c r="J49" s="52" t="n">
        <f aca="false">J47-J48+J42</f>
        <v>0</v>
      </c>
      <c r="K49" s="52" t="n">
        <f aca="false">K47-K48+K42</f>
        <v>0</v>
      </c>
      <c r="L49" s="52" t="n">
        <f aca="false">L47-L48+L42</f>
        <v>0.2475</v>
      </c>
      <c r="M49" s="52" t="n">
        <f aca="false">M47-M48+M42</f>
        <v>0.493062465965235</v>
      </c>
      <c r="N49" s="52" t="n">
        <f aca="false">N47-N48+N42</f>
        <v>0.736702565726558</v>
      </c>
      <c r="O49" s="52" t="n">
        <f aca="false">O47-O48+O42</f>
        <v>1.06093534837466</v>
      </c>
      <c r="P49" s="52" t="n">
        <f aca="false">P47-P48+P42</f>
        <v>1.46512990051139</v>
      </c>
      <c r="Q49" s="52" t="n">
        <f aca="false">Q47-Q48+Q42</f>
        <v>1.94866024779385</v>
      </c>
      <c r="R49" s="52" t="n">
        <f aca="false">R47-R48+R42</f>
        <v>2.51090531626943</v>
      </c>
      <c r="S49" s="52" t="n">
        <f aca="false">S47-S48+S42</f>
        <v>3.1512488940135</v>
      </c>
      <c r="T49" s="52" t="n">
        <f aca="false">T47-T48+T42</f>
        <v>3.86907959306737</v>
      </c>
      <c r="U49" s="52" t="n">
        <f aca="false">U47-U48+U42</f>
        <v>4.58129081167432</v>
      </c>
      <c r="V49" s="52" t="n">
        <f aca="false">V47-V48+V42</f>
        <v>5.28792654148937</v>
      </c>
      <c r="W49" s="52" t="n">
        <f aca="false">W47-W48+W42</f>
        <v>5.98903042978242</v>
      </c>
      <c r="X49" s="52" t="n">
        <f aca="false">X47-X48+X42</f>
        <v>8.55204406213416</v>
      </c>
      <c r="Y49" s="52" t="n">
        <f aca="false">Y47-Y48+Y42</f>
        <v>11.3424933464283</v>
      </c>
      <c r="Z49" s="52" t="n">
        <f aca="false">Z47-Z48+Z42</f>
        <v>14.3585978207807</v>
      </c>
      <c r="AA49" s="52" t="n">
        <f aca="false">AA47-AA48+AA42</f>
        <v>17.5985909615109</v>
      </c>
      <c r="AB49" s="52" t="n">
        <f aca="false">AB47-AB48+AB42</f>
        <v>21.0607200740288</v>
      </c>
      <c r="AC49" s="52" t="n">
        <f aca="false">AC47-AC48+AC42</f>
        <v>24.7432461845739</v>
      </c>
      <c r="AD49" s="52" t="n">
        <f aca="false">AD47-AD48+AD42</f>
        <v>28.3969439328036</v>
      </c>
      <c r="AE49" s="52" t="n">
        <f aca="false">AE47-AE48+AE42</f>
        <v>32.0220389992556</v>
      </c>
      <c r="AF49" s="52" t="n">
        <f aca="false">AF47-AF48+AF42</f>
        <v>35.6187552977461</v>
      </c>
      <c r="AG49" s="52" t="n">
        <f aca="false">AG47-AG48+AG42</f>
        <v>39.1873149891993</v>
      </c>
      <c r="AH49" s="52" t="n">
        <f aca="false">AH47-AH48+AH42</f>
        <v>42.7279384953705</v>
      </c>
      <c r="AI49" s="52" t="n">
        <f aca="false">AI47-AI48+AI42</f>
        <v>46.240844512461</v>
      </c>
      <c r="AJ49" s="52" t="n">
        <f aca="false">AJ47-AJ48+AJ42</f>
        <v>53.337296584626</v>
      </c>
      <c r="AK49" s="52" t="n">
        <f aca="false">AK47-AK48+AK42</f>
        <v>60.8731946470299</v>
      </c>
      <c r="AL49" s="52" t="n">
        <f aca="false">AL47-AL48+AL42</f>
        <v>68.8450985317431</v>
      </c>
      <c r="AM49" s="52" t="n">
        <f aca="false">AM47-AM48+AM42</f>
        <v>77.249595001917</v>
      </c>
      <c r="AN49" s="52" t="n">
        <f aca="false">AN47-AN48+AN42</f>
        <v>86.0832975409554</v>
      </c>
      <c r="AO49" s="52" t="n">
        <f aca="false">AO47-AO48+AO42</f>
        <v>95.3428461433377</v>
      </c>
      <c r="AP49" s="52" t="n">
        <f aca="false">AP47-AP48+AP42</f>
        <v>104.529907107079</v>
      </c>
      <c r="AQ49" s="52" t="n">
        <f aca="false">AQ47-AQ48+AQ42</f>
        <v>113.645047895884</v>
      </c>
      <c r="AR49" s="52" t="n">
        <f aca="false">AR47-AR48+AR42</f>
        <v>122.688831531113</v>
      </c>
      <c r="AS49" s="52" t="n">
        <f aca="false">AS47-AS48+AS42</f>
        <v>131.66181662656</v>
      </c>
      <c r="AT49" s="52" t="n">
        <f aca="false">AT47-AT48+AT42</f>
        <v>140.564557422952</v>
      </c>
      <c r="AU49" s="52" t="n">
        <f aca="false">AU47-AU48+AU42</f>
        <v>149.39760382219</v>
      </c>
      <c r="AV49" s="52" t="n">
        <f aca="false">AV47-AV48+AV42</f>
        <v>162.06129798131</v>
      </c>
      <c r="AW49" s="52" t="n">
        <f aca="false">AW47-AW48+AW42</f>
        <v>175.285855419464</v>
      </c>
      <c r="AX49" s="52" t="n">
        <f aca="false">AX47-AX48+AX42</f>
        <v>189.066885463149</v>
      </c>
      <c r="AY49" s="52" t="n">
        <f aca="false">AY47-AY48+AY42</f>
        <v>203.400031810899</v>
      </c>
      <c r="AZ49" s="52" t="n">
        <f aca="false">AZ47-AZ48+AZ42</f>
        <v>218.280972264209</v>
      </c>
      <c r="BA49" s="52" t="n">
        <f aca="false">BA47-BA48+BA42</f>
        <v>233.705418460559</v>
      </c>
      <c r="BB49" s="52" t="n">
        <f aca="false">BB47-BB48+BB42</f>
        <v>249.009115608534</v>
      </c>
      <c r="BC49" s="52" t="n">
        <f aca="false">BC47-BC48+BC42</f>
        <v>264.19300898244</v>
      </c>
      <c r="BD49" s="52" t="n">
        <f aca="false">BD47-BD48+BD42</f>
        <v>279.25803645658</v>
      </c>
      <c r="BE49" s="52" t="n">
        <f aca="false">BE47-BE48+BE42</f>
        <v>294.205128563182</v>
      </c>
      <c r="BF49" s="52" t="n">
        <f aca="false">BF47-BF48+BF42</f>
        <v>309.035208549875</v>
      </c>
      <c r="BG49" s="52" t="n">
        <f aca="false">BG47-BG48+BG42</f>
        <v>323.749192436719</v>
      </c>
      <c r="BH49" s="52" t="n">
        <f aca="false">BH47-BH48+BH42</f>
        <v>342.165285632785</v>
      </c>
      <c r="BI49" s="52" t="n">
        <f aca="false">BI47-BI48+BI42</f>
        <v>361.014709910246</v>
      </c>
      <c r="BJ49" s="52" t="n">
        <f aca="false">BJ47-BJ48+BJ42</f>
        <v>380.294072971249</v>
      </c>
      <c r="BK49" s="52" t="n">
        <f aca="false">BK47-BK48+BK42</f>
        <v>400.000009074275</v>
      </c>
    </row>
    <row r="50" customFormat="false" ht="15" hidden="false" customHeight="true" outlineLevel="0" collapsed="false">
      <c r="A50" s="12" t="s">
        <v>1930</v>
      </c>
      <c r="B50" s="4" t="s">
        <v>44</v>
      </c>
      <c r="D50" s="18" t="n">
        <f aca="false">3_Pricing!$F$8*Inputs!$C$47*Inputs!$C$123*(1+Inputs!$C$48)^(D7-1)</f>
        <v>28.75</v>
      </c>
      <c r="E50" s="18" t="n">
        <f aca="false">3_Pricing!$F$8*Inputs!$C$47*Inputs!$C$123*(1+Inputs!$C$48)^(E7-1)</f>
        <v>28.75</v>
      </c>
      <c r="F50" s="18" t="n">
        <f aca="false">3_Pricing!$F$8*Inputs!$C$47*Inputs!$C$123*(1+Inputs!$C$48)^(F7-1)</f>
        <v>28.75</v>
      </c>
      <c r="G50" s="18" t="n">
        <f aca="false">3_Pricing!$F$8*Inputs!$C$47*Inputs!$C$123*(1+Inputs!$C$48)^(G7-1)</f>
        <v>28.75</v>
      </c>
      <c r="H50" s="18" t="n">
        <f aca="false">3_Pricing!$F$8*Inputs!$C$47*Inputs!$C$123*(1+Inputs!$C$48)^(H7-1)</f>
        <v>28.75</v>
      </c>
      <c r="I50" s="18" t="n">
        <f aca="false">3_Pricing!$F$8*Inputs!$C$47*Inputs!$C$123*(1+Inputs!$C$48)^(I7-1)</f>
        <v>28.75</v>
      </c>
      <c r="J50" s="18" t="n">
        <f aca="false">3_Pricing!$F$8*Inputs!$C$47*Inputs!$C$123*(1+Inputs!$C$48)^(J7-1)</f>
        <v>28.75</v>
      </c>
      <c r="K50" s="18" t="n">
        <f aca="false">3_Pricing!$F$8*Inputs!$C$47*Inputs!$C$123*(1+Inputs!$C$48)^(K7-1)</f>
        <v>28.75</v>
      </c>
      <c r="L50" s="18" t="n">
        <f aca="false">3_Pricing!$F$8*Inputs!$C$47*Inputs!$C$123*(1+Inputs!$C$48)^(L7-1)</f>
        <v>28.75</v>
      </c>
      <c r="M50" s="18" t="n">
        <f aca="false">3_Pricing!$F$8*Inputs!$C$47*Inputs!$C$123*(1+Inputs!$C$48)^(M7-1)</f>
        <v>28.75</v>
      </c>
      <c r="N50" s="18" t="n">
        <f aca="false">3_Pricing!$F$8*Inputs!$C$47*Inputs!$C$123*(1+Inputs!$C$48)^(N7-1)</f>
        <v>28.75</v>
      </c>
      <c r="O50" s="18" t="n">
        <f aca="false">3_Pricing!$F$8*Inputs!$C$47*Inputs!$C$123*(1+Inputs!$C$48)^(O7-1)</f>
        <v>28.75</v>
      </c>
      <c r="P50" s="18" t="n">
        <f aca="false">3_Pricing!$F$8*Inputs!$C$47*Inputs!$C$123*(1+Inputs!$C$48)^(P7-1)</f>
        <v>30.1875</v>
      </c>
      <c r="Q50" s="18" t="n">
        <f aca="false">3_Pricing!$F$8*Inputs!$C$47*Inputs!$C$123*(1+Inputs!$C$48)^(Q7-1)</f>
        <v>30.1875</v>
      </c>
      <c r="R50" s="18" t="n">
        <f aca="false">3_Pricing!$F$8*Inputs!$C$47*Inputs!$C$123*(1+Inputs!$C$48)^(R7-1)</f>
        <v>30.1875</v>
      </c>
      <c r="S50" s="18" t="n">
        <f aca="false">3_Pricing!$F$8*Inputs!$C$47*Inputs!$C$123*(1+Inputs!$C$48)^(S7-1)</f>
        <v>30.1875</v>
      </c>
      <c r="T50" s="18" t="n">
        <f aca="false">3_Pricing!$F$8*Inputs!$C$47*Inputs!$C$123*(1+Inputs!$C$48)^(T7-1)</f>
        <v>30.1875</v>
      </c>
      <c r="U50" s="18" t="n">
        <f aca="false">3_Pricing!$F$8*Inputs!$C$47*Inputs!$C$123*(1+Inputs!$C$48)^(U7-1)</f>
        <v>30.1875</v>
      </c>
      <c r="V50" s="18" t="n">
        <f aca="false">3_Pricing!$F$8*Inputs!$C$47*Inputs!$C$123*(1+Inputs!$C$48)^(V7-1)</f>
        <v>30.1875</v>
      </c>
      <c r="W50" s="18" t="n">
        <f aca="false">3_Pricing!$F$8*Inputs!$C$47*Inputs!$C$123*(1+Inputs!$C$48)^(W7-1)</f>
        <v>30.1875</v>
      </c>
      <c r="X50" s="18" t="n">
        <f aca="false">3_Pricing!$F$8*Inputs!$C$47*Inputs!$C$123*(1+Inputs!$C$48)^(X7-1)</f>
        <v>30.1875</v>
      </c>
      <c r="Y50" s="18" t="n">
        <f aca="false">3_Pricing!$F$8*Inputs!$C$47*Inputs!$C$123*(1+Inputs!$C$48)^(Y7-1)</f>
        <v>30.1875</v>
      </c>
      <c r="Z50" s="18" t="n">
        <f aca="false">3_Pricing!$F$8*Inputs!$C$47*Inputs!$C$123*(1+Inputs!$C$48)^(Z7-1)</f>
        <v>30.1875</v>
      </c>
      <c r="AA50" s="18" t="n">
        <f aca="false">3_Pricing!$F$8*Inputs!$C$47*Inputs!$C$123*(1+Inputs!$C$48)^(AA7-1)</f>
        <v>30.1875</v>
      </c>
      <c r="AB50" s="18" t="n">
        <f aca="false">3_Pricing!$F$8*Inputs!$C$47*Inputs!$C$123*(1+Inputs!$C$48)^(AB7-1)</f>
        <v>31.696875</v>
      </c>
      <c r="AC50" s="18" t="n">
        <f aca="false">3_Pricing!$F$8*Inputs!$C$47*Inputs!$C$123*(1+Inputs!$C$48)^(AC7-1)</f>
        <v>31.696875</v>
      </c>
      <c r="AD50" s="18" t="n">
        <f aca="false">3_Pricing!$F$8*Inputs!$C$47*Inputs!$C$123*(1+Inputs!$C$48)^(AD7-1)</f>
        <v>31.696875</v>
      </c>
      <c r="AE50" s="18" t="n">
        <f aca="false">3_Pricing!$F$8*Inputs!$C$47*Inputs!$C$123*(1+Inputs!$C$48)^(AE7-1)</f>
        <v>31.696875</v>
      </c>
      <c r="AF50" s="18" t="n">
        <f aca="false">3_Pricing!$F$8*Inputs!$C$47*Inputs!$C$123*(1+Inputs!$C$48)^(AF7-1)</f>
        <v>31.696875</v>
      </c>
      <c r="AG50" s="18" t="n">
        <f aca="false">3_Pricing!$F$8*Inputs!$C$47*Inputs!$C$123*(1+Inputs!$C$48)^(AG7-1)</f>
        <v>31.696875</v>
      </c>
      <c r="AH50" s="18" t="n">
        <f aca="false">3_Pricing!$F$8*Inputs!$C$47*Inputs!$C$123*(1+Inputs!$C$48)^(AH7-1)</f>
        <v>31.696875</v>
      </c>
      <c r="AI50" s="18" t="n">
        <f aca="false">3_Pricing!$F$8*Inputs!$C$47*Inputs!$C$123*(1+Inputs!$C$48)^(AI7-1)</f>
        <v>31.696875</v>
      </c>
      <c r="AJ50" s="18" t="n">
        <f aca="false">3_Pricing!$F$8*Inputs!$C$47*Inputs!$C$123*(1+Inputs!$C$48)^(AJ7-1)</f>
        <v>31.696875</v>
      </c>
      <c r="AK50" s="18" t="n">
        <f aca="false">3_Pricing!$F$8*Inputs!$C$47*Inputs!$C$123*(1+Inputs!$C$48)^(AK7-1)</f>
        <v>31.696875</v>
      </c>
      <c r="AL50" s="18" t="n">
        <f aca="false">3_Pricing!$F$8*Inputs!$C$47*Inputs!$C$123*(1+Inputs!$C$48)^(AL7-1)</f>
        <v>31.696875</v>
      </c>
      <c r="AM50" s="18" t="n">
        <f aca="false">3_Pricing!$F$8*Inputs!$C$47*Inputs!$C$123*(1+Inputs!$C$48)^(AM7-1)</f>
        <v>31.696875</v>
      </c>
      <c r="AN50" s="18" t="n">
        <f aca="false">3_Pricing!$F$8*Inputs!$C$47*Inputs!$C$123*(1+Inputs!$C$48)^(AN7-1)</f>
        <v>33.28171875</v>
      </c>
      <c r="AO50" s="18" t="n">
        <f aca="false">3_Pricing!$F$8*Inputs!$C$47*Inputs!$C$123*(1+Inputs!$C$48)^(AO7-1)</f>
        <v>33.28171875</v>
      </c>
      <c r="AP50" s="18" t="n">
        <f aca="false">3_Pricing!$F$8*Inputs!$C$47*Inputs!$C$123*(1+Inputs!$C$48)^(AP7-1)</f>
        <v>33.28171875</v>
      </c>
      <c r="AQ50" s="18" t="n">
        <f aca="false">3_Pricing!$F$8*Inputs!$C$47*Inputs!$C$123*(1+Inputs!$C$48)^(AQ7-1)</f>
        <v>33.28171875</v>
      </c>
      <c r="AR50" s="18" t="n">
        <f aca="false">3_Pricing!$F$8*Inputs!$C$47*Inputs!$C$123*(1+Inputs!$C$48)^(AR7-1)</f>
        <v>33.28171875</v>
      </c>
      <c r="AS50" s="18" t="n">
        <f aca="false">3_Pricing!$F$8*Inputs!$C$47*Inputs!$C$123*(1+Inputs!$C$48)^(AS7-1)</f>
        <v>33.28171875</v>
      </c>
      <c r="AT50" s="18" t="n">
        <f aca="false">3_Pricing!$F$8*Inputs!$C$47*Inputs!$C$123*(1+Inputs!$C$48)^(AT7-1)</f>
        <v>33.28171875</v>
      </c>
      <c r="AU50" s="18" t="n">
        <f aca="false">3_Pricing!$F$8*Inputs!$C$47*Inputs!$C$123*(1+Inputs!$C$48)^(AU7-1)</f>
        <v>33.28171875</v>
      </c>
      <c r="AV50" s="18" t="n">
        <f aca="false">3_Pricing!$F$8*Inputs!$C$47*Inputs!$C$123*(1+Inputs!$C$48)^(AV7-1)</f>
        <v>33.28171875</v>
      </c>
      <c r="AW50" s="18" t="n">
        <f aca="false">3_Pricing!$F$8*Inputs!$C$47*Inputs!$C$123*(1+Inputs!$C$48)^(AW7-1)</f>
        <v>33.28171875</v>
      </c>
      <c r="AX50" s="18" t="n">
        <f aca="false">3_Pricing!$F$8*Inputs!$C$47*Inputs!$C$123*(1+Inputs!$C$48)^(AX7-1)</f>
        <v>33.28171875</v>
      </c>
      <c r="AY50" s="18" t="n">
        <f aca="false">3_Pricing!$F$8*Inputs!$C$47*Inputs!$C$123*(1+Inputs!$C$48)^(AY7-1)</f>
        <v>33.28171875</v>
      </c>
      <c r="AZ50" s="18" t="n">
        <f aca="false">3_Pricing!$F$8*Inputs!$C$47*Inputs!$C$123*(1+Inputs!$C$48)^(AZ7-1)</f>
        <v>34.9458046875</v>
      </c>
      <c r="BA50" s="18" t="n">
        <f aca="false">3_Pricing!$F$8*Inputs!$C$47*Inputs!$C$123*(1+Inputs!$C$48)^(BA7-1)</f>
        <v>34.9458046875</v>
      </c>
      <c r="BB50" s="18" t="n">
        <f aca="false">3_Pricing!$F$8*Inputs!$C$47*Inputs!$C$123*(1+Inputs!$C$48)^(BB7-1)</f>
        <v>34.9458046875</v>
      </c>
      <c r="BC50" s="18" t="n">
        <f aca="false">3_Pricing!$F$8*Inputs!$C$47*Inputs!$C$123*(1+Inputs!$C$48)^(BC7-1)</f>
        <v>34.9458046875</v>
      </c>
      <c r="BD50" s="18" t="n">
        <f aca="false">3_Pricing!$F$8*Inputs!$C$47*Inputs!$C$123*(1+Inputs!$C$48)^(BD7-1)</f>
        <v>34.9458046875</v>
      </c>
      <c r="BE50" s="18" t="n">
        <f aca="false">3_Pricing!$F$8*Inputs!$C$47*Inputs!$C$123*(1+Inputs!$C$48)^(BE7-1)</f>
        <v>34.9458046875</v>
      </c>
      <c r="BF50" s="18" t="n">
        <f aca="false">3_Pricing!$F$8*Inputs!$C$47*Inputs!$C$123*(1+Inputs!$C$48)^(BF7-1)</f>
        <v>34.9458046875</v>
      </c>
      <c r="BG50" s="18" t="n">
        <f aca="false">3_Pricing!$F$8*Inputs!$C$47*Inputs!$C$123*(1+Inputs!$C$48)^(BG7-1)</f>
        <v>34.9458046875</v>
      </c>
      <c r="BH50" s="18" t="n">
        <f aca="false">3_Pricing!$F$8*Inputs!$C$47*Inputs!$C$123*(1+Inputs!$C$48)^(BH7-1)</f>
        <v>34.9458046875</v>
      </c>
      <c r="BI50" s="18" t="n">
        <f aca="false">3_Pricing!$F$8*Inputs!$C$47*Inputs!$C$123*(1+Inputs!$C$48)^(BI7-1)</f>
        <v>34.9458046875</v>
      </c>
      <c r="BJ50" s="18" t="n">
        <f aca="false">3_Pricing!$F$8*Inputs!$C$47*Inputs!$C$123*(1+Inputs!$C$48)^(BJ7-1)</f>
        <v>34.9458046875</v>
      </c>
      <c r="BK50" s="18" t="n">
        <f aca="false">3_Pricing!$F$8*Inputs!$C$47*Inputs!$C$123*(1+Inputs!$C$48)^(BK7-1)</f>
        <v>34.9458046875</v>
      </c>
    </row>
    <row r="51" customFormat="false" ht="15" hidden="false" customHeight="true" outlineLevel="0" collapsed="false">
      <c r="A51" s="12" t="s">
        <v>1931</v>
      </c>
      <c r="B51" s="4" t="s">
        <v>46</v>
      </c>
      <c r="D51" s="17" t="n">
        <f aca="false">(1+Inputs!$C$49+Inputs!$C$48)^(1/12)-1</f>
        <v>0.0117149169198534</v>
      </c>
      <c r="E51" s="17" t="n">
        <f aca="false">(1+Inputs!$C$49+Inputs!$C$48)^(1/12)-1</f>
        <v>0.0117149169198534</v>
      </c>
      <c r="F51" s="17" t="n">
        <f aca="false">(1+Inputs!$C$49+Inputs!$C$48)^(1/12)-1</f>
        <v>0.0117149169198534</v>
      </c>
      <c r="G51" s="17" t="n">
        <f aca="false">(1+Inputs!$C$49+Inputs!$C$48)^(1/12)-1</f>
        <v>0.0117149169198534</v>
      </c>
      <c r="H51" s="17" t="n">
        <f aca="false">(1+Inputs!$C$49+Inputs!$C$48)^(1/12)-1</f>
        <v>0.0117149169198534</v>
      </c>
      <c r="I51" s="17" t="n">
        <f aca="false">(1+Inputs!$C$49+Inputs!$C$48)^(1/12)-1</f>
        <v>0.0117149169198534</v>
      </c>
      <c r="J51" s="17" t="n">
        <f aca="false">(1+Inputs!$C$49+Inputs!$C$48)^(1/12)-1</f>
        <v>0.0117149169198534</v>
      </c>
      <c r="K51" s="17" t="n">
        <f aca="false">(1+Inputs!$C$49+Inputs!$C$48)^(1/12)-1</f>
        <v>0.0117149169198534</v>
      </c>
      <c r="L51" s="17" t="n">
        <f aca="false">(1+Inputs!$C$49+Inputs!$C$48)^(1/12)-1</f>
        <v>0.0117149169198534</v>
      </c>
      <c r="M51" s="17" t="n">
        <f aca="false">(1+Inputs!$C$49+Inputs!$C$48)^(1/12)-1</f>
        <v>0.0117149169198534</v>
      </c>
      <c r="N51" s="17" t="n">
        <f aca="false">(1+Inputs!$C$49+Inputs!$C$48)^(1/12)-1</f>
        <v>0.0117149169198534</v>
      </c>
      <c r="O51" s="17" t="n">
        <f aca="false">(1+Inputs!$C$49+Inputs!$C$48)^(1/12)-1</f>
        <v>0.0117149169198534</v>
      </c>
      <c r="P51" s="17" t="n">
        <f aca="false">(1+Inputs!$C$49+Inputs!$C$48)^(1/12)-1</f>
        <v>0.0117149169198534</v>
      </c>
      <c r="Q51" s="17" t="n">
        <f aca="false">(1+Inputs!$C$49+Inputs!$C$48)^(1/12)-1</f>
        <v>0.0117149169198534</v>
      </c>
      <c r="R51" s="17" t="n">
        <f aca="false">(1+Inputs!$C$49+Inputs!$C$48)^(1/12)-1</f>
        <v>0.0117149169198534</v>
      </c>
      <c r="S51" s="17" t="n">
        <f aca="false">(1+Inputs!$C$49+Inputs!$C$48)^(1/12)-1</f>
        <v>0.0117149169198534</v>
      </c>
      <c r="T51" s="17" t="n">
        <f aca="false">(1+Inputs!$C$49+Inputs!$C$48)^(1/12)-1</f>
        <v>0.0117149169198534</v>
      </c>
      <c r="U51" s="17" t="n">
        <f aca="false">(1+Inputs!$C$49+Inputs!$C$48)^(1/12)-1</f>
        <v>0.0117149169198534</v>
      </c>
      <c r="V51" s="17" t="n">
        <f aca="false">(1+Inputs!$C$49+Inputs!$C$48)^(1/12)-1</f>
        <v>0.0117149169198534</v>
      </c>
      <c r="W51" s="17" t="n">
        <f aca="false">(1+Inputs!$C$49+Inputs!$C$48)^(1/12)-1</f>
        <v>0.0117149169198534</v>
      </c>
      <c r="X51" s="17" t="n">
        <f aca="false">(1+Inputs!$C$49+Inputs!$C$48)^(1/12)-1</f>
        <v>0.0117149169198534</v>
      </c>
      <c r="Y51" s="17" t="n">
        <f aca="false">(1+Inputs!$C$49+Inputs!$C$48)^(1/12)-1</f>
        <v>0.0117149169198534</v>
      </c>
      <c r="Z51" s="17" t="n">
        <f aca="false">(1+Inputs!$C$49+Inputs!$C$48)^(1/12)-1</f>
        <v>0.0117149169198534</v>
      </c>
      <c r="AA51" s="17" t="n">
        <f aca="false">(1+Inputs!$C$49+Inputs!$C$48)^(1/12)-1</f>
        <v>0.0117149169198534</v>
      </c>
      <c r="AB51" s="17" t="n">
        <f aca="false">(1+Inputs!$C$49+Inputs!$C$48)^(1/12)-1</f>
        <v>0.0117149169198534</v>
      </c>
      <c r="AC51" s="17" t="n">
        <f aca="false">(1+Inputs!$C$49+Inputs!$C$48)^(1/12)-1</f>
        <v>0.0117149169198534</v>
      </c>
      <c r="AD51" s="17" t="n">
        <f aca="false">(1+Inputs!$C$49+Inputs!$C$48)^(1/12)-1</f>
        <v>0.0117149169198534</v>
      </c>
      <c r="AE51" s="17" t="n">
        <f aca="false">(1+Inputs!$C$49+Inputs!$C$48)^(1/12)-1</f>
        <v>0.0117149169198534</v>
      </c>
      <c r="AF51" s="17" t="n">
        <f aca="false">(1+Inputs!$C$49+Inputs!$C$48)^(1/12)-1</f>
        <v>0.0117149169198534</v>
      </c>
      <c r="AG51" s="17" t="n">
        <f aca="false">(1+Inputs!$C$49+Inputs!$C$48)^(1/12)-1</f>
        <v>0.0117149169198534</v>
      </c>
      <c r="AH51" s="17" t="n">
        <f aca="false">(1+Inputs!$C$49+Inputs!$C$48)^(1/12)-1</f>
        <v>0.0117149169198534</v>
      </c>
      <c r="AI51" s="17" t="n">
        <f aca="false">(1+Inputs!$C$49+Inputs!$C$48)^(1/12)-1</f>
        <v>0.0117149169198534</v>
      </c>
      <c r="AJ51" s="17" t="n">
        <f aca="false">(1+Inputs!$C$49+Inputs!$C$48)^(1/12)-1</f>
        <v>0.0117149169198534</v>
      </c>
      <c r="AK51" s="17" t="n">
        <f aca="false">(1+Inputs!$C$49+Inputs!$C$48)^(1/12)-1</f>
        <v>0.0117149169198534</v>
      </c>
      <c r="AL51" s="17" t="n">
        <f aca="false">(1+Inputs!$C$49+Inputs!$C$48)^(1/12)-1</f>
        <v>0.0117149169198534</v>
      </c>
      <c r="AM51" s="17" t="n">
        <f aca="false">(1+Inputs!$C$49+Inputs!$C$48)^(1/12)-1</f>
        <v>0.0117149169198534</v>
      </c>
      <c r="AN51" s="17" t="n">
        <f aca="false">(1+Inputs!$C$49+Inputs!$C$48)^(1/12)-1</f>
        <v>0.0117149169198534</v>
      </c>
      <c r="AO51" s="17" t="n">
        <f aca="false">(1+Inputs!$C$49+Inputs!$C$48)^(1/12)-1</f>
        <v>0.0117149169198534</v>
      </c>
      <c r="AP51" s="17" t="n">
        <f aca="false">(1+Inputs!$C$49+Inputs!$C$48)^(1/12)-1</f>
        <v>0.0117149169198534</v>
      </c>
      <c r="AQ51" s="17" t="n">
        <f aca="false">(1+Inputs!$C$49+Inputs!$C$48)^(1/12)-1</f>
        <v>0.0117149169198534</v>
      </c>
      <c r="AR51" s="17" t="n">
        <f aca="false">(1+Inputs!$C$49+Inputs!$C$48)^(1/12)-1</f>
        <v>0.0117149169198534</v>
      </c>
      <c r="AS51" s="17" t="n">
        <f aca="false">(1+Inputs!$C$49+Inputs!$C$48)^(1/12)-1</f>
        <v>0.0117149169198534</v>
      </c>
      <c r="AT51" s="17" t="n">
        <f aca="false">(1+Inputs!$C$49+Inputs!$C$48)^(1/12)-1</f>
        <v>0.0117149169198534</v>
      </c>
      <c r="AU51" s="17" t="n">
        <f aca="false">(1+Inputs!$C$49+Inputs!$C$48)^(1/12)-1</f>
        <v>0.0117149169198534</v>
      </c>
      <c r="AV51" s="17" t="n">
        <f aca="false">(1+Inputs!$C$49+Inputs!$C$48)^(1/12)-1</f>
        <v>0.0117149169198534</v>
      </c>
      <c r="AW51" s="17" t="n">
        <f aca="false">(1+Inputs!$C$49+Inputs!$C$48)^(1/12)-1</f>
        <v>0.0117149169198534</v>
      </c>
      <c r="AX51" s="17" t="n">
        <f aca="false">(1+Inputs!$C$49+Inputs!$C$48)^(1/12)-1</f>
        <v>0.0117149169198534</v>
      </c>
      <c r="AY51" s="17" t="n">
        <f aca="false">(1+Inputs!$C$49+Inputs!$C$48)^(1/12)-1</f>
        <v>0.0117149169198534</v>
      </c>
      <c r="AZ51" s="17" t="n">
        <f aca="false">(1+Inputs!$C$49+Inputs!$C$48)^(1/12)-1</f>
        <v>0.0117149169198534</v>
      </c>
      <c r="BA51" s="17" t="n">
        <f aca="false">(1+Inputs!$C$49+Inputs!$C$48)^(1/12)-1</f>
        <v>0.0117149169198534</v>
      </c>
      <c r="BB51" s="17" t="n">
        <f aca="false">(1+Inputs!$C$49+Inputs!$C$48)^(1/12)-1</f>
        <v>0.0117149169198534</v>
      </c>
      <c r="BC51" s="17" t="n">
        <f aca="false">(1+Inputs!$C$49+Inputs!$C$48)^(1/12)-1</f>
        <v>0.0117149169198534</v>
      </c>
      <c r="BD51" s="17" t="n">
        <f aca="false">(1+Inputs!$C$49+Inputs!$C$48)^(1/12)-1</f>
        <v>0.0117149169198534</v>
      </c>
      <c r="BE51" s="17" t="n">
        <f aca="false">(1+Inputs!$C$49+Inputs!$C$48)^(1/12)-1</f>
        <v>0.0117149169198534</v>
      </c>
      <c r="BF51" s="17" t="n">
        <f aca="false">(1+Inputs!$C$49+Inputs!$C$48)^(1/12)-1</f>
        <v>0.0117149169198534</v>
      </c>
      <c r="BG51" s="17" t="n">
        <f aca="false">(1+Inputs!$C$49+Inputs!$C$48)^(1/12)-1</f>
        <v>0.0117149169198534</v>
      </c>
      <c r="BH51" s="17" t="n">
        <f aca="false">(1+Inputs!$C$49+Inputs!$C$48)^(1/12)-1</f>
        <v>0.0117149169198534</v>
      </c>
      <c r="BI51" s="17" t="n">
        <f aca="false">(1+Inputs!$C$49+Inputs!$C$48)^(1/12)-1</f>
        <v>0.0117149169198534</v>
      </c>
      <c r="BJ51" s="17" t="n">
        <f aca="false">(1+Inputs!$C$49+Inputs!$C$48)^(1/12)-1</f>
        <v>0.0117149169198534</v>
      </c>
      <c r="BK51" s="17" t="n">
        <f aca="false">(1+Inputs!$C$49+Inputs!$C$48)^(1/12)-1</f>
        <v>0.0117149169198534</v>
      </c>
    </row>
    <row r="52" customFormat="false" ht="15" hidden="false" customHeight="true" outlineLevel="0" collapsed="false">
      <c r="A52" s="12" t="s">
        <v>1932</v>
      </c>
      <c r="B52" s="4" t="s">
        <v>44</v>
      </c>
      <c r="D52" s="16" t="n">
        <f aca="false">0</f>
        <v>0</v>
      </c>
      <c r="E52" s="16" t="n">
        <f aca="false">D56</f>
        <v>0</v>
      </c>
      <c r="F52" s="16" t="n">
        <f aca="false">E56</f>
        <v>0</v>
      </c>
      <c r="G52" s="16" t="n">
        <f aca="false">F56</f>
        <v>0</v>
      </c>
      <c r="H52" s="16" t="n">
        <f aca="false">G56</f>
        <v>0</v>
      </c>
      <c r="I52" s="16" t="n">
        <f aca="false">H56</f>
        <v>0</v>
      </c>
      <c r="J52" s="16" t="n">
        <f aca="false">I56</f>
        <v>0</v>
      </c>
      <c r="K52" s="16" t="n">
        <f aca="false">J56</f>
        <v>0</v>
      </c>
      <c r="L52" s="16" t="n">
        <f aca="false">K56</f>
        <v>0</v>
      </c>
      <c r="M52" s="16" t="n">
        <f aca="false">L56</f>
        <v>7.115625</v>
      </c>
      <c r="N52" s="16" t="n">
        <f aca="false">M56</f>
        <v>14.2582522832638</v>
      </c>
      <c r="O52" s="16" t="n">
        <f aca="false">N56</f>
        <v>21.4279843177124</v>
      </c>
      <c r="P52" s="16" t="n">
        <f aca="false">O56</f>
        <v>30.9967989601111</v>
      </c>
      <c r="Q52" s="16" t="n">
        <f aca="false">P56</f>
        <v>43.5667689686324</v>
      </c>
      <c r="R52" s="16" t="n">
        <f aca="false">Q56</f>
        <v>58.6749080894954</v>
      </c>
      <c r="S52" s="16" t="n">
        <f aca="false">R56</f>
        <v>76.3308481345706</v>
      </c>
      <c r="T52" s="16" t="n">
        <f aca="false">S56</f>
        <v>96.5442574664062</v>
      </c>
      <c r="U52" s="16" t="n">
        <f aca="false">T56</f>
        <v>119.324841136929</v>
      </c>
      <c r="V52" s="16" t="n">
        <f aca="false">U56</f>
        <v>142.191872276675</v>
      </c>
      <c r="W52" s="16" t="n">
        <f aca="false">V56</f>
        <v>165.145678935399</v>
      </c>
      <c r="X52" s="16" t="n">
        <f aca="false">W56</f>
        <v>188.186590407739</v>
      </c>
      <c r="Y52" s="16" t="n">
        <f aca="false">X56</f>
        <v>267.687022815433</v>
      </c>
      <c r="Z52" s="16" t="n">
        <f aca="false">Y56</f>
        <v>354.960548703056</v>
      </c>
      <c r="AA52" s="16" t="n">
        <f aca="false">Z56</f>
        <v>450.036665306899</v>
      </c>
      <c r="AB52" s="16" t="n">
        <f aca="false">AA56</f>
        <v>552.944981798989</v>
      </c>
      <c r="AC52" s="16" t="n">
        <f aca="false">AB56</f>
        <v>669.14881617824</v>
      </c>
      <c r="AD52" s="16" t="n">
        <f aca="false">AC56</f>
        <v>793.63859595298</v>
      </c>
      <c r="AE52" s="16" t="n">
        <f aca="false">AD56</f>
        <v>918.600787960928</v>
      </c>
      <c r="AF52" s="16" t="n">
        <f aca="false">AE56</f>
        <v>1044.03718490602</v>
      </c>
      <c r="AG52" s="16" t="n">
        <f aca="false">AF56</f>
        <v>1169.94958629512</v>
      </c>
      <c r="AH52" s="16" t="n">
        <f aca="false">AG56</f>
        <v>1296.33979846384</v>
      </c>
      <c r="AI52" s="16" t="n">
        <f aca="false">AH56</f>
        <v>1423.20963460245</v>
      </c>
      <c r="AJ52" s="16" t="n">
        <f aca="false">AI56</f>
        <v>1550.56091478188</v>
      </c>
      <c r="AK52" s="16" t="n">
        <f aca="false">AJ56</f>
        <v>1792.85435741138</v>
      </c>
      <c r="AL52" s="16" t="n">
        <f aca="false">AK56</f>
        <v>2051.75720524083</v>
      </c>
      <c r="AM52" s="16" t="n">
        <f aca="false">AL56</f>
        <v>2327.33248742987</v>
      </c>
      <c r="AN52" s="16" t="n">
        <f aca="false">AM56</f>
        <v>2619.64347232039</v>
      </c>
      <c r="AO52" s="16" t="n">
        <f aca="false">AN56</f>
        <v>2943.71212865857</v>
      </c>
      <c r="AP52" s="16" t="n">
        <f aca="false">AO56</f>
        <v>3285.48500739405</v>
      </c>
      <c r="AQ52" s="16" t="n">
        <f aca="false">AP56</f>
        <v>3628.55484150357</v>
      </c>
      <c r="AR52" s="16" t="n">
        <f aca="false">AQ56</f>
        <v>3972.92655265691</v>
      </c>
      <c r="AS52" s="16" t="n">
        <f aca="false">AR56</f>
        <v>4318.60508120051</v>
      </c>
      <c r="AT52" s="16" t="n">
        <f aca="false">AS56</f>
        <v>4665.59538622838</v>
      </c>
      <c r="AU52" s="16" t="n">
        <f aca="false">AT56</f>
        <v>5013.90244565326</v>
      </c>
      <c r="AV52" s="16" t="n">
        <f aca="false">AU56</f>
        <v>5363.53125627797</v>
      </c>
      <c r="AW52" s="16" t="n">
        <f aca="false">AV56</f>
        <v>5844.27876615931</v>
      </c>
      <c r="AX52" s="16" t="n">
        <f aca="false">AW56</f>
        <v>6348.81654495269</v>
      </c>
      <c r="AY52" s="16" t="n">
        <f aca="false">AX56</f>
        <v>6877.23487166805</v>
      </c>
      <c r="AZ52" s="16" t="n">
        <f aca="false">AY56</f>
        <v>7429.62436790497</v>
      </c>
      <c r="BA52" s="16" t="n">
        <f aca="false">AZ56</f>
        <v>8033.48888851151</v>
      </c>
      <c r="BB52" s="16" t="n">
        <f aca="false">BA56</f>
        <v>8662.70917761551</v>
      </c>
      <c r="BC52" s="16" t="n">
        <f aca="false">BB56</f>
        <v>9294.31722387109</v>
      </c>
      <c r="BD52" s="16" t="n">
        <f aca="false">BC56</f>
        <v>9928.32208830873</v>
      </c>
      <c r="BE52" s="16" t="n">
        <f aca="false">BD56</f>
        <v>10564.7328663436</v>
      </c>
      <c r="BF52" s="16" t="n">
        <f aca="false">BE56</f>
        <v>11203.5586879059</v>
      </c>
      <c r="BG52" s="16" t="n">
        <f aca="false">BF56</f>
        <v>11844.8087175723</v>
      </c>
      <c r="BH52" s="16" t="n">
        <f aca="false">BG56</f>
        <v>12488.4921546968</v>
      </c>
      <c r="BI52" s="16" t="n">
        <f aca="false">BH56</f>
        <v>13268.016733563</v>
      </c>
      <c r="BJ52" s="16" t="n">
        <f aca="false">BI56</f>
        <v>14070.6806445953</v>
      </c>
      <c r="BK52" s="16" t="n">
        <f aca="false">BJ56</f>
        <v>14896.5716966371</v>
      </c>
    </row>
    <row r="53" customFormat="false" ht="15" hidden="false" customHeight="true" outlineLevel="0" collapsed="false">
      <c r="A53" s="12" t="s">
        <v>1933</v>
      </c>
      <c r="B53" s="4" t="s">
        <v>44</v>
      </c>
      <c r="D53" s="16" t="n">
        <f aca="false">D52*D46</f>
        <v>0</v>
      </c>
      <c r="E53" s="16" t="n">
        <f aca="false">E52*E46</f>
        <v>0</v>
      </c>
      <c r="F53" s="16" t="n">
        <f aca="false">F52*F46</f>
        <v>0</v>
      </c>
      <c r="G53" s="16" t="n">
        <f aca="false">G52*G46</f>
        <v>0</v>
      </c>
      <c r="H53" s="16" t="n">
        <f aca="false">H52*H46</f>
        <v>0</v>
      </c>
      <c r="I53" s="16" t="n">
        <f aca="false">I52*I46</f>
        <v>0</v>
      </c>
      <c r="J53" s="16" t="n">
        <f aca="false">J52*J46</f>
        <v>0</v>
      </c>
      <c r="K53" s="16" t="n">
        <f aca="false">K52*K46</f>
        <v>0</v>
      </c>
      <c r="L53" s="16" t="n">
        <f aca="false">L52*L46</f>
        <v>0</v>
      </c>
      <c r="M53" s="16" t="n">
        <f aca="false">M52*M46</f>
        <v>0.0557041034994821</v>
      </c>
      <c r="N53" s="16" t="n">
        <f aca="false">N52*N46</f>
        <v>0.11161959222256</v>
      </c>
      <c r="O53" s="16" t="n">
        <f aca="false">O52*O46</f>
        <v>0.167747268331191</v>
      </c>
      <c r="P53" s="16" t="n">
        <f aca="false">P52*P46</f>
        <v>0.242655971531196</v>
      </c>
      <c r="Q53" s="16" t="n">
        <f aca="false">Q52*Q46</f>
        <v>0.341058980450308</v>
      </c>
      <c r="R53" s="16" t="n">
        <f aca="false">R52*R46</f>
        <v>0.459331844081138</v>
      </c>
      <c r="S53" s="16" t="n">
        <f aca="false">S52*S46</f>
        <v>0.597549964295669</v>
      </c>
      <c r="T53" s="16" t="n">
        <f aca="false">T52*T46</f>
        <v>0.755789029099951</v>
      </c>
      <c r="U53" s="16" t="n">
        <f aca="false">U52*U46</f>
        <v>0.934125013719915</v>
      </c>
      <c r="V53" s="16" t="n">
        <f aca="false">V52*V46</f>
        <v>1.1131377454665</v>
      </c>
      <c r="W53" s="16" t="n">
        <f aca="false">W52*W46</f>
        <v>1.29282979245108</v>
      </c>
      <c r="X53" s="16" t="n">
        <f aca="false">X52*X46</f>
        <v>1.4732037325305</v>
      </c>
      <c r="Y53" s="16" t="n">
        <f aca="false">Y52*Y46</f>
        <v>2.09556653482711</v>
      </c>
      <c r="Z53" s="16" t="n">
        <f aca="false">Z52*Z46</f>
        <v>2.77878038024601</v>
      </c>
      <c r="AA53" s="16" t="n">
        <f aca="false">AA52*AA46</f>
        <v>3.52307618555184</v>
      </c>
      <c r="AB53" s="16" t="n">
        <f aca="false">AB52*AB46</f>
        <v>4.32868574378922</v>
      </c>
      <c r="AC53" s="16" t="n">
        <f aca="false">AC52*AC46</f>
        <v>5.23837820471829</v>
      </c>
      <c r="AD53" s="16" t="n">
        <f aca="false">AD52*AD46</f>
        <v>6.21293652913812</v>
      </c>
      <c r="AE53" s="16" t="n">
        <f aca="false">AE52*AE46</f>
        <v>7.19119309509443</v>
      </c>
      <c r="AF53" s="16" t="n">
        <f aca="false">AF52*AF46</f>
        <v>8.17316193662718</v>
      </c>
      <c r="AG53" s="16" t="n">
        <f aca="false">AG52*AG46</f>
        <v>9.15885714103252</v>
      </c>
      <c r="AH53" s="16" t="n">
        <f aca="false">AH52*AH46</f>
        <v>10.1482928490649</v>
      </c>
      <c r="AI53" s="16" t="n">
        <f aca="false">AI52*AI46</f>
        <v>11.1414832551399</v>
      </c>
      <c r="AJ53" s="16" t="n">
        <f aca="false">AJ52*AJ46</f>
        <v>12.1384426075379</v>
      </c>
      <c r="AK53" s="16" t="n">
        <f aca="false">AK52*AK46</f>
        <v>14.0352175226689</v>
      </c>
      <c r="AL53" s="16" t="n">
        <f aca="false">AL52*AL46</f>
        <v>16.0620178433438</v>
      </c>
      <c r="AM53" s="16" t="n">
        <f aca="false">AM52*AM46</f>
        <v>18.219336988318</v>
      </c>
      <c r="AN53" s="16" t="n">
        <f aca="false">AN52*AN46</f>
        <v>20.5076702487663</v>
      </c>
      <c r="AO53" s="16" t="n">
        <f aca="false">AO52*AO46</f>
        <v>23.0446159104053</v>
      </c>
      <c r="AP53" s="16" t="n">
        <f aca="false">AP52*AP46</f>
        <v>25.7201576668072</v>
      </c>
      <c r="AQ53" s="16" t="n">
        <f aca="false">AQ52*AQ46</f>
        <v>28.4058525350425</v>
      </c>
      <c r="AR53" s="16" t="n">
        <f aca="false">AR52*AR46</f>
        <v>31.101739044011</v>
      </c>
      <c r="AS53" s="16" t="n">
        <f aca="false">AS52*AS46</f>
        <v>33.8078558688214</v>
      </c>
      <c r="AT53" s="16" t="n">
        <f aca="false">AT52*AT46</f>
        <v>36.5242418313461</v>
      </c>
      <c r="AU53" s="16" t="n">
        <f aca="false">AU52*AU46</f>
        <v>39.2509359007783</v>
      </c>
      <c r="AV53" s="16" t="n">
        <f aca="false">AV52*AV46</f>
        <v>41.987977194191</v>
      </c>
      <c r="AW53" s="16" t="n">
        <f aca="false">AW52*AW46</f>
        <v>45.7514707801442</v>
      </c>
      <c r="AX53" s="16" t="n">
        <f aca="false">AX52*AX46</f>
        <v>49.7012045912016</v>
      </c>
      <c r="AY53" s="16" t="n">
        <f aca="false">AY52*AY46</f>
        <v>53.8378853694011</v>
      </c>
      <c r="AZ53" s="16" t="n">
        <f aca="false">AZ52*AZ46</f>
        <v>58.1622225387163</v>
      </c>
      <c r="BA53" s="16" t="n">
        <f aca="false">BA52*BA46</f>
        <v>62.8895278359363</v>
      </c>
      <c r="BB53" s="16" t="n">
        <f aca="false">BB52*BB46</f>
        <v>67.8153287470613</v>
      </c>
      <c r="BC53" s="16" t="n">
        <f aca="false">BC52*BC46</f>
        <v>72.7598220248445</v>
      </c>
      <c r="BD53" s="16" t="n">
        <f aca="false">BD52*BD46</f>
        <v>77.7230786028414</v>
      </c>
      <c r="BE53" s="16" t="n">
        <f aca="false">BE52*BE46</f>
        <v>82.705169683785</v>
      </c>
      <c r="BF53" s="16" t="n">
        <f aca="false">BF52*BF46</f>
        <v>87.7061667406074</v>
      </c>
      <c r="BG53" s="16" t="n">
        <f aca="false">BG52*BG46</f>
        <v>92.7261415174657</v>
      </c>
      <c r="BH53" s="16" t="n">
        <f aca="false">BH52*BH46</f>
        <v>97.7651660307703</v>
      </c>
      <c r="BI53" s="16" t="n">
        <f aca="false">BI52*BI46</f>
        <v>103.867612101433</v>
      </c>
      <c r="BJ53" s="16" t="n">
        <f aca="false">BJ52*BJ46</f>
        <v>110.151202590735</v>
      </c>
      <c r="BK53" s="16" t="n">
        <f aca="false">BK52*BK46</f>
        <v>116.616624903214</v>
      </c>
    </row>
    <row r="54" customFormat="false" ht="15" hidden="false" customHeight="true" outlineLevel="0" collapsed="false">
      <c r="A54" s="12" t="s">
        <v>1934</v>
      </c>
      <c r="B54" s="4" t="s">
        <v>44</v>
      </c>
      <c r="D54" s="16" t="n">
        <f aca="false">(D52-D53)*D51</f>
        <v>0</v>
      </c>
      <c r="E54" s="16" t="n">
        <f aca="false">(E52-E53)*E51</f>
        <v>0</v>
      </c>
      <c r="F54" s="16" t="n">
        <f aca="false">(F52-F53)*F51</f>
        <v>0</v>
      </c>
      <c r="G54" s="16" t="n">
        <f aca="false">(G52-G53)*G51</f>
        <v>0</v>
      </c>
      <c r="H54" s="16" t="n">
        <f aca="false">(H52-H53)*H51</f>
        <v>0</v>
      </c>
      <c r="I54" s="16" t="n">
        <f aca="false">(I52-I53)*I51</f>
        <v>0</v>
      </c>
      <c r="J54" s="16" t="n">
        <f aca="false">(J52-J53)*J51</f>
        <v>0</v>
      </c>
      <c r="K54" s="16" t="n">
        <f aca="false">(K52-K53)*K51</f>
        <v>0</v>
      </c>
      <c r="L54" s="16" t="n">
        <f aca="false">(L52-L53)*L51</f>
        <v>0</v>
      </c>
      <c r="M54" s="16" t="n">
        <f aca="false">(M52-M53)*M51</f>
        <v>0.0827063867632404</v>
      </c>
      <c r="N54" s="16" t="n">
        <f aca="false">(N52-N53)*N51</f>
        <v>0.165726626671229</v>
      </c>
      <c r="O54" s="16" t="n">
        <f aca="false">(O52-O53)*O51</f>
        <v>0.24906191072989</v>
      </c>
      <c r="P54" s="16" t="n">
        <f aca="false">(P52-P53)*P51</f>
        <v>0.360282230052505</v>
      </c>
      <c r="Q54" s="16" t="n">
        <f aca="false">(Q52-Q53)*Q51</f>
        <v>0.50638560131323</v>
      </c>
      <c r="R54" s="16" t="n">
        <f aca="false">(R52-R53)*R51</f>
        <v>0.681990639156418</v>
      </c>
      <c r="S54" s="16" t="n">
        <f aca="false">(S52-S53)*S51</f>
        <v>0.887209296131255</v>
      </c>
      <c r="T54" s="16" t="n">
        <f aca="false">(T52-T53)*T51</f>
        <v>1.12215394962304</v>
      </c>
      <c r="U54" s="16" t="n">
        <f aca="false">(U52-U53)*U51</f>
        <v>1.38693740346534</v>
      </c>
      <c r="V54" s="16" t="n">
        <f aca="false">(V52-V53)*V51</f>
        <v>1.65272565419115</v>
      </c>
      <c r="W54" s="16" t="n">
        <f aca="false">(W52-W53)*W51</f>
        <v>1.91952251479091</v>
      </c>
      <c r="X54" s="16" t="n">
        <f aca="false">(X52-X53)*X51</f>
        <v>2.18733181272453</v>
      </c>
      <c r="Y54" s="16" t="n">
        <f aca="false">(Y52-Y53)*Y51</f>
        <v>3.11138184495017</v>
      </c>
      <c r="Z54" s="16" t="n">
        <f aca="false">(Z52-Z53)*Z51</f>
        <v>4.12578015658877</v>
      </c>
      <c r="AA54" s="16" t="n">
        <f aca="false">(AA52-AA53)*AA51</f>
        <v>5.23086960014213</v>
      </c>
      <c r="AB54" s="16" t="n">
        <f aca="false">(AB52-AB53)*AB51</f>
        <v>6.42699432916436</v>
      </c>
      <c r="AC54" s="16" t="n">
        <f aca="false">(AC52-AC53)*AC51</f>
        <v>7.77765562308327</v>
      </c>
      <c r="AD54" s="16" t="n">
        <f aca="false">(AD52-AD53)*AD51</f>
        <v>9.22462618071107</v>
      </c>
      <c r="AE54" s="16" t="n">
        <f aca="false">(AE52-AE53)*AE51</f>
        <v>10.6770876838105</v>
      </c>
      <c r="AF54" s="16" t="n">
        <f aca="false">(AF52-AF53)*AF51</f>
        <v>12.1350609693515</v>
      </c>
      <c r="AG54" s="16" t="n">
        <f aca="false">(AG52-AG53)*AG51</f>
        <v>13.5985669533761</v>
      </c>
      <c r="AH54" s="16" t="n">
        <f aca="false">(AH52-AH53)*AH51</f>
        <v>15.0676266312982</v>
      </c>
      <c r="AI54" s="16" t="n">
        <f aca="false">(AI52-AI53)*AI51</f>
        <v>16.5422610782046</v>
      </c>
      <c r="AJ54" s="16" t="n">
        <f aca="false">(AJ52-AJ53)*AJ51</f>
        <v>18.0224914491579</v>
      </c>
      <c r="AK54" s="16" t="n">
        <f aca="false">(AK52-AK53)*AK51</f>
        <v>20.8387184392413</v>
      </c>
      <c r="AL54" s="16" t="n">
        <f aca="false">(AL52-AL53)*AL51</f>
        <v>23.8479999945069</v>
      </c>
      <c r="AM54" s="16" t="n">
        <f aca="false">(AM52-AM53)*AM51</f>
        <v>27.0510687159636</v>
      </c>
      <c r="AN54" s="16" t="n">
        <f aca="false">(AN52-AN53)*AN51</f>
        <v>30.4486599846855</v>
      </c>
      <c r="AO54" s="16" t="n">
        <f aca="false">(AO52-AO53)*AO51</f>
        <v>34.2153772623596</v>
      </c>
      <c r="AP54" s="16" t="n">
        <f aca="false">(AP52-AP53)*AP51</f>
        <v>38.1878743928129</v>
      </c>
      <c r="AQ54" s="16" t="n">
        <f aca="false">(AQ52-AQ53)*AQ51</f>
        <v>42.1754463048605</v>
      </c>
      <c r="AR54" s="16" t="n">
        <f aca="false">(AR52-AR53)*AR51</f>
        <v>46.1781502040916</v>
      </c>
      <c r="AS54" s="16" t="n">
        <f aca="false">(AS52-AS53)*AS51</f>
        <v>50.196043513179</v>
      </c>
      <c r="AT54" s="16" t="n">
        <f aca="false">(AT52-AT53)*AT51</f>
        <v>54.2291838727019</v>
      </c>
      <c r="AU54" s="16" t="n">
        <f aca="false">(AU52-AU53)*AU51</f>
        <v>58.2776291419735</v>
      </c>
      <c r="AV54" s="16" t="n">
        <f aca="false">(AV52-AV53)*AV51</f>
        <v>62.3414373998706</v>
      </c>
      <c r="AW54" s="16" t="n">
        <f aca="false">(AW52-AW53)*AW51</f>
        <v>67.929265522869</v>
      </c>
      <c r="AX54" s="16" t="n">
        <f aca="false">(AX52-AX53)*AX51</f>
        <v>73.7936128809088</v>
      </c>
      <c r="AY54" s="16" t="n">
        <f aca="false">(AY52-AY53)*AY51</f>
        <v>79.9355288056666</v>
      </c>
      <c r="AZ54" s="16" t="n">
        <f aca="false">(AZ52-AZ53)*AZ51</f>
        <v>86.3560666108099</v>
      </c>
      <c r="BA54" s="16" t="n">
        <f aca="false">(BA52-BA53)*BA51</f>
        <v>93.3749093117508</v>
      </c>
      <c r="BB54" s="16" t="n">
        <f aca="false">(BB52-BB53)*BB51</f>
        <v>100.688467374453</v>
      </c>
      <c r="BC54" s="16" t="n">
        <f aca="false">(BC52-BC53)*BC51</f>
        <v>108.029778834288</v>
      </c>
      <c r="BD54" s="16" t="n">
        <f aca="false">(BD52-BD53)*BD51</f>
        <v>115.398949009494</v>
      </c>
      <c r="BE54" s="16" t="n">
        <f aca="false">(BE52-BE53)*BE51</f>
        <v>122.796083617971</v>
      </c>
      <c r="BF54" s="16" t="n">
        <f aca="false">(BF52-BF53)*BF51</f>
        <v>130.221288778795</v>
      </c>
      <c r="BG54" s="16" t="n">
        <f aca="false">(BG52-BG53)*BG51</f>
        <v>137.674671013739</v>
      </c>
      <c r="BH54" s="16" t="n">
        <f aca="false">(BH52-BH53)*BH51</f>
        <v>145.156337248807</v>
      </c>
      <c r="BI54" s="16" t="n">
        <f aca="false">(BI52-BI53)*BI51</f>
        <v>154.216913278484</v>
      </c>
      <c r="BJ54" s="16" t="n">
        <f aca="false">(BJ52-BJ53)*BJ51</f>
        <v>163.546442570251</v>
      </c>
      <c r="BK54" s="16" t="n">
        <f aca="false">(BK52-BK53)*BK51</f>
        <v>173.145945744528</v>
      </c>
    </row>
    <row r="55" customFormat="false" ht="15" hidden="false" customHeight="true" outlineLevel="0" collapsed="false">
      <c r="A55" s="12" t="s">
        <v>1935</v>
      </c>
      <c r="B55" s="4" t="s">
        <v>44</v>
      </c>
      <c r="D55" s="16" t="n">
        <f aca="false">D42*D50</f>
        <v>0</v>
      </c>
      <c r="E55" s="16" t="n">
        <f aca="false">E42*E50</f>
        <v>0</v>
      </c>
      <c r="F55" s="16" t="n">
        <f aca="false">F42*F50</f>
        <v>0</v>
      </c>
      <c r="G55" s="16" t="n">
        <f aca="false">G42*G50</f>
        <v>0</v>
      </c>
      <c r="H55" s="16" t="n">
        <f aca="false">H42*H50</f>
        <v>0</v>
      </c>
      <c r="I55" s="16" t="n">
        <f aca="false">I42*I50</f>
        <v>0</v>
      </c>
      <c r="J55" s="16" t="n">
        <f aca="false">J42*J50</f>
        <v>0</v>
      </c>
      <c r="K55" s="16" t="n">
        <f aca="false">K42*K50</f>
        <v>0</v>
      </c>
      <c r="L55" s="16" t="n">
        <f aca="false">L42*L50</f>
        <v>7.115625</v>
      </c>
      <c r="M55" s="16" t="n">
        <f aca="false">M42*M50</f>
        <v>7.115625</v>
      </c>
      <c r="N55" s="16" t="n">
        <f aca="false">N42*N50</f>
        <v>7.115625</v>
      </c>
      <c r="O55" s="16" t="n">
        <f aca="false">O42*O50</f>
        <v>9.4875</v>
      </c>
      <c r="P55" s="16" t="n">
        <f aca="false">P42*P50</f>
        <v>12.45234375</v>
      </c>
      <c r="Q55" s="16" t="n">
        <f aca="false">Q42*Q50</f>
        <v>14.9428125</v>
      </c>
      <c r="R55" s="16" t="n">
        <f aca="false">R42*R50</f>
        <v>17.43328125</v>
      </c>
      <c r="S55" s="16" t="n">
        <f aca="false">S42*S50</f>
        <v>19.92375</v>
      </c>
      <c r="T55" s="16" t="n">
        <f aca="false">T42*T50</f>
        <v>22.41421875</v>
      </c>
      <c r="U55" s="16" t="n">
        <f aca="false">U42*U50</f>
        <v>22.41421875</v>
      </c>
      <c r="V55" s="16" t="n">
        <f aca="false">V42*V50</f>
        <v>22.41421875</v>
      </c>
      <c r="W55" s="16" t="n">
        <f aca="false">W42*W50</f>
        <v>22.41421875</v>
      </c>
      <c r="X55" s="16" t="n">
        <f aca="false">X42*X50</f>
        <v>78.7863043275</v>
      </c>
      <c r="Y55" s="16" t="n">
        <f aca="false">Y42*Y50</f>
        <v>86.2577105775</v>
      </c>
      <c r="Z55" s="16" t="n">
        <f aca="false">Z42*Z50</f>
        <v>93.7291168275</v>
      </c>
      <c r="AA55" s="16" t="n">
        <f aca="false">AA42*AA50</f>
        <v>101.2005230775</v>
      </c>
      <c r="AB55" s="16" t="n">
        <f aca="false">AB42*AB50</f>
        <v>114.105525793875</v>
      </c>
      <c r="AC55" s="16" t="n">
        <f aca="false">AC42*AC50</f>
        <v>121.950502356375</v>
      </c>
      <c r="AD55" s="16" t="n">
        <f aca="false">AD42*AD50</f>
        <v>121.950502356375</v>
      </c>
      <c r="AE55" s="16" t="n">
        <f aca="false">AE42*AE50</f>
        <v>121.950502356375</v>
      </c>
      <c r="AF55" s="16" t="n">
        <f aca="false">AF42*AF50</f>
        <v>121.950502356375</v>
      </c>
      <c r="AG55" s="16" t="n">
        <f aca="false">AG42*AG50</f>
        <v>121.950502356375</v>
      </c>
      <c r="AH55" s="16" t="n">
        <f aca="false">AH42*AH50</f>
        <v>121.950502356375</v>
      </c>
      <c r="AI55" s="16" t="n">
        <f aca="false">AI42*AI50</f>
        <v>121.950502356375</v>
      </c>
      <c r="AJ55" s="16" t="n">
        <f aca="false">AJ42*AJ50</f>
        <v>236.409393787875</v>
      </c>
      <c r="AK55" s="16" t="n">
        <f aca="false">AK42*AK50</f>
        <v>252.099346912875</v>
      </c>
      <c r="AL55" s="16" t="n">
        <f aca="false">AL42*AL50</f>
        <v>267.789300037875</v>
      </c>
      <c r="AM55" s="16" t="n">
        <f aca="false">AM42*AM50</f>
        <v>283.479253162875</v>
      </c>
      <c r="AN55" s="16" t="n">
        <f aca="false">AN42*AN50</f>
        <v>314.127666602269</v>
      </c>
      <c r="AO55" s="16" t="n">
        <f aca="false">AO42*AO50</f>
        <v>330.602117383519</v>
      </c>
      <c r="AP55" s="16" t="n">
        <f aca="false">AP42*AP50</f>
        <v>330.602117383519</v>
      </c>
      <c r="AQ55" s="16" t="n">
        <f aca="false">AQ42*AQ50</f>
        <v>330.602117383519</v>
      </c>
      <c r="AR55" s="16" t="n">
        <f aca="false">AR42*AR50</f>
        <v>330.602117383519</v>
      </c>
      <c r="AS55" s="16" t="n">
        <f aca="false">AS42*AS50</f>
        <v>330.602117383519</v>
      </c>
      <c r="AT55" s="16" t="n">
        <f aca="false">AT42*AT50</f>
        <v>330.602117383519</v>
      </c>
      <c r="AU55" s="16" t="n">
        <f aca="false">AU42*AU50</f>
        <v>330.602117383519</v>
      </c>
      <c r="AV55" s="16" t="n">
        <f aca="false">AV42*AV50</f>
        <v>460.394049675656</v>
      </c>
      <c r="AW55" s="16" t="n">
        <f aca="false">AW42*AW50</f>
        <v>482.359984050656</v>
      </c>
      <c r="AX55" s="16" t="n">
        <f aca="false">AX42*AX50</f>
        <v>504.325918425656</v>
      </c>
      <c r="AY55" s="16" t="n">
        <f aca="false">AY42*AY50</f>
        <v>526.291852800656</v>
      </c>
      <c r="AZ55" s="16" t="n">
        <f aca="false">AZ42*AZ50</f>
        <v>575.670676534439</v>
      </c>
      <c r="BA55" s="16" t="n">
        <f aca="false">BA42*BA50</f>
        <v>598.734907628189</v>
      </c>
      <c r="BB55" s="16" t="n">
        <f aca="false">BB42*BB50</f>
        <v>598.734907628189</v>
      </c>
      <c r="BC55" s="16" t="n">
        <f aca="false">BC42*BC50</f>
        <v>598.734907628189</v>
      </c>
      <c r="BD55" s="16" t="n">
        <f aca="false">BD42*BD50</f>
        <v>598.734907628189</v>
      </c>
      <c r="BE55" s="16" t="n">
        <f aca="false">BE42*BE50</f>
        <v>598.734907628189</v>
      </c>
      <c r="BF55" s="16" t="n">
        <f aca="false">BF42*BF50</f>
        <v>598.734907628189</v>
      </c>
      <c r="BG55" s="16" t="n">
        <f aca="false">BG42*BG50</f>
        <v>598.734907628189</v>
      </c>
      <c r="BH55" s="16" t="n">
        <f aca="false">BH42*BH50</f>
        <v>732.133407648215</v>
      </c>
      <c r="BI55" s="16" t="n">
        <f aca="false">BI42*BI50</f>
        <v>752.314609855246</v>
      </c>
      <c r="BJ55" s="16" t="n">
        <f aca="false">BJ42*BJ50</f>
        <v>772.495812062277</v>
      </c>
      <c r="BK55" s="16" t="n">
        <f aca="false">BK42*BK50</f>
        <v>792.677014269309</v>
      </c>
    </row>
    <row r="56" customFormat="false" ht="15" hidden="false" customHeight="true" outlineLevel="0" collapsed="false">
      <c r="A56" s="5" t="s">
        <v>1936</v>
      </c>
      <c r="B56" s="4" t="s">
        <v>44</v>
      </c>
      <c r="D56" s="52" t="n">
        <f aca="false">D52-D53+D54+D55</f>
        <v>0</v>
      </c>
      <c r="E56" s="52" t="n">
        <f aca="false">E52-E53+E54+E55</f>
        <v>0</v>
      </c>
      <c r="F56" s="52" t="n">
        <f aca="false">F52-F53+F54+F55</f>
        <v>0</v>
      </c>
      <c r="G56" s="52" t="n">
        <f aca="false">G52-G53+G54+G55</f>
        <v>0</v>
      </c>
      <c r="H56" s="52" t="n">
        <f aca="false">H52-H53+H54+H55</f>
        <v>0</v>
      </c>
      <c r="I56" s="52" t="n">
        <f aca="false">I52-I53+I54+I55</f>
        <v>0</v>
      </c>
      <c r="J56" s="52" t="n">
        <f aca="false">J52-J53+J54+J55</f>
        <v>0</v>
      </c>
      <c r="K56" s="52" t="n">
        <f aca="false">K52-K53+K54+K55</f>
        <v>0</v>
      </c>
      <c r="L56" s="52" t="n">
        <f aca="false">L52-L53+L54+L55</f>
        <v>7.115625</v>
      </c>
      <c r="M56" s="52" t="n">
        <f aca="false">M52-M53+M54+M55</f>
        <v>14.2582522832638</v>
      </c>
      <c r="N56" s="52" t="n">
        <f aca="false">N52-N53+N54+N55</f>
        <v>21.4279843177124</v>
      </c>
      <c r="O56" s="52" t="n">
        <f aca="false">O52-O53+O54+O55</f>
        <v>30.9967989601111</v>
      </c>
      <c r="P56" s="52" t="n">
        <f aca="false">P52-P53+P54+P55</f>
        <v>43.5667689686324</v>
      </c>
      <c r="Q56" s="52" t="n">
        <f aca="false">Q52-Q53+Q54+Q55</f>
        <v>58.6749080894954</v>
      </c>
      <c r="R56" s="52" t="n">
        <f aca="false">R52-R53+R54+R55</f>
        <v>76.3308481345706</v>
      </c>
      <c r="S56" s="52" t="n">
        <f aca="false">S52-S53+S54+S55</f>
        <v>96.5442574664062</v>
      </c>
      <c r="T56" s="52" t="n">
        <f aca="false">T52-T53+T54+T55</f>
        <v>119.324841136929</v>
      </c>
      <c r="U56" s="52" t="n">
        <f aca="false">U52-U53+U54+U55</f>
        <v>142.191872276675</v>
      </c>
      <c r="V56" s="52" t="n">
        <f aca="false">V52-V53+V54+V55</f>
        <v>165.145678935399</v>
      </c>
      <c r="W56" s="52" t="n">
        <f aca="false">W52-W53+W54+W55</f>
        <v>188.186590407739</v>
      </c>
      <c r="X56" s="52" t="n">
        <f aca="false">X52-X53+X54+X55</f>
        <v>267.687022815433</v>
      </c>
      <c r="Y56" s="52" t="n">
        <f aca="false">Y52-Y53+Y54+Y55</f>
        <v>354.960548703056</v>
      </c>
      <c r="Z56" s="52" t="n">
        <f aca="false">Z52-Z53+Z54+Z55</f>
        <v>450.036665306899</v>
      </c>
      <c r="AA56" s="52" t="n">
        <f aca="false">AA52-AA53+AA54+AA55</f>
        <v>552.944981798989</v>
      </c>
      <c r="AB56" s="52" t="n">
        <f aca="false">AB52-AB53+AB54+AB55</f>
        <v>669.14881617824</v>
      </c>
      <c r="AC56" s="52" t="n">
        <f aca="false">AC52-AC53+AC54+AC55</f>
        <v>793.63859595298</v>
      </c>
      <c r="AD56" s="52" t="n">
        <f aca="false">AD52-AD53+AD54+AD55</f>
        <v>918.600787960928</v>
      </c>
      <c r="AE56" s="52" t="n">
        <f aca="false">AE52-AE53+AE54+AE55</f>
        <v>1044.03718490602</v>
      </c>
      <c r="AF56" s="52" t="n">
        <f aca="false">AF52-AF53+AF54+AF55</f>
        <v>1169.94958629512</v>
      </c>
      <c r="AG56" s="52" t="n">
        <f aca="false">AG52-AG53+AG54+AG55</f>
        <v>1296.33979846384</v>
      </c>
      <c r="AH56" s="52" t="n">
        <f aca="false">AH52-AH53+AH54+AH55</f>
        <v>1423.20963460245</v>
      </c>
      <c r="AI56" s="52" t="n">
        <f aca="false">AI52-AI53+AI54+AI55</f>
        <v>1550.56091478188</v>
      </c>
      <c r="AJ56" s="52" t="n">
        <f aca="false">AJ52-AJ53+AJ54+AJ55</f>
        <v>1792.85435741138</v>
      </c>
      <c r="AK56" s="52" t="n">
        <f aca="false">AK52-AK53+AK54+AK55</f>
        <v>2051.75720524083</v>
      </c>
      <c r="AL56" s="52" t="n">
        <f aca="false">AL52-AL53+AL54+AL55</f>
        <v>2327.33248742987</v>
      </c>
      <c r="AM56" s="52" t="n">
        <f aca="false">AM52-AM53+AM54+AM55</f>
        <v>2619.64347232039</v>
      </c>
      <c r="AN56" s="52" t="n">
        <f aca="false">AN52-AN53+AN54+AN55</f>
        <v>2943.71212865857</v>
      </c>
      <c r="AO56" s="52" t="n">
        <f aca="false">AO52-AO53+AO54+AO55</f>
        <v>3285.48500739405</v>
      </c>
      <c r="AP56" s="52" t="n">
        <f aca="false">AP52-AP53+AP54+AP55</f>
        <v>3628.55484150357</v>
      </c>
      <c r="AQ56" s="52" t="n">
        <f aca="false">AQ52-AQ53+AQ54+AQ55</f>
        <v>3972.92655265691</v>
      </c>
      <c r="AR56" s="52" t="n">
        <f aca="false">AR52-AR53+AR54+AR55</f>
        <v>4318.60508120051</v>
      </c>
      <c r="AS56" s="52" t="n">
        <f aca="false">AS52-AS53+AS54+AS55</f>
        <v>4665.59538622838</v>
      </c>
      <c r="AT56" s="52" t="n">
        <f aca="false">AT52-AT53+AT54+AT55</f>
        <v>5013.90244565326</v>
      </c>
      <c r="AU56" s="52" t="n">
        <f aca="false">AU52-AU53+AU54+AU55</f>
        <v>5363.53125627797</v>
      </c>
      <c r="AV56" s="52" t="n">
        <f aca="false">AV52-AV53+AV54+AV55</f>
        <v>5844.27876615931</v>
      </c>
      <c r="AW56" s="52" t="n">
        <f aca="false">AW52-AW53+AW54+AW55</f>
        <v>6348.81654495269</v>
      </c>
      <c r="AX56" s="52" t="n">
        <f aca="false">AX52-AX53+AX54+AX55</f>
        <v>6877.23487166805</v>
      </c>
      <c r="AY56" s="52" t="n">
        <f aca="false">AY52-AY53+AY54+AY55</f>
        <v>7429.62436790497</v>
      </c>
      <c r="AZ56" s="52" t="n">
        <f aca="false">AZ52-AZ53+AZ54+AZ55</f>
        <v>8033.48888851151</v>
      </c>
      <c r="BA56" s="52" t="n">
        <f aca="false">BA52-BA53+BA54+BA55</f>
        <v>8662.70917761551</v>
      </c>
      <c r="BB56" s="52" t="n">
        <f aca="false">BB52-BB53+BB54+BB55</f>
        <v>9294.31722387109</v>
      </c>
      <c r="BC56" s="52" t="n">
        <f aca="false">BC52-BC53+BC54+BC55</f>
        <v>9928.32208830873</v>
      </c>
      <c r="BD56" s="52" t="n">
        <f aca="false">BD52-BD53+BD54+BD55</f>
        <v>10564.7328663436</v>
      </c>
      <c r="BE56" s="52" t="n">
        <f aca="false">BE52-BE53+BE54+BE55</f>
        <v>11203.5586879059</v>
      </c>
      <c r="BF56" s="52" t="n">
        <f aca="false">BF52-BF53+BF54+BF55</f>
        <v>11844.8087175723</v>
      </c>
      <c r="BG56" s="52" t="n">
        <f aca="false">BG52-BG53+BG54+BG55</f>
        <v>12488.4921546968</v>
      </c>
      <c r="BH56" s="52" t="n">
        <f aca="false">BH52-BH53+BH54+BH55</f>
        <v>13268.016733563</v>
      </c>
      <c r="BI56" s="52" t="n">
        <f aca="false">BI52-BI53+BI54+BI55</f>
        <v>14070.6806445953</v>
      </c>
      <c r="BJ56" s="52" t="n">
        <f aca="false">BJ52-BJ53+BJ54+BJ55</f>
        <v>14896.5716966371</v>
      </c>
      <c r="BK56" s="52" t="n">
        <f aca="false">BK52-BK53+BK54+BK55</f>
        <v>15745.7780317478</v>
      </c>
    </row>
    <row r="57" customFormat="false" ht="15" hidden="false" customHeight="true" outlineLevel="0" collapsed="false">
      <c r="A57" s="12" t="s">
        <v>1937</v>
      </c>
      <c r="B57" s="4" t="s">
        <v>44</v>
      </c>
      <c r="D57" s="16" t="n">
        <f aca="false">D56/12</f>
        <v>0</v>
      </c>
      <c r="E57" s="16" t="n">
        <f aca="false">E56/12</f>
        <v>0</v>
      </c>
      <c r="F57" s="16" t="n">
        <f aca="false">F56/12</f>
        <v>0</v>
      </c>
      <c r="G57" s="16" t="n">
        <f aca="false">G56/12</f>
        <v>0</v>
      </c>
      <c r="H57" s="16" t="n">
        <f aca="false">H56/12</f>
        <v>0</v>
      </c>
      <c r="I57" s="16" t="n">
        <f aca="false">I56/12</f>
        <v>0</v>
      </c>
      <c r="J57" s="16" t="n">
        <f aca="false">J56/12</f>
        <v>0</v>
      </c>
      <c r="K57" s="16" t="n">
        <f aca="false">K56/12</f>
        <v>0</v>
      </c>
      <c r="L57" s="16" t="n">
        <f aca="false">L56/12</f>
        <v>0.59296875</v>
      </c>
      <c r="M57" s="16" t="n">
        <f aca="false">M56/12</f>
        <v>1.18818769027198</v>
      </c>
      <c r="N57" s="16" t="n">
        <f aca="false">N56/12</f>
        <v>1.78566535980937</v>
      </c>
      <c r="O57" s="16" t="n">
        <f aca="false">O56/12</f>
        <v>2.58306658000926</v>
      </c>
      <c r="P57" s="16" t="n">
        <f aca="false">P56/12</f>
        <v>3.63056408071937</v>
      </c>
      <c r="Q57" s="16" t="n">
        <f aca="false">Q56/12</f>
        <v>4.88957567412461</v>
      </c>
      <c r="R57" s="16" t="n">
        <f aca="false">R56/12</f>
        <v>6.36090401121422</v>
      </c>
      <c r="S57" s="16" t="n">
        <f aca="false">S56/12</f>
        <v>8.04535478886719</v>
      </c>
      <c r="T57" s="16" t="n">
        <f aca="false">T56/12</f>
        <v>9.94373676141078</v>
      </c>
      <c r="U57" s="16" t="n">
        <f aca="false">U56/12</f>
        <v>11.8493226897229</v>
      </c>
      <c r="V57" s="16" t="n">
        <f aca="false">V56/12</f>
        <v>13.7621399112833</v>
      </c>
      <c r="W57" s="16" t="n">
        <f aca="false">W56/12</f>
        <v>15.6822158673116</v>
      </c>
      <c r="X57" s="16" t="n">
        <f aca="false">X56/12</f>
        <v>22.3072519012861</v>
      </c>
      <c r="Y57" s="16" t="n">
        <f aca="false">Y56/12</f>
        <v>29.5800457252547</v>
      </c>
      <c r="Z57" s="16" t="n">
        <f aca="false">Z56/12</f>
        <v>37.5030554422416</v>
      </c>
      <c r="AA57" s="16" t="n">
        <f aca="false">AA56/12</f>
        <v>46.0787484832491</v>
      </c>
      <c r="AB57" s="16" t="n">
        <f aca="false">AB56/12</f>
        <v>55.7624013481866</v>
      </c>
      <c r="AC57" s="16" t="n">
        <f aca="false">AC56/12</f>
        <v>66.1365496627483</v>
      </c>
      <c r="AD57" s="16" t="n">
        <f aca="false">AD56/12</f>
        <v>76.5500656634106</v>
      </c>
      <c r="AE57" s="16" t="n">
        <f aca="false">AE56/12</f>
        <v>87.0030987421682</v>
      </c>
      <c r="AF57" s="16" t="n">
        <f aca="false">AF56/12</f>
        <v>97.4957988579265</v>
      </c>
      <c r="AG57" s="16" t="n">
        <f aca="false">AG56/12</f>
        <v>108.028316538653</v>
      </c>
      <c r="AH57" s="16" t="n">
        <f aca="false">AH56/12</f>
        <v>118.600802883537</v>
      </c>
      <c r="AI57" s="16" t="n">
        <f aca="false">AI56/12</f>
        <v>129.213409565157</v>
      </c>
      <c r="AJ57" s="16" t="n">
        <f aca="false">AJ56/12</f>
        <v>149.404529784282</v>
      </c>
      <c r="AK57" s="16" t="n">
        <f aca="false">AK56/12</f>
        <v>170.979767103402</v>
      </c>
      <c r="AL57" s="16" t="n">
        <f aca="false">AL56/12</f>
        <v>193.944373952489</v>
      </c>
      <c r="AM57" s="16" t="n">
        <f aca="false">AM56/12</f>
        <v>218.303622693365</v>
      </c>
      <c r="AN57" s="16" t="n">
        <f aca="false">AN56/12</f>
        <v>245.309344054881</v>
      </c>
      <c r="AO57" s="16" t="n">
        <f aca="false">AO56/12</f>
        <v>273.790417282837</v>
      </c>
      <c r="AP57" s="16" t="n">
        <f aca="false">AP56/12</f>
        <v>302.379570125298</v>
      </c>
      <c r="AQ57" s="16" t="n">
        <f aca="false">AQ56/12</f>
        <v>331.077212721409</v>
      </c>
      <c r="AR57" s="16" t="n">
        <f aca="false">AR56/12</f>
        <v>359.883756766709</v>
      </c>
      <c r="AS57" s="16" t="n">
        <f aca="false">AS56/12</f>
        <v>388.799615519032</v>
      </c>
      <c r="AT57" s="16" t="n">
        <f aca="false">AT56/12</f>
        <v>417.825203804438</v>
      </c>
      <c r="AU57" s="16" t="n">
        <f aca="false">AU56/12</f>
        <v>446.960938023164</v>
      </c>
      <c r="AV57" s="16" t="n">
        <f aca="false">AV56/12</f>
        <v>487.023230513275</v>
      </c>
      <c r="AW57" s="16" t="n">
        <f aca="false">AW56/12</f>
        <v>529.068045412724</v>
      </c>
      <c r="AX57" s="16" t="n">
        <f aca="false">AX56/12</f>
        <v>573.102905972338</v>
      </c>
      <c r="AY57" s="16" t="n">
        <f aca="false">AY56/12</f>
        <v>619.135363992081</v>
      </c>
      <c r="AZ57" s="16" t="n">
        <f aca="false">AZ56/12</f>
        <v>669.457407375959</v>
      </c>
      <c r="BA57" s="16" t="n">
        <f aca="false">BA56/12</f>
        <v>721.892431467959</v>
      </c>
      <c r="BB57" s="16" t="n">
        <f aca="false">BB56/12</f>
        <v>774.526435322591</v>
      </c>
      <c r="BC57" s="16" t="n">
        <f aca="false">BC56/12</f>
        <v>827.360174025727</v>
      </c>
      <c r="BD57" s="16" t="n">
        <f aca="false">BD56/12</f>
        <v>880.394405528631</v>
      </c>
      <c r="BE57" s="16" t="n">
        <f aca="false">BE56/12</f>
        <v>933.629890658829</v>
      </c>
      <c r="BF57" s="16" t="n">
        <f aca="false">BF56/12</f>
        <v>987.067393131027</v>
      </c>
      <c r="BG57" s="16" t="n">
        <f aca="false">BG56/12</f>
        <v>1040.70767955807</v>
      </c>
      <c r="BH57" s="16" t="n">
        <f aca="false">BH56/12</f>
        <v>1105.66806113025</v>
      </c>
      <c r="BI57" s="16" t="n">
        <f aca="false">BI56/12</f>
        <v>1172.55672038294</v>
      </c>
      <c r="BJ57" s="16" t="n">
        <f aca="false">BJ56/12</f>
        <v>1241.38097471976</v>
      </c>
      <c r="BK57" s="16" t="n">
        <f aca="false">BK56/12</f>
        <v>1312.14816931231</v>
      </c>
    </row>
    <row r="59" customFormat="false" ht="15" hidden="false" customHeight="true" outlineLevel="0" collapsed="false">
      <c r="A59" s="10" t="s">
        <v>1938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customFormat="false" ht="15" hidden="false" customHeight="true" outlineLevel="0" collapsed="false">
      <c r="A60" s="12" t="s">
        <v>1835</v>
      </c>
      <c r="B60" s="4" t="s">
        <v>44</v>
      </c>
      <c r="D60" s="16" t="n">
        <f aca="false">(D52+D56)/24</f>
        <v>0</v>
      </c>
      <c r="E60" s="16" t="n">
        <f aca="false">(E52+E56)/24</f>
        <v>0</v>
      </c>
      <c r="F60" s="16" t="n">
        <f aca="false">(F52+F56)/24</f>
        <v>0</v>
      </c>
      <c r="G60" s="16" t="n">
        <f aca="false">(G52+G56)/24</f>
        <v>0</v>
      </c>
      <c r="H60" s="16" t="n">
        <f aca="false">(H52+H56)/24</f>
        <v>0</v>
      </c>
      <c r="I60" s="16" t="n">
        <f aca="false">(I52+I56)/24</f>
        <v>0</v>
      </c>
      <c r="J60" s="16" t="n">
        <f aca="false">(J52+J56)/24</f>
        <v>0</v>
      </c>
      <c r="K60" s="16" t="n">
        <f aca="false">(K52+K56)/24</f>
        <v>0</v>
      </c>
      <c r="L60" s="16" t="n">
        <f aca="false">(L52+L56)/24</f>
        <v>0.296484375</v>
      </c>
      <c r="M60" s="16" t="n">
        <f aca="false">(M52+M56)/24</f>
        <v>0.89057822013599</v>
      </c>
      <c r="N60" s="16" t="n">
        <f aca="false">(N52+N56)/24</f>
        <v>1.48692652504067</v>
      </c>
      <c r="O60" s="16" t="n">
        <f aca="false">(O52+O56)/24</f>
        <v>2.18436596990931</v>
      </c>
      <c r="P60" s="16" t="n">
        <f aca="false">(P52+P56)/24</f>
        <v>3.10681533036432</v>
      </c>
      <c r="Q60" s="16" t="n">
        <f aca="false">(Q52+Q56)/24</f>
        <v>4.26006987742199</v>
      </c>
      <c r="R60" s="16" t="n">
        <f aca="false">(R52+R56)/24</f>
        <v>5.62523984266942</v>
      </c>
      <c r="S60" s="16" t="n">
        <f aca="false">(S52+S56)/24</f>
        <v>7.2031294000407</v>
      </c>
      <c r="T60" s="16" t="n">
        <f aca="false">(T52+T56)/24</f>
        <v>8.99454577513898</v>
      </c>
      <c r="U60" s="16" t="n">
        <f aca="false">(U52+U56)/24</f>
        <v>10.8965297255668</v>
      </c>
      <c r="V60" s="16" t="n">
        <f aca="false">(V52+V56)/24</f>
        <v>12.8057313005031</v>
      </c>
      <c r="W60" s="16" t="n">
        <f aca="false">(W52+W56)/24</f>
        <v>14.7221778892974</v>
      </c>
      <c r="X60" s="16" t="n">
        <f aca="false">(X52+X56)/24</f>
        <v>18.9947338842989</v>
      </c>
      <c r="Y60" s="16" t="n">
        <f aca="false">(Y52+Y56)/24</f>
        <v>25.9436488132704</v>
      </c>
      <c r="Z60" s="16" t="n">
        <f aca="false">(Z52+Z56)/24</f>
        <v>33.5415505837481</v>
      </c>
      <c r="AA60" s="16" t="n">
        <f aca="false">(AA52+AA56)/24</f>
        <v>41.7909019627454</v>
      </c>
      <c r="AB60" s="16" t="n">
        <f aca="false">(AB52+AB56)/24</f>
        <v>50.9205749157179</v>
      </c>
      <c r="AC60" s="16" t="n">
        <f aca="false">(AC52+AC56)/24</f>
        <v>60.9494755054675</v>
      </c>
      <c r="AD60" s="16" t="n">
        <f aca="false">(AD52+AD56)/24</f>
        <v>71.3433076630795</v>
      </c>
      <c r="AE60" s="16" t="n">
        <f aca="false">(AE52+AE56)/24</f>
        <v>81.7765822027894</v>
      </c>
      <c r="AF60" s="16" t="n">
        <f aca="false">(AF52+AF56)/24</f>
        <v>92.2494488000474</v>
      </c>
      <c r="AG60" s="16" t="n">
        <f aca="false">(AG52+AG56)/24</f>
        <v>102.76205769829</v>
      </c>
      <c r="AH60" s="16" t="n">
        <f aca="false">(AH52+AH56)/24</f>
        <v>113.314559711095</v>
      </c>
      <c r="AI60" s="16" t="n">
        <f aca="false">(AI52+AI56)/24</f>
        <v>123.907106224347</v>
      </c>
      <c r="AJ60" s="16" t="n">
        <f aca="false">(AJ52+AJ56)/24</f>
        <v>139.308969674719</v>
      </c>
      <c r="AK60" s="16" t="n">
        <f aca="false">(AK52+AK56)/24</f>
        <v>160.192148443842</v>
      </c>
      <c r="AL60" s="16" t="n">
        <f aca="false">(AL52+AL56)/24</f>
        <v>182.462070527945</v>
      </c>
      <c r="AM60" s="16" t="n">
        <f aca="false">(AM52+AM56)/24</f>
        <v>206.123998322927</v>
      </c>
      <c r="AN60" s="16" t="n">
        <f aca="false">(AN52+AN56)/24</f>
        <v>231.806483374123</v>
      </c>
      <c r="AO60" s="16" t="n">
        <f aca="false">(AO52+AO56)/24</f>
        <v>259.549880668859</v>
      </c>
      <c r="AP60" s="16" t="n">
        <f aca="false">(AP52+AP56)/24</f>
        <v>288.084993704067</v>
      </c>
      <c r="AQ60" s="16" t="n">
        <f aca="false">(AQ52+AQ56)/24</f>
        <v>316.728391423353</v>
      </c>
      <c r="AR60" s="16" t="n">
        <f aca="false">(AR52+AR56)/24</f>
        <v>345.480484744059</v>
      </c>
      <c r="AS60" s="16" t="n">
        <f aca="false">(AS52+AS56)/24</f>
        <v>374.34168614287</v>
      </c>
      <c r="AT60" s="16" t="n">
        <f aca="false">(AT52+AT56)/24</f>
        <v>403.312409661735</v>
      </c>
      <c r="AU60" s="16" t="n">
        <f aca="false">(AU52+AU56)/24</f>
        <v>432.393070913801</v>
      </c>
      <c r="AV60" s="16" t="n">
        <f aca="false">(AV52+AV56)/24</f>
        <v>466.99208426822</v>
      </c>
      <c r="AW60" s="16" t="n">
        <f aca="false">(AW52+AW56)/24</f>
        <v>508.045637963</v>
      </c>
      <c r="AX60" s="16" t="n">
        <f aca="false">(AX52+AX56)/24</f>
        <v>551.085475692531</v>
      </c>
      <c r="AY60" s="16" t="n">
        <f aca="false">(AY52+AY56)/24</f>
        <v>596.119134982209</v>
      </c>
      <c r="AZ60" s="16" t="n">
        <f aca="false">(AZ52+AZ56)/24</f>
        <v>644.29638568402</v>
      </c>
      <c r="BA60" s="16" t="n">
        <f aca="false">(BA52+BA56)/24</f>
        <v>695.674919421959</v>
      </c>
      <c r="BB60" s="16" t="n">
        <f aca="false">(BB52+BB56)/24</f>
        <v>748.209433395275</v>
      </c>
      <c r="BC60" s="16" t="n">
        <f aca="false">(BC52+BC56)/24</f>
        <v>800.943304674159</v>
      </c>
      <c r="BD60" s="16" t="n">
        <f aca="false">(BD52+BD56)/24</f>
        <v>853.877289777179</v>
      </c>
      <c r="BE60" s="16" t="n">
        <f aca="false">(BE52+BE56)/24</f>
        <v>907.01214809373</v>
      </c>
      <c r="BF60" s="16" t="n">
        <f aca="false">(BF52+BF56)/24</f>
        <v>960.348641894928</v>
      </c>
      <c r="BG60" s="16" t="n">
        <f aca="false">(BG52+BG56)/24</f>
        <v>1013.88753634455</v>
      </c>
      <c r="BH60" s="16" t="n">
        <f aca="false">(BH52+BH56)/24</f>
        <v>1073.18787034416</v>
      </c>
      <c r="BI60" s="16" t="n">
        <f aca="false">(BI52+BI56)/24</f>
        <v>1139.1123907566</v>
      </c>
      <c r="BJ60" s="16" t="n">
        <f aca="false">(BJ52+BJ56)/24</f>
        <v>1206.96884755135</v>
      </c>
      <c r="BK60" s="16" t="n">
        <f aca="false">(BK52+BK56)/24</f>
        <v>1276.76457201604</v>
      </c>
    </row>
    <row r="61" customFormat="false" ht="15" hidden="false" customHeight="true" outlineLevel="0" collapsed="false">
      <c r="A61" s="12" t="s">
        <v>1939</v>
      </c>
      <c r="B61" s="4" t="s">
        <v>44</v>
      </c>
      <c r="D61" s="16" t="n">
        <f aca="false">D42*3_Pricing!$F$10*Inputs!$C$47*Inputs!$C$123*(1+Inputs!$C$48)^(D7-1)</f>
        <v>0</v>
      </c>
      <c r="E61" s="16" t="n">
        <f aca="false">E42*3_Pricing!$F$10*Inputs!$C$47*Inputs!$C$123*(1+Inputs!$C$48)^(E7-1)</f>
        <v>0</v>
      </c>
      <c r="F61" s="16" t="n">
        <f aca="false">F42*3_Pricing!$F$10*Inputs!$C$47*Inputs!$C$123*(1+Inputs!$C$48)^(F7-1)</f>
        <v>0</v>
      </c>
      <c r="G61" s="16" t="n">
        <f aca="false">G42*3_Pricing!$F$10*Inputs!$C$47*Inputs!$C$123*(1+Inputs!$C$48)^(G7-1)</f>
        <v>0</v>
      </c>
      <c r="H61" s="16" t="n">
        <f aca="false">H42*3_Pricing!$F$10*Inputs!$C$47*Inputs!$C$123*(1+Inputs!$C$48)^(H7-1)</f>
        <v>0</v>
      </c>
      <c r="I61" s="16" t="n">
        <f aca="false">I42*3_Pricing!$F$10*Inputs!$C$47*Inputs!$C$123*(1+Inputs!$C$48)^(I7-1)</f>
        <v>0</v>
      </c>
      <c r="J61" s="16" t="n">
        <f aca="false">J42*3_Pricing!$F$10*Inputs!$C$47*Inputs!$C$123*(1+Inputs!$C$48)^(J7-1)</f>
        <v>0</v>
      </c>
      <c r="K61" s="16" t="n">
        <f aca="false">K42*3_Pricing!$F$10*Inputs!$C$47*Inputs!$C$123*(1+Inputs!$C$48)^(K7-1)</f>
        <v>0</v>
      </c>
      <c r="L61" s="16" t="n">
        <f aca="false">L42*3_Pricing!$F$10*Inputs!$C$47*Inputs!$C$123*(1+Inputs!$C$48)^(L7-1)</f>
        <v>1.522125</v>
      </c>
      <c r="M61" s="16" t="n">
        <f aca="false">M42*3_Pricing!$F$10*Inputs!$C$47*Inputs!$C$123*(1+Inputs!$C$48)^(M7-1)</f>
        <v>1.522125</v>
      </c>
      <c r="N61" s="16" t="n">
        <f aca="false">N42*3_Pricing!$F$10*Inputs!$C$47*Inputs!$C$123*(1+Inputs!$C$48)^(N7-1)</f>
        <v>1.522125</v>
      </c>
      <c r="O61" s="16" t="n">
        <f aca="false">O42*3_Pricing!$F$10*Inputs!$C$47*Inputs!$C$123*(1+Inputs!$C$48)^(O7-1)</f>
        <v>2.0295</v>
      </c>
      <c r="P61" s="16" t="n">
        <f aca="false">P42*3_Pricing!$F$10*Inputs!$C$47*Inputs!$C$123*(1+Inputs!$C$48)^(P7-1)</f>
        <v>2.66371875</v>
      </c>
      <c r="Q61" s="16" t="n">
        <f aca="false">Q42*3_Pricing!$F$10*Inputs!$C$47*Inputs!$C$123*(1+Inputs!$C$48)^(Q7-1)</f>
        <v>3.1964625</v>
      </c>
      <c r="R61" s="16" t="n">
        <f aca="false">R42*3_Pricing!$F$10*Inputs!$C$47*Inputs!$C$123*(1+Inputs!$C$48)^(R7-1)</f>
        <v>3.72920625</v>
      </c>
      <c r="S61" s="16" t="n">
        <f aca="false">S42*3_Pricing!$F$10*Inputs!$C$47*Inputs!$C$123*(1+Inputs!$C$48)^(S7-1)</f>
        <v>4.26195</v>
      </c>
      <c r="T61" s="16" t="n">
        <f aca="false">T42*3_Pricing!$F$10*Inputs!$C$47*Inputs!$C$123*(1+Inputs!$C$48)^(T7-1)</f>
        <v>4.79469375</v>
      </c>
      <c r="U61" s="16" t="n">
        <f aca="false">U42*3_Pricing!$F$10*Inputs!$C$47*Inputs!$C$123*(1+Inputs!$C$48)^(U7-1)</f>
        <v>4.79469375</v>
      </c>
      <c r="V61" s="16" t="n">
        <f aca="false">V42*3_Pricing!$F$10*Inputs!$C$47*Inputs!$C$123*(1+Inputs!$C$48)^(V7-1)</f>
        <v>4.79469375</v>
      </c>
      <c r="W61" s="16" t="n">
        <f aca="false">W42*3_Pricing!$F$10*Inputs!$C$47*Inputs!$C$123*(1+Inputs!$C$48)^(W7-1)</f>
        <v>4.79469375</v>
      </c>
      <c r="X61" s="16" t="n">
        <f aca="false">X42*3_Pricing!$F$10*Inputs!$C$47*Inputs!$C$123*(1+Inputs!$C$48)^(X7-1)</f>
        <v>16.8534181431</v>
      </c>
      <c r="Y61" s="16" t="n">
        <f aca="false">Y42*3_Pricing!$F$10*Inputs!$C$47*Inputs!$C$123*(1+Inputs!$C$48)^(Y7-1)</f>
        <v>18.4516493931</v>
      </c>
      <c r="Z61" s="16" t="n">
        <f aca="false">Z42*3_Pricing!$F$10*Inputs!$C$47*Inputs!$C$123*(1+Inputs!$C$48)^(Z7-1)</f>
        <v>20.0498806431</v>
      </c>
      <c r="AA61" s="16" t="n">
        <f aca="false">AA42*3_Pricing!$F$10*Inputs!$C$47*Inputs!$C$123*(1+Inputs!$C$48)^(AA7-1)</f>
        <v>21.6481118931</v>
      </c>
      <c r="AB61" s="16" t="n">
        <f aca="false">AB42*3_Pricing!$F$10*Inputs!$C$47*Inputs!$C$123*(1+Inputs!$C$48)^(AB7-1)</f>
        <v>24.408660300255</v>
      </c>
      <c r="AC61" s="16" t="n">
        <f aca="false">AC42*3_Pricing!$F$10*Inputs!$C$47*Inputs!$C$123*(1+Inputs!$C$48)^(AC7-1)</f>
        <v>26.086803112755</v>
      </c>
      <c r="AD61" s="16" t="n">
        <f aca="false">AD42*3_Pricing!$F$10*Inputs!$C$47*Inputs!$C$123*(1+Inputs!$C$48)^(AD7-1)</f>
        <v>26.086803112755</v>
      </c>
      <c r="AE61" s="16" t="n">
        <f aca="false">AE42*3_Pricing!$F$10*Inputs!$C$47*Inputs!$C$123*(1+Inputs!$C$48)^(AE7-1)</f>
        <v>26.086803112755</v>
      </c>
      <c r="AF61" s="16" t="n">
        <f aca="false">AF42*3_Pricing!$F$10*Inputs!$C$47*Inputs!$C$123*(1+Inputs!$C$48)^(AF7-1)</f>
        <v>26.086803112755</v>
      </c>
      <c r="AG61" s="16" t="n">
        <f aca="false">AG42*3_Pricing!$F$10*Inputs!$C$47*Inputs!$C$123*(1+Inputs!$C$48)^(AG7-1)</f>
        <v>26.086803112755</v>
      </c>
      <c r="AH61" s="16" t="n">
        <f aca="false">AH42*3_Pricing!$F$10*Inputs!$C$47*Inputs!$C$123*(1+Inputs!$C$48)^(AH7-1)</f>
        <v>26.086803112755</v>
      </c>
      <c r="AI61" s="16" t="n">
        <f aca="false">AI42*3_Pricing!$F$10*Inputs!$C$47*Inputs!$C$123*(1+Inputs!$C$48)^(AI7-1)</f>
        <v>26.086803112755</v>
      </c>
      <c r="AJ61" s="16" t="n">
        <f aca="false">AJ42*3_Pricing!$F$10*Inputs!$C$47*Inputs!$C$123*(1+Inputs!$C$48)^(AJ7-1)</f>
        <v>50.571052932015</v>
      </c>
      <c r="AK61" s="16" t="n">
        <f aca="false">AK42*3_Pricing!$F$10*Inputs!$C$47*Inputs!$C$123*(1+Inputs!$C$48)^(AK7-1)</f>
        <v>53.927338557015</v>
      </c>
      <c r="AL61" s="16" t="n">
        <f aca="false">AL42*3_Pricing!$F$10*Inputs!$C$47*Inputs!$C$123*(1+Inputs!$C$48)^(AL7-1)</f>
        <v>57.283624182015</v>
      </c>
      <c r="AM61" s="16" t="n">
        <f aca="false">AM42*3_Pricing!$F$10*Inputs!$C$47*Inputs!$C$123*(1+Inputs!$C$48)^(AM7-1)</f>
        <v>60.639909807015</v>
      </c>
      <c r="AN61" s="16" t="n">
        <f aca="false">AN42*3_Pricing!$F$10*Inputs!$C$47*Inputs!$C$123*(1+Inputs!$C$48)^(AN7-1)</f>
        <v>67.1960052036158</v>
      </c>
      <c r="AO61" s="16" t="n">
        <f aca="false">AO42*3_Pricing!$F$10*Inputs!$C$47*Inputs!$C$123*(1+Inputs!$C$48)^(AO7-1)</f>
        <v>70.7201051098658</v>
      </c>
      <c r="AP61" s="16" t="n">
        <f aca="false">AP42*3_Pricing!$F$10*Inputs!$C$47*Inputs!$C$123*(1+Inputs!$C$48)^(AP7-1)</f>
        <v>70.7201051098658</v>
      </c>
      <c r="AQ61" s="16" t="n">
        <f aca="false">AQ42*3_Pricing!$F$10*Inputs!$C$47*Inputs!$C$123*(1+Inputs!$C$48)^(AQ7-1)</f>
        <v>70.7201051098658</v>
      </c>
      <c r="AR61" s="16" t="n">
        <f aca="false">AR42*3_Pricing!$F$10*Inputs!$C$47*Inputs!$C$123*(1+Inputs!$C$48)^(AR7-1)</f>
        <v>70.7201051098658</v>
      </c>
      <c r="AS61" s="16" t="n">
        <f aca="false">AS42*3_Pricing!$F$10*Inputs!$C$47*Inputs!$C$123*(1+Inputs!$C$48)^(AS7-1)</f>
        <v>70.7201051098658</v>
      </c>
      <c r="AT61" s="16" t="n">
        <f aca="false">AT42*3_Pricing!$F$10*Inputs!$C$47*Inputs!$C$123*(1+Inputs!$C$48)^(AT7-1)</f>
        <v>70.7201051098658</v>
      </c>
      <c r="AU61" s="16" t="n">
        <f aca="false">AU42*3_Pricing!$F$10*Inputs!$C$47*Inputs!$C$123*(1+Inputs!$C$48)^(AU7-1)</f>
        <v>70.7201051098658</v>
      </c>
      <c r="AV61" s="16" t="n">
        <f aca="false">AV42*3_Pricing!$F$10*Inputs!$C$47*Inputs!$C$123*(1+Inputs!$C$48)^(AV7-1)</f>
        <v>98.4842923654013</v>
      </c>
      <c r="AW61" s="16" t="n">
        <f aca="false">AW42*3_Pricing!$F$10*Inputs!$C$47*Inputs!$C$123*(1+Inputs!$C$48)^(AW7-1)</f>
        <v>103.183092240401</v>
      </c>
      <c r="AX61" s="16" t="n">
        <f aca="false">AX42*3_Pricing!$F$10*Inputs!$C$47*Inputs!$C$123*(1+Inputs!$C$48)^(AX7-1)</f>
        <v>107.881892115401</v>
      </c>
      <c r="AY61" s="16" t="n">
        <f aca="false">AY42*3_Pricing!$F$10*Inputs!$C$47*Inputs!$C$123*(1+Inputs!$C$48)^(AY7-1)</f>
        <v>112.580691990401</v>
      </c>
      <c r="AZ61" s="16" t="n">
        <f aca="false">AZ42*3_Pricing!$F$10*Inputs!$C$47*Inputs!$C$123*(1+Inputs!$C$48)^(AZ7-1)</f>
        <v>123.143466458671</v>
      </c>
      <c r="BA61" s="16" t="n">
        <f aca="false">BA42*3_Pricing!$F$10*Inputs!$C$47*Inputs!$C$123*(1+Inputs!$C$48)^(BA7-1)</f>
        <v>128.077206327421</v>
      </c>
      <c r="BB61" s="16" t="n">
        <f aca="false">BB42*3_Pricing!$F$10*Inputs!$C$47*Inputs!$C$123*(1+Inputs!$C$48)^(BB7-1)</f>
        <v>128.077206327421</v>
      </c>
      <c r="BC61" s="16" t="n">
        <f aca="false">BC42*3_Pricing!$F$10*Inputs!$C$47*Inputs!$C$123*(1+Inputs!$C$48)^(BC7-1)</f>
        <v>128.077206327421</v>
      </c>
      <c r="BD61" s="16" t="n">
        <f aca="false">BD42*3_Pricing!$F$10*Inputs!$C$47*Inputs!$C$123*(1+Inputs!$C$48)^(BD7-1)</f>
        <v>128.077206327421</v>
      </c>
      <c r="BE61" s="16" t="n">
        <f aca="false">BE42*3_Pricing!$F$10*Inputs!$C$47*Inputs!$C$123*(1+Inputs!$C$48)^(BE7-1)</f>
        <v>128.077206327421</v>
      </c>
      <c r="BF61" s="16" t="n">
        <f aca="false">BF42*3_Pricing!$F$10*Inputs!$C$47*Inputs!$C$123*(1+Inputs!$C$48)^(BF7-1)</f>
        <v>128.077206327421</v>
      </c>
      <c r="BG61" s="16" t="n">
        <f aca="false">BG42*3_Pricing!$F$10*Inputs!$C$47*Inputs!$C$123*(1+Inputs!$C$48)^(BG7-1)</f>
        <v>128.077206327421</v>
      </c>
      <c r="BH61" s="16" t="n">
        <f aca="false">BH42*3_Pricing!$F$10*Inputs!$C$47*Inputs!$C$123*(1+Inputs!$C$48)^(BH7-1)</f>
        <v>156.61288546214</v>
      </c>
      <c r="BI61" s="16" t="n">
        <f aca="false">BI42*3_Pricing!$F$10*Inputs!$C$47*Inputs!$C$123*(1+Inputs!$C$48)^(BI7-1)</f>
        <v>160.929907847296</v>
      </c>
      <c r="BJ61" s="16" t="n">
        <f aca="false">BJ42*3_Pricing!$F$10*Inputs!$C$47*Inputs!$C$123*(1+Inputs!$C$48)^(BJ7-1)</f>
        <v>165.246930232452</v>
      </c>
      <c r="BK61" s="16" t="n">
        <f aca="false">BK42*3_Pricing!$F$10*Inputs!$C$47*Inputs!$C$123*(1+Inputs!$C$48)^(BK7-1)</f>
        <v>169.563952617609</v>
      </c>
    </row>
    <row r="62" customFormat="false" ht="15" hidden="false" customHeight="true" outlineLevel="0" collapsed="false">
      <c r="A62" s="12" t="s">
        <v>1940</v>
      </c>
      <c r="B62" s="4" t="s">
        <v>44</v>
      </c>
      <c r="D62" s="16" t="n">
        <f aca="false">D28*Inputs!$C$51/D27</f>
        <v>0</v>
      </c>
      <c r="E62" s="16" t="n">
        <f aca="false">E28*Inputs!$C$51/E27</f>
        <v>0</v>
      </c>
      <c r="F62" s="16" t="n">
        <f aca="false">F28*Inputs!$C$51/F27</f>
        <v>0</v>
      </c>
      <c r="G62" s="16" t="n">
        <f aca="false">G28*Inputs!$C$51/G27</f>
        <v>0.375</v>
      </c>
      <c r="H62" s="16" t="n">
        <f aca="false">H28*Inputs!$C$51/H27</f>
        <v>0.75</v>
      </c>
      <c r="I62" s="16" t="n">
        <f aca="false">I28*Inputs!$C$51/I27</f>
        <v>1.125</v>
      </c>
      <c r="J62" s="16" t="n">
        <f aca="false">J28*Inputs!$C$51/J27</f>
        <v>1.25</v>
      </c>
      <c r="K62" s="16" t="n">
        <f aca="false">K28*Inputs!$C$51/K27</f>
        <v>1.5</v>
      </c>
      <c r="L62" s="16" t="n">
        <f aca="false">L28*Inputs!$C$51/L27</f>
        <v>1.875</v>
      </c>
      <c r="M62" s="16" t="n">
        <f aca="false">M28*Inputs!$C$51/M27</f>
        <v>2.25</v>
      </c>
      <c r="N62" s="16" t="n">
        <f aca="false">N28*Inputs!$C$51/N27</f>
        <v>2.625</v>
      </c>
      <c r="O62" s="16" t="n">
        <f aca="false">O28*Inputs!$C$51/O27</f>
        <v>3</v>
      </c>
      <c r="P62" s="16" t="n">
        <f aca="false">P28*Inputs!$C$51/P27</f>
        <v>3.25</v>
      </c>
      <c r="Q62" s="16" t="n">
        <f aca="false">Q28*Inputs!$C$51/Q27</f>
        <v>3.375</v>
      </c>
      <c r="R62" s="16" t="n">
        <f aca="false">R28*Inputs!$C$51/R27</f>
        <v>3.375</v>
      </c>
      <c r="S62" s="16" t="n">
        <f aca="false">S28*Inputs!$C$51/S27</f>
        <v>6.20439133333333</v>
      </c>
      <c r="T62" s="16" t="n">
        <f aca="false">T28*Inputs!$C$51/T27</f>
        <v>9.40878266666667</v>
      </c>
      <c r="U62" s="16" t="n">
        <f aca="false">U28*Inputs!$C$51/U27</f>
        <v>12.988174</v>
      </c>
      <c r="V62" s="16" t="n">
        <f aca="false">V28*Inputs!$C$51/V27</f>
        <v>14.113174</v>
      </c>
      <c r="W62" s="16" t="n">
        <f aca="false">W28*Inputs!$C$51/W27</f>
        <v>15.238174</v>
      </c>
      <c r="X62" s="16" t="n">
        <f aca="false">X28*Inputs!$C$51/X27</f>
        <v>16.363174</v>
      </c>
      <c r="Y62" s="16" t="n">
        <f aca="false">Y28*Inputs!$C$51/Y27</f>
        <v>17.113174</v>
      </c>
      <c r="Z62" s="16" t="n">
        <f aca="false">Z28*Inputs!$C$51/Z27</f>
        <v>17.488174</v>
      </c>
      <c r="AA62" s="16" t="n">
        <f aca="false">AA28*Inputs!$C$51/AA27</f>
        <v>17.488174</v>
      </c>
      <c r="AB62" s="16" t="n">
        <f aca="false">AB28*Inputs!$C$51/AB27</f>
        <v>17.488174</v>
      </c>
      <c r="AC62" s="16" t="n">
        <f aca="false">AC28*Inputs!$C$51/AC27</f>
        <v>17.488174</v>
      </c>
      <c r="AD62" s="16" t="n">
        <f aca="false">AD28*Inputs!$C$51/AD27</f>
        <v>17.488174</v>
      </c>
      <c r="AE62" s="16" t="n">
        <f aca="false">AE28*Inputs!$C$51/AE27</f>
        <v>22.9594566666667</v>
      </c>
      <c r="AF62" s="16" t="n">
        <f aca="false">AF28*Inputs!$C$51/AF27</f>
        <v>29.1807393333333</v>
      </c>
      <c r="AG62" s="16" t="n">
        <f aca="false">AG28*Inputs!$C$51/AG27</f>
        <v>36.152022</v>
      </c>
      <c r="AH62" s="16" t="n">
        <f aca="false">AH28*Inputs!$C$51/AH27</f>
        <v>38.402022</v>
      </c>
      <c r="AI62" s="16" t="n">
        <f aca="false">AI28*Inputs!$C$51/AI27</f>
        <v>40.652022</v>
      </c>
      <c r="AJ62" s="16" t="n">
        <f aca="false">AJ28*Inputs!$C$51/AJ27</f>
        <v>42.902022</v>
      </c>
      <c r="AK62" s="16" t="n">
        <f aca="false">AK28*Inputs!$C$51/AK27</f>
        <v>44.402022</v>
      </c>
      <c r="AL62" s="16" t="n">
        <f aca="false">AL28*Inputs!$C$51/AL27</f>
        <v>45.152022</v>
      </c>
      <c r="AM62" s="16" t="n">
        <f aca="false">AM28*Inputs!$C$51/AM27</f>
        <v>45.152022</v>
      </c>
      <c r="AN62" s="16" t="n">
        <f aca="false">AN28*Inputs!$C$51/AN27</f>
        <v>45.152022</v>
      </c>
      <c r="AO62" s="16" t="n">
        <f aca="false">AO28*Inputs!$C$51/AO27</f>
        <v>45.152022</v>
      </c>
      <c r="AP62" s="16" t="n">
        <f aca="false">AP28*Inputs!$C$51/AP27</f>
        <v>45.152022</v>
      </c>
      <c r="AQ62" s="16" t="n">
        <f aca="false">AQ28*Inputs!$C$51/AQ27</f>
        <v>51.0608046666667</v>
      </c>
      <c r="AR62" s="16" t="n">
        <f aca="false">AR28*Inputs!$C$51/AR27</f>
        <v>57.9695873333333</v>
      </c>
      <c r="AS62" s="16" t="n">
        <f aca="false">AS28*Inputs!$C$51/AS27</f>
        <v>65.87837</v>
      </c>
      <c r="AT62" s="16" t="n">
        <f aca="false">AT28*Inputs!$C$51/AT27</f>
        <v>68.87837</v>
      </c>
      <c r="AU62" s="16" t="n">
        <f aca="false">AU28*Inputs!$C$51/AU27</f>
        <v>71.87837</v>
      </c>
      <c r="AV62" s="16" t="n">
        <f aca="false">AV28*Inputs!$C$51/AV27</f>
        <v>74.87837</v>
      </c>
      <c r="AW62" s="16" t="n">
        <f aca="false">AW28*Inputs!$C$51/AW27</f>
        <v>76.87837</v>
      </c>
      <c r="AX62" s="16" t="n">
        <f aca="false">AX28*Inputs!$C$51/AX27</f>
        <v>77.87837</v>
      </c>
      <c r="AY62" s="16" t="n">
        <f aca="false">AY28*Inputs!$C$51/AY27</f>
        <v>77.87837</v>
      </c>
      <c r="AZ62" s="16" t="n">
        <f aca="false">AZ28*Inputs!$C$51/AZ27</f>
        <v>77.87837</v>
      </c>
      <c r="BA62" s="16" t="n">
        <f aca="false">BA28*Inputs!$C$51/BA27</f>
        <v>77.87837</v>
      </c>
      <c r="BB62" s="16" t="n">
        <f aca="false">BB28*Inputs!$C$51/BB27</f>
        <v>77.87837</v>
      </c>
      <c r="BC62" s="16" t="n">
        <f aca="false">BC28*Inputs!$C$51/BC27</f>
        <v>83.6621526666667</v>
      </c>
      <c r="BD62" s="16" t="n">
        <f aca="false">BD28*Inputs!$C$51/BD27</f>
        <v>90.3209353333333</v>
      </c>
      <c r="BE62" s="16" t="n">
        <f aca="false">BE28*Inputs!$C$51/BE27</f>
        <v>97.854718</v>
      </c>
      <c r="BF62" s="16" t="n">
        <f aca="false">BF28*Inputs!$C$51/BF27</f>
        <v>100.479718</v>
      </c>
      <c r="BG62" s="16" t="n">
        <f aca="false">BG28*Inputs!$C$51/BG27</f>
        <v>103.104718</v>
      </c>
      <c r="BH62" s="16" t="n">
        <f aca="false">BH28*Inputs!$C$51/BH27</f>
        <v>105.729718</v>
      </c>
      <c r="BI62" s="16" t="n">
        <f aca="false">BI28*Inputs!$C$51/BI27</f>
        <v>107.479718</v>
      </c>
      <c r="BJ62" s="16" t="n">
        <f aca="false">BJ28*Inputs!$C$51/BJ27</f>
        <v>108.354718</v>
      </c>
      <c r="BK62" s="16" t="n">
        <f aca="false">BK28*Inputs!$C$51/BK27</f>
        <v>108.354718</v>
      </c>
    </row>
    <row r="63" customFormat="false" ht="15" hidden="false" customHeight="true" outlineLevel="0" collapsed="false">
      <c r="A63" s="12" t="s">
        <v>1941</v>
      </c>
      <c r="B63" s="4" t="s">
        <v>44</v>
      </c>
      <c r="D63" s="16" t="n">
        <f aca="false">D42*Inputs!$C$41*Inputs!$C$43*(1+Inputs!$C$44)</f>
        <v>0</v>
      </c>
      <c r="E63" s="16" t="n">
        <f aca="false">E42*Inputs!$C$41*Inputs!$C$43*(1+Inputs!$C$44)</f>
        <v>0</v>
      </c>
      <c r="F63" s="16" t="n">
        <f aca="false">F42*Inputs!$C$41*Inputs!$C$43*(1+Inputs!$C$44)</f>
        <v>0</v>
      </c>
      <c r="G63" s="16" t="n">
        <f aca="false">G42*Inputs!$C$41*Inputs!$C$43*(1+Inputs!$C$44)</f>
        <v>0</v>
      </c>
      <c r="H63" s="16" t="n">
        <f aca="false">H42*Inputs!$C$41*Inputs!$C$43*(1+Inputs!$C$44)</f>
        <v>0</v>
      </c>
      <c r="I63" s="16" t="n">
        <f aca="false">I42*Inputs!$C$41*Inputs!$C$43*(1+Inputs!$C$44)</f>
        <v>0</v>
      </c>
      <c r="J63" s="16" t="n">
        <f aca="false">J42*Inputs!$C$41*Inputs!$C$43*(1+Inputs!$C$44)</f>
        <v>0</v>
      </c>
      <c r="K63" s="16" t="n">
        <f aca="false">K42*Inputs!$C$41*Inputs!$C$43*(1+Inputs!$C$44)</f>
        <v>0</v>
      </c>
      <c r="L63" s="16" t="n">
        <f aca="false">L42*Inputs!$C$41*Inputs!$C$43*(1+Inputs!$C$44)</f>
        <v>0.4764375</v>
      </c>
      <c r="M63" s="16" t="n">
        <f aca="false">M42*Inputs!$C$41*Inputs!$C$43*(1+Inputs!$C$44)</f>
        <v>0.4764375</v>
      </c>
      <c r="N63" s="16" t="n">
        <f aca="false">N42*Inputs!$C$41*Inputs!$C$43*(1+Inputs!$C$44)</f>
        <v>0.4764375</v>
      </c>
      <c r="O63" s="16" t="n">
        <f aca="false">O42*Inputs!$C$41*Inputs!$C$43*(1+Inputs!$C$44)</f>
        <v>0.63525</v>
      </c>
      <c r="P63" s="16" t="n">
        <f aca="false">P42*Inputs!$C$41*Inputs!$C$43*(1+Inputs!$C$44)</f>
        <v>0.7940625</v>
      </c>
      <c r="Q63" s="16" t="n">
        <f aca="false">Q42*Inputs!$C$41*Inputs!$C$43*(1+Inputs!$C$44)</f>
        <v>0.952875</v>
      </c>
      <c r="R63" s="16" t="n">
        <f aca="false">R42*Inputs!$C$41*Inputs!$C$43*(1+Inputs!$C$44)</f>
        <v>1.1116875</v>
      </c>
      <c r="S63" s="16" t="n">
        <f aca="false">S42*Inputs!$C$41*Inputs!$C$43*(1+Inputs!$C$44)</f>
        <v>1.2705</v>
      </c>
      <c r="T63" s="16" t="n">
        <f aca="false">T42*Inputs!$C$41*Inputs!$C$43*(1+Inputs!$C$44)</f>
        <v>1.4293125</v>
      </c>
      <c r="U63" s="16" t="n">
        <f aca="false">U42*Inputs!$C$41*Inputs!$C$43*(1+Inputs!$C$44)</f>
        <v>1.4293125</v>
      </c>
      <c r="V63" s="16" t="n">
        <f aca="false">V42*Inputs!$C$41*Inputs!$C$43*(1+Inputs!$C$44)</f>
        <v>1.4293125</v>
      </c>
      <c r="W63" s="16" t="n">
        <f aca="false">W42*Inputs!$C$41*Inputs!$C$43*(1+Inputs!$C$44)</f>
        <v>1.4293125</v>
      </c>
      <c r="X63" s="16" t="n">
        <f aca="false">X42*Inputs!$C$41*Inputs!$C$43*(1+Inputs!$C$44)</f>
        <v>5.024054189</v>
      </c>
      <c r="Y63" s="16" t="n">
        <f aca="false">Y42*Inputs!$C$41*Inputs!$C$43*(1+Inputs!$C$44)</f>
        <v>5.500491689</v>
      </c>
      <c r="Z63" s="16" t="n">
        <f aca="false">Z42*Inputs!$C$41*Inputs!$C$43*(1+Inputs!$C$44)</f>
        <v>5.976929189</v>
      </c>
      <c r="AA63" s="16" t="n">
        <f aca="false">AA42*Inputs!$C$41*Inputs!$C$43*(1+Inputs!$C$44)</f>
        <v>6.453366689</v>
      </c>
      <c r="AB63" s="16" t="n">
        <f aca="false">AB42*Inputs!$C$41*Inputs!$C$43*(1+Inputs!$C$44)</f>
        <v>6.929804189</v>
      </c>
      <c r="AC63" s="16" t="n">
        <f aca="false">AC42*Inputs!$C$41*Inputs!$C$43*(1+Inputs!$C$44)</f>
        <v>7.406241689</v>
      </c>
      <c r="AD63" s="16" t="n">
        <f aca="false">AD42*Inputs!$C$41*Inputs!$C$43*(1+Inputs!$C$44)</f>
        <v>7.406241689</v>
      </c>
      <c r="AE63" s="16" t="n">
        <f aca="false">AE42*Inputs!$C$41*Inputs!$C$43*(1+Inputs!$C$44)</f>
        <v>7.406241689</v>
      </c>
      <c r="AF63" s="16" t="n">
        <f aca="false">AF42*Inputs!$C$41*Inputs!$C$43*(1+Inputs!$C$44)</f>
        <v>7.406241689</v>
      </c>
      <c r="AG63" s="16" t="n">
        <f aca="false">AG42*Inputs!$C$41*Inputs!$C$43*(1+Inputs!$C$44)</f>
        <v>7.406241689</v>
      </c>
      <c r="AH63" s="16" t="n">
        <f aca="false">AH42*Inputs!$C$41*Inputs!$C$43*(1+Inputs!$C$44)</f>
        <v>7.406241689</v>
      </c>
      <c r="AI63" s="16" t="n">
        <f aca="false">AI42*Inputs!$C$41*Inputs!$C$43*(1+Inputs!$C$44)</f>
        <v>7.406241689</v>
      </c>
      <c r="AJ63" s="16" t="n">
        <f aca="false">AJ42*Inputs!$C$41*Inputs!$C$43*(1+Inputs!$C$44)</f>
        <v>14.357506317</v>
      </c>
      <c r="AK63" s="16" t="n">
        <f aca="false">AK42*Inputs!$C$41*Inputs!$C$43*(1+Inputs!$C$44)</f>
        <v>15.310381317</v>
      </c>
      <c r="AL63" s="16" t="n">
        <f aca="false">AL42*Inputs!$C$41*Inputs!$C$43*(1+Inputs!$C$44)</f>
        <v>16.263256317</v>
      </c>
      <c r="AM63" s="16" t="n">
        <f aca="false">AM42*Inputs!$C$41*Inputs!$C$43*(1+Inputs!$C$44)</f>
        <v>17.216131317</v>
      </c>
      <c r="AN63" s="16" t="n">
        <f aca="false">AN42*Inputs!$C$41*Inputs!$C$43*(1+Inputs!$C$44)</f>
        <v>18.169006317</v>
      </c>
      <c r="AO63" s="16" t="n">
        <f aca="false">AO42*Inputs!$C$41*Inputs!$C$43*(1+Inputs!$C$44)</f>
        <v>19.121881317</v>
      </c>
      <c r="AP63" s="16" t="n">
        <f aca="false">AP42*Inputs!$C$41*Inputs!$C$43*(1+Inputs!$C$44)</f>
        <v>19.121881317</v>
      </c>
      <c r="AQ63" s="16" t="n">
        <f aca="false">AQ42*Inputs!$C$41*Inputs!$C$43*(1+Inputs!$C$44)</f>
        <v>19.121881317</v>
      </c>
      <c r="AR63" s="16" t="n">
        <f aca="false">AR42*Inputs!$C$41*Inputs!$C$43*(1+Inputs!$C$44)</f>
        <v>19.121881317</v>
      </c>
      <c r="AS63" s="16" t="n">
        <f aca="false">AS42*Inputs!$C$41*Inputs!$C$43*(1+Inputs!$C$44)</f>
        <v>19.121881317</v>
      </c>
      <c r="AT63" s="16" t="n">
        <f aca="false">AT42*Inputs!$C$41*Inputs!$C$43*(1+Inputs!$C$44)</f>
        <v>19.121881317</v>
      </c>
      <c r="AU63" s="16" t="n">
        <f aca="false">AU42*Inputs!$C$41*Inputs!$C$43*(1+Inputs!$C$44)</f>
        <v>19.121881317</v>
      </c>
      <c r="AV63" s="16" t="n">
        <f aca="false">AV42*Inputs!$C$41*Inputs!$C$43*(1+Inputs!$C$44)</f>
        <v>26.628989695</v>
      </c>
      <c r="AW63" s="16" t="n">
        <f aca="false">AW42*Inputs!$C$41*Inputs!$C$43*(1+Inputs!$C$44)</f>
        <v>27.899489695</v>
      </c>
      <c r="AX63" s="16" t="n">
        <f aca="false">AX42*Inputs!$C$41*Inputs!$C$43*(1+Inputs!$C$44)</f>
        <v>29.169989695</v>
      </c>
      <c r="AY63" s="16" t="n">
        <f aca="false">AY42*Inputs!$C$41*Inputs!$C$43*(1+Inputs!$C$44)</f>
        <v>30.440489695</v>
      </c>
      <c r="AZ63" s="16" t="n">
        <f aca="false">AZ42*Inputs!$C$41*Inputs!$C$43*(1+Inputs!$C$44)</f>
        <v>31.710989695</v>
      </c>
      <c r="BA63" s="16" t="n">
        <f aca="false">BA42*Inputs!$C$41*Inputs!$C$43*(1+Inputs!$C$44)</f>
        <v>32.981489695</v>
      </c>
      <c r="BB63" s="16" t="n">
        <f aca="false">BB42*Inputs!$C$41*Inputs!$C$43*(1+Inputs!$C$44)</f>
        <v>32.981489695</v>
      </c>
      <c r="BC63" s="16" t="n">
        <f aca="false">BC42*Inputs!$C$41*Inputs!$C$43*(1+Inputs!$C$44)</f>
        <v>32.981489695</v>
      </c>
      <c r="BD63" s="16" t="n">
        <f aca="false">BD42*Inputs!$C$41*Inputs!$C$43*(1+Inputs!$C$44)</f>
        <v>32.981489695</v>
      </c>
      <c r="BE63" s="16" t="n">
        <f aca="false">BE42*Inputs!$C$41*Inputs!$C$43*(1+Inputs!$C$44)</f>
        <v>32.981489695</v>
      </c>
      <c r="BF63" s="16" t="n">
        <f aca="false">BF42*Inputs!$C$41*Inputs!$C$43*(1+Inputs!$C$44)</f>
        <v>32.981489695</v>
      </c>
      <c r="BG63" s="16" t="n">
        <f aca="false">BG42*Inputs!$C$41*Inputs!$C$43*(1+Inputs!$C$44)</f>
        <v>32.981489695</v>
      </c>
      <c r="BH63" s="16" t="n">
        <f aca="false">BH42*Inputs!$C$41*Inputs!$C$43*(1+Inputs!$C$44)</f>
        <v>40.329785573</v>
      </c>
      <c r="BI63" s="16" t="n">
        <f aca="false">BI42*Inputs!$C$41*Inputs!$C$43*(1+Inputs!$C$44)</f>
        <v>41.441473073</v>
      </c>
      <c r="BJ63" s="16" t="n">
        <f aca="false">BJ42*Inputs!$C$41*Inputs!$C$43*(1+Inputs!$C$44)</f>
        <v>42.553160573</v>
      </c>
      <c r="BK63" s="16" t="n">
        <f aca="false">BK42*Inputs!$C$41*Inputs!$C$43*(1+Inputs!$C$44)</f>
        <v>43.664848073</v>
      </c>
    </row>
    <row r="64" customFormat="false" ht="15" hidden="false" customHeight="true" outlineLevel="0" collapsed="false">
      <c r="A64" s="12" t="s">
        <v>1942</v>
      </c>
      <c r="B64" s="4" t="s">
        <v>44</v>
      </c>
      <c r="D64" s="16" t="n">
        <f aca="false">D49*Inputs!$C$52</f>
        <v>0</v>
      </c>
      <c r="E64" s="16" t="n">
        <f aca="false">E49*Inputs!$C$52</f>
        <v>0</v>
      </c>
      <c r="F64" s="16" t="n">
        <f aca="false">F49*Inputs!$C$52</f>
        <v>0</v>
      </c>
      <c r="G64" s="16" t="n">
        <f aca="false">G49*Inputs!$C$52</f>
        <v>0</v>
      </c>
      <c r="H64" s="16" t="n">
        <f aca="false">H49*Inputs!$C$52</f>
        <v>0</v>
      </c>
      <c r="I64" s="16" t="n">
        <f aca="false">I49*Inputs!$C$52</f>
        <v>0</v>
      </c>
      <c r="J64" s="16" t="n">
        <f aca="false">J49*Inputs!$C$52</f>
        <v>0</v>
      </c>
      <c r="K64" s="16" t="n">
        <f aca="false">K49*Inputs!$C$52</f>
        <v>0</v>
      </c>
      <c r="L64" s="16" t="n">
        <f aca="false">L49*Inputs!$C$52</f>
        <v>0.03596484375</v>
      </c>
      <c r="M64" s="16" t="n">
        <f aca="false">M49*Inputs!$C$52</f>
        <v>0.0716481395855733</v>
      </c>
      <c r="N64" s="16" t="n">
        <f aca="false">N49*Inputs!$C$52</f>
        <v>0.10705209158214</v>
      </c>
      <c r="O64" s="16" t="n">
        <f aca="false">O49*Inputs!$C$52</f>
        <v>0.154167167810693</v>
      </c>
      <c r="P64" s="16" t="n">
        <f aca="false">P49*Inputs!$C$52</f>
        <v>0.212901688668061</v>
      </c>
      <c r="Q64" s="16" t="n">
        <f aca="false">Q49*Inputs!$C$52</f>
        <v>0.283164692257543</v>
      </c>
      <c r="R64" s="16" t="n">
        <f aca="false">R49*Inputs!$C$52</f>
        <v>0.364865928770401</v>
      </c>
      <c r="S64" s="16" t="n">
        <f aca="false">S49*Inputs!$C$52</f>
        <v>0.457915854911336</v>
      </c>
      <c r="T64" s="16" t="n">
        <f aca="false">T49*Inputs!$C$52</f>
        <v>0.562225628367603</v>
      </c>
      <c r="U64" s="16" t="n">
        <f aca="false">U49*Inputs!$C$52</f>
        <v>0.665718821071424</v>
      </c>
      <c r="V64" s="16" t="n">
        <f aca="false">V49*Inputs!$C$52</f>
        <v>0.768401825560175</v>
      </c>
      <c r="W64" s="16" t="n">
        <f aca="false">W49*Inputs!$C$52</f>
        <v>0.870280984327758</v>
      </c>
      <c r="X64" s="16" t="n">
        <f aca="false">X49*Inputs!$C$52</f>
        <v>1.24271890277887</v>
      </c>
      <c r="Y64" s="16" t="n">
        <f aca="false">Y49*Inputs!$C$52</f>
        <v>1.64820606440287</v>
      </c>
      <c r="Z64" s="16" t="n">
        <f aca="false">Z49*Inputs!$C$52</f>
        <v>2.08648374583219</v>
      </c>
      <c r="AA64" s="16" t="n">
        <f aca="false">AA49*Inputs!$C$52</f>
        <v>2.55729524909456</v>
      </c>
      <c r="AB64" s="16" t="n">
        <f aca="false">AB49*Inputs!$C$52</f>
        <v>3.06038588575731</v>
      </c>
      <c r="AC64" s="16" t="n">
        <f aca="false">AC49*Inputs!$C$52</f>
        <v>3.5955029611959</v>
      </c>
      <c r="AD64" s="16" t="n">
        <f aca="false">AD49*Inputs!$C$52</f>
        <v>4.12643091523552</v>
      </c>
      <c r="AE64" s="16" t="n">
        <f aca="false">AE49*Inputs!$C$52</f>
        <v>4.65320254207933</v>
      </c>
      <c r="AF64" s="16" t="n">
        <f aca="false">AF49*Inputs!$C$52</f>
        <v>5.17585037920373</v>
      </c>
      <c r="AG64" s="16" t="n">
        <f aca="false">AG49*Inputs!$C$52</f>
        <v>5.69440670936802</v>
      </c>
      <c r="AH64" s="16" t="n">
        <f aca="false">AH49*Inputs!$C$52</f>
        <v>6.20890356260853</v>
      </c>
      <c r="AI64" s="16" t="n">
        <f aca="false">AI49*Inputs!$C$52</f>
        <v>6.71937271821699</v>
      </c>
      <c r="AJ64" s="16" t="n">
        <f aca="false">AJ49*Inputs!$C$52</f>
        <v>7.75057590995347</v>
      </c>
      <c r="AK64" s="16" t="n">
        <f aca="false">AK49*Inputs!$C$52</f>
        <v>8.84563609714653</v>
      </c>
      <c r="AL64" s="16" t="n">
        <f aca="false">AL49*Inputs!$C$52</f>
        <v>10.0040533803939</v>
      </c>
      <c r="AM64" s="16" t="n">
        <f aca="false">AM49*Inputs!$C$52</f>
        <v>11.2253317737161</v>
      </c>
      <c r="AN64" s="16" t="n">
        <f aca="false">AN49*Inputs!$C$52</f>
        <v>12.5089791739201</v>
      </c>
      <c r="AO64" s="16" t="n">
        <f aca="false">AO49*Inputs!$C$52</f>
        <v>13.8545073302038</v>
      </c>
      <c r="AP64" s="16" t="n">
        <f aca="false">AP49*Inputs!$C$52</f>
        <v>15.1895021264974</v>
      </c>
      <c r="AQ64" s="16" t="n">
        <f aca="false">AQ49*Inputs!$C$52</f>
        <v>16.5140460223707</v>
      </c>
      <c r="AR64" s="16" t="n">
        <f aca="false">AR49*Inputs!$C$52</f>
        <v>17.8282208318649</v>
      </c>
      <c r="AS64" s="16" t="n">
        <f aca="false">AS49*Inputs!$C$52</f>
        <v>19.132107728547</v>
      </c>
      <c r="AT64" s="16" t="n">
        <f aca="false">AT49*Inputs!$C$52</f>
        <v>20.4257872505227</v>
      </c>
      <c r="AU64" s="16" t="n">
        <f aca="false">AU49*Inputs!$C$52</f>
        <v>21.709339305412</v>
      </c>
      <c r="AV64" s="16" t="n">
        <f aca="false">AV49*Inputs!$C$52</f>
        <v>23.5495323629091</v>
      </c>
      <c r="AW64" s="16" t="n">
        <f aca="false">AW49*Inputs!$C$52</f>
        <v>25.4712258656409</v>
      </c>
      <c r="AX64" s="16" t="n">
        <f aca="false">AX49*Inputs!$C$52</f>
        <v>27.4737817938638</v>
      </c>
      <c r="AY64" s="16" t="n">
        <f aca="false">AY49*Inputs!$C$52</f>
        <v>29.5565671225213</v>
      </c>
      <c r="AZ64" s="16" t="n">
        <f aca="false">AZ49*Inputs!$C$52</f>
        <v>31.7189537821429</v>
      </c>
      <c r="BA64" s="16" t="n">
        <f aca="false">BA49*Inputs!$C$52</f>
        <v>33.96031862005</v>
      </c>
      <c r="BB64" s="16" t="n">
        <f aca="false">BB49*Inputs!$C$52</f>
        <v>36.1841371118651</v>
      </c>
      <c r="BC64" s="16" t="n">
        <f aca="false">BC49*Inputs!$C$52</f>
        <v>38.3905466177608</v>
      </c>
      <c r="BD64" s="16" t="n">
        <f aca="false">BD49*Inputs!$C$52</f>
        <v>40.5796834225968</v>
      </c>
      <c r="BE64" s="16" t="n">
        <f aca="false">BE49*Inputs!$C$52</f>
        <v>42.7516827443373</v>
      </c>
      <c r="BF64" s="16" t="n">
        <f aca="false">BF49*Inputs!$C$52</f>
        <v>44.9066787424037</v>
      </c>
      <c r="BG64" s="16" t="n">
        <f aca="false">BG49*Inputs!$C$52</f>
        <v>47.0448045259608</v>
      </c>
      <c r="BH64" s="16" t="n">
        <f aca="false">BH49*Inputs!$C$52</f>
        <v>49.7208930685141</v>
      </c>
      <c r="BI64" s="16" t="n">
        <f aca="false">BI49*Inputs!$C$52</f>
        <v>52.4599500338326</v>
      </c>
      <c r="BJ64" s="16" t="n">
        <f aca="false">BJ49*Inputs!$C$52</f>
        <v>55.2614824786346</v>
      </c>
      <c r="BK64" s="16" t="n">
        <f aca="false">BK49*Inputs!$C$52</f>
        <v>58.1250013186056</v>
      </c>
    </row>
    <row r="65" customFormat="false" ht="15" hidden="false" customHeight="true" outlineLevel="0" collapsed="false">
      <c r="A65" s="5" t="s">
        <v>1943</v>
      </c>
      <c r="B65" s="4" t="s">
        <v>44</v>
      </c>
      <c r="D65" s="54" t="n">
        <f aca="false">D60+D61+D62+D63+D64</f>
        <v>0</v>
      </c>
      <c r="E65" s="54" t="n">
        <f aca="false">E60+E61+E62+E63+E64</f>
        <v>0</v>
      </c>
      <c r="F65" s="54" t="n">
        <f aca="false">F60+F61+F62+F63+F64</f>
        <v>0</v>
      </c>
      <c r="G65" s="54" t="n">
        <f aca="false">G60+G61+G62+G63+G64</f>
        <v>0.375</v>
      </c>
      <c r="H65" s="54" t="n">
        <f aca="false">H60+H61+H62+H63+H64</f>
        <v>0.75</v>
      </c>
      <c r="I65" s="54" t="n">
        <f aca="false">I60+I61+I62+I63+I64</f>
        <v>1.125</v>
      </c>
      <c r="J65" s="54" t="n">
        <f aca="false">J60+J61+J62+J63+J64</f>
        <v>1.25</v>
      </c>
      <c r="K65" s="54" t="n">
        <f aca="false">K60+K61+K62+K63+K64</f>
        <v>1.5</v>
      </c>
      <c r="L65" s="54" t="n">
        <f aca="false">L60+L61+L62+L63+L64</f>
        <v>4.20601171875</v>
      </c>
      <c r="M65" s="54" t="n">
        <f aca="false">M60+M61+M62+M63+M64</f>
        <v>5.21078885972156</v>
      </c>
      <c r="N65" s="54" t="n">
        <f aca="false">N60+N61+N62+N63+N64</f>
        <v>6.21754111662281</v>
      </c>
      <c r="O65" s="54" t="n">
        <f aca="false">O60+O61+O62+O63+O64</f>
        <v>8.00328313772001</v>
      </c>
      <c r="P65" s="54" t="n">
        <f aca="false">P60+P61+P62+P63+P64</f>
        <v>10.0274982690324</v>
      </c>
      <c r="Q65" s="54" t="n">
        <f aca="false">Q60+Q61+Q62+Q63+Q64</f>
        <v>12.0675720696795</v>
      </c>
      <c r="R65" s="54" t="n">
        <f aca="false">R60+R61+R62+R63+R64</f>
        <v>14.2059995214398</v>
      </c>
      <c r="S65" s="54" t="n">
        <f aca="false">S60+S61+S62+S63+S64</f>
        <v>19.3978865882854</v>
      </c>
      <c r="T65" s="54" t="n">
        <f aca="false">T60+T61+T62+T63+T64</f>
        <v>25.1895603201733</v>
      </c>
      <c r="U65" s="54" t="n">
        <f aca="false">U60+U61+U62+U63+U64</f>
        <v>30.7744287966383</v>
      </c>
      <c r="V65" s="54" t="n">
        <f aca="false">V60+V61+V62+V63+V64</f>
        <v>33.9113133760633</v>
      </c>
      <c r="W65" s="54" t="n">
        <f aca="false">W60+W61+W62+W63+W64</f>
        <v>37.0546391236252</v>
      </c>
      <c r="X65" s="54" t="n">
        <f aca="false">X60+X61+X62+X63+X64</f>
        <v>58.4780991191777</v>
      </c>
      <c r="Y65" s="54" t="n">
        <f aca="false">Y60+Y61+Y62+Y63+Y64</f>
        <v>68.6571699597733</v>
      </c>
      <c r="Z65" s="54" t="n">
        <f aca="false">Z60+Z61+Z62+Z63+Z64</f>
        <v>79.1430181616804</v>
      </c>
      <c r="AA65" s="54" t="n">
        <f aca="false">AA60+AA61+AA62+AA63+AA64</f>
        <v>89.9378497939399</v>
      </c>
      <c r="AB65" s="54" t="n">
        <f aca="false">AB60+AB61+AB62+AB63+AB64</f>
        <v>102.80759929073</v>
      </c>
      <c r="AC65" s="54" t="n">
        <f aca="false">AC60+AC61+AC62+AC63+AC64</f>
        <v>115.526197268418</v>
      </c>
      <c r="AD65" s="54" t="n">
        <f aca="false">AD60+AD61+AD62+AD63+AD64</f>
        <v>126.45095738007</v>
      </c>
      <c r="AE65" s="54" t="n">
        <f aca="false">AE60+AE61+AE62+AE63+AE64</f>
        <v>142.88228621329</v>
      </c>
      <c r="AF65" s="54" t="n">
        <f aca="false">AF60+AF61+AF62+AF63+AF64</f>
        <v>160.099083314339</v>
      </c>
      <c r="AG65" s="54" t="n">
        <f aca="false">AG60+AG61+AG62+AG63+AG64</f>
        <v>178.101531209413</v>
      </c>
      <c r="AH65" s="54" t="n">
        <f aca="false">AH60+AH61+AH62+AH63+AH64</f>
        <v>191.418530075459</v>
      </c>
      <c r="AI65" s="54" t="n">
        <f aca="false">AI60+AI61+AI62+AI63+AI64</f>
        <v>204.771545744319</v>
      </c>
      <c r="AJ65" s="54" t="n">
        <f aca="false">AJ60+AJ61+AJ62+AJ63+AJ64</f>
        <v>254.890126833688</v>
      </c>
      <c r="AK65" s="54" t="n">
        <f aca="false">AK60+AK61+AK62+AK63+AK64</f>
        <v>282.677526415004</v>
      </c>
      <c r="AL65" s="54" t="n">
        <f aca="false">AL60+AL61+AL62+AL63+AL64</f>
        <v>311.165026407354</v>
      </c>
      <c r="AM65" s="54" t="n">
        <f aca="false">AM60+AM61+AM62+AM63+AM64</f>
        <v>340.357393220658</v>
      </c>
      <c r="AN65" s="54" t="n">
        <f aca="false">AN60+AN61+AN62+AN63+AN64</f>
        <v>374.832496068659</v>
      </c>
      <c r="AO65" s="54" t="n">
        <f aca="false">AO60+AO61+AO62+AO63+AO64</f>
        <v>408.398396425929</v>
      </c>
      <c r="AP65" s="54" t="n">
        <f aca="false">AP60+AP61+AP62+AP63+AP64</f>
        <v>438.268504257431</v>
      </c>
      <c r="AQ65" s="54" t="n">
        <f aca="false">AQ60+AQ61+AQ62+AQ63+AQ64</f>
        <v>474.145228539256</v>
      </c>
      <c r="AR65" s="54" t="n">
        <f aca="false">AR60+AR61+AR62+AR63+AR64</f>
        <v>511.120279336123</v>
      </c>
      <c r="AS65" s="54" t="n">
        <f aca="false">AS60+AS61+AS62+AS63+AS64</f>
        <v>549.194150298283</v>
      </c>
      <c r="AT65" s="54" t="n">
        <f aca="false">AT60+AT61+AT62+AT63+AT64</f>
        <v>582.458553339124</v>
      </c>
      <c r="AU65" s="54" t="n">
        <f aca="false">AU60+AU61+AU62+AU63+AU64</f>
        <v>615.822766646079</v>
      </c>
      <c r="AV65" s="54" t="n">
        <f aca="false">AV60+AV61+AV62+AV63+AV64</f>
        <v>690.53326869153</v>
      </c>
      <c r="AW65" s="54" t="n">
        <f aca="false">AW60+AW61+AW62+AW63+AW64</f>
        <v>741.477815764042</v>
      </c>
      <c r="AX65" s="54" t="n">
        <f aca="false">AX60+AX61+AX62+AX63+AX64</f>
        <v>793.489509296796</v>
      </c>
      <c r="AY65" s="54" t="n">
        <f aca="false">AY60+AY61+AY62+AY63+AY64</f>
        <v>846.575253790132</v>
      </c>
      <c r="AZ65" s="54" t="n">
        <f aca="false">AZ60+AZ61+AZ62+AZ63+AZ64</f>
        <v>908.748165619834</v>
      </c>
      <c r="BA65" s="54" t="n">
        <f aca="false">BA60+BA61+BA62+BA63+BA64</f>
        <v>968.572304064431</v>
      </c>
      <c r="BB65" s="54" t="n">
        <f aca="false">BB60+BB61+BB62+BB63+BB64</f>
        <v>1023.33063652956</v>
      </c>
      <c r="BC65" s="54" t="n">
        <f aca="false">BC60+BC61+BC62+BC63+BC64</f>
        <v>1084.05469998101</v>
      </c>
      <c r="BD65" s="54" t="n">
        <f aca="false">BD60+BD61+BD62+BD63+BD64</f>
        <v>1145.83660455553</v>
      </c>
      <c r="BE65" s="54" t="n">
        <f aca="false">BE60+BE61+BE62+BE63+BE64</f>
        <v>1208.67724486049</v>
      </c>
      <c r="BF65" s="54" t="n">
        <f aca="false">BF60+BF61+BF62+BF63+BF64</f>
        <v>1266.79373465975</v>
      </c>
      <c r="BG65" s="54" t="n">
        <f aca="false">BG60+BG61+BG62+BG63+BG64</f>
        <v>1325.09575489293</v>
      </c>
      <c r="BH65" s="54" t="n">
        <f aca="false">BH60+BH61+BH62+BH63+BH64</f>
        <v>1425.58115244781</v>
      </c>
      <c r="BI65" s="54" t="n">
        <f aca="false">BI60+BI61+BI62+BI63+BI64</f>
        <v>1501.42343971073</v>
      </c>
      <c r="BJ65" s="54" t="n">
        <f aca="false">BJ60+BJ61+BJ62+BJ63+BJ64</f>
        <v>1578.38513883544</v>
      </c>
      <c r="BK65" s="54" t="n">
        <f aca="false">BK60+BK61+BK62+BK63+BK64</f>
        <v>1656.47309202525</v>
      </c>
    </row>
    <row r="67" customFormat="false" ht="15" hidden="false" customHeight="true" outlineLevel="0" collapsed="false">
      <c r="A67" s="10" t="s">
        <v>1944</v>
      </c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customFormat="false" ht="15" hidden="false" customHeight="true" outlineLevel="0" collapsed="false">
      <c r="A68" s="12" t="s">
        <v>1945</v>
      </c>
      <c r="B68" s="4" t="s">
        <v>37</v>
      </c>
      <c r="D68" s="18" t="n">
        <f aca="false">(1+Inputs!$C$13)^(D7-1)</f>
        <v>1</v>
      </c>
      <c r="E68" s="18" t="n">
        <f aca="false">(1+Inputs!$C$13)^(E7-1)</f>
        <v>1</v>
      </c>
      <c r="F68" s="18" t="n">
        <f aca="false">(1+Inputs!$C$13)^(F7-1)</f>
        <v>1</v>
      </c>
      <c r="G68" s="18" t="n">
        <f aca="false">(1+Inputs!$C$13)^(G7-1)</f>
        <v>1</v>
      </c>
      <c r="H68" s="18" t="n">
        <f aca="false">(1+Inputs!$C$13)^(H7-1)</f>
        <v>1</v>
      </c>
      <c r="I68" s="18" t="n">
        <f aca="false">(1+Inputs!$C$13)^(I7-1)</f>
        <v>1</v>
      </c>
      <c r="J68" s="18" t="n">
        <f aca="false">(1+Inputs!$C$13)^(J7-1)</f>
        <v>1</v>
      </c>
      <c r="K68" s="18" t="n">
        <f aca="false">(1+Inputs!$C$13)^(K7-1)</f>
        <v>1</v>
      </c>
      <c r="L68" s="18" t="n">
        <f aca="false">(1+Inputs!$C$13)^(L7-1)</f>
        <v>1</v>
      </c>
      <c r="M68" s="18" t="n">
        <f aca="false">(1+Inputs!$C$13)^(M7-1)</f>
        <v>1</v>
      </c>
      <c r="N68" s="18" t="n">
        <f aca="false">(1+Inputs!$C$13)^(N7-1)</f>
        <v>1</v>
      </c>
      <c r="O68" s="18" t="n">
        <f aca="false">(1+Inputs!$C$13)^(O7-1)</f>
        <v>1</v>
      </c>
      <c r="P68" s="18" t="n">
        <f aca="false">(1+Inputs!$C$13)^(P7-1)</f>
        <v>1.05</v>
      </c>
      <c r="Q68" s="18" t="n">
        <f aca="false">(1+Inputs!$C$13)^(Q7-1)</f>
        <v>1.05</v>
      </c>
      <c r="R68" s="18" t="n">
        <f aca="false">(1+Inputs!$C$13)^(R7-1)</f>
        <v>1.05</v>
      </c>
      <c r="S68" s="18" t="n">
        <f aca="false">(1+Inputs!$C$13)^(S7-1)</f>
        <v>1.05</v>
      </c>
      <c r="T68" s="18" t="n">
        <f aca="false">(1+Inputs!$C$13)^(T7-1)</f>
        <v>1.05</v>
      </c>
      <c r="U68" s="18" t="n">
        <f aca="false">(1+Inputs!$C$13)^(U7-1)</f>
        <v>1.05</v>
      </c>
      <c r="V68" s="18" t="n">
        <f aca="false">(1+Inputs!$C$13)^(V7-1)</f>
        <v>1.05</v>
      </c>
      <c r="W68" s="18" t="n">
        <f aca="false">(1+Inputs!$C$13)^(W7-1)</f>
        <v>1.05</v>
      </c>
      <c r="X68" s="18" t="n">
        <f aca="false">(1+Inputs!$C$13)^(X7-1)</f>
        <v>1.05</v>
      </c>
      <c r="Y68" s="18" t="n">
        <f aca="false">(1+Inputs!$C$13)^(Y7-1)</f>
        <v>1.05</v>
      </c>
      <c r="Z68" s="18" t="n">
        <f aca="false">(1+Inputs!$C$13)^(Z7-1)</f>
        <v>1.05</v>
      </c>
      <c r="AA68" s="18" t="n">
        <f aca="false">(1+Inputs!$C$13)^(AA7-1)</f>
        <v>1.05</v>
      </c>
      <c r="AB68" s="18" t="n">
        <f aca="false">(1+Inputs!$C$13)^(AB7-1)</f>
        <v>1.1025</v>
      </c>
      <c r="AC68" s="18" t="n">
        <f aca="false">(1+Inputs!$C$13)^(AC7-1)</f>
        <v>1.1025</v>
      </c>
      <c r="AD68" s="18" t="n">
        <f aca="false">(1+Inputs!$C$13)^(AD7-1)</f>
        <v>1.1025</v>
      </c>
      <c r="AE68" s="18" t="n">
        <f aca="false">(1+Inputs!$C$13)^(AE7-1)</f>
        <v>1.1025</v>
      </c>
      <c r="AF68" s="18" t="n">
        <f aca="false">(1+Inputs!$C$13)^(AF7-1)</f>
        <v>1.1025</v>
      </c>
      <c r="AG68" s="18" t="n">
        <f aca="false">(1+Inputs!$C$13)^(AG7-1)</f>
        <v>1.1025</v>
      </c>
      <c r="AH68" s="18" t="n">
        <f aca="false">(1+Inputs!$C$13)^(AH7-1)</f>
        <v>1.1025</v>
      </c>
      <c r="AI68" s="18" t="n">
        <f aca="false">(1+Inputs!$C$13)^(AI7-1)</f>
        <v>1.1025</v>
      </c>
      <c r="AJ68" s="18" t="n">
        <f aca="false">(1+Inputs!$C$13)^(AJ7-1)</f>
        <v>1.1025</v>
      </c>
      <c r="AK68" s="18" t="n">
        <f aca="false">(1+Inputs!$C$13)^(AK7-1)</f>
        <v>1.1025</v>
      </c>
      <c r="AL68" s="18" t="n">
        <f aca="false">(1+Inputs!$C$13)^(AL7-1)</f>
        <v>1.1025</v>
      </c>
      <c r="AM68" s="18" t="n">
        <f aca="false">(1+Inputs!$C$13)^(AM7-1)</f>
        <v>1.1025</v>
      </c>
      <c r="AN68" s="18" t="n">
        <f aca="false">(1+Inputs!$C$13)^(AN7-1)</f>
        <v>1.157625</v>
      </c>
      <c r="AO68" s="18" t="n">
        <f aca="false">(1+Inputs!$C$13)^(AO7-1)</f>
        <v>1.157625</v>
      </c>
      <c r="AP68" s="18" t="n">
        <f aca="false">(1+Inputs!$C$13)^(AP7-1)</f>
        <v>1.157625</v>
      </c>
      <c r="AQ68" s="18" t="n">
        <f aca="false">(1+Inputs!$C$13)^(AQ7-1)</f>
        <v>1.157625</v>
      </c>
      <c r="AR68" s="18" t="n">
        <f aca="false">(1+Inputs!$C$13)^(AR7-1)</f>
        <v>1.157625</v>
      </c>
      <c r="AS68" s="18" t="n">
        <f aca="false">(1+Inputs!$C$13)^(AS7-1)</f>
        <v>1.157625</v>
      </c>
      <c r="AT68" s="18" t="n">
        <f aca="false">(1+Inputs!$C$13)^(AT7-1)</f>
        <v>1.157625</v>
      </c>
      <c r="AU68" s="18" t="n">
        <f aca="false">(1+Inputs!$C$13)^(AU7-1)</f>
        <v>1.157625</v>
      </c>
      <c r="AV68" s="18" t="n">
        <f aca="false">(1+Inputs!$C$13)^(AV7-1)</f>
        <v>1.157625</v>
      </c>
      <c r="AW68" s="18" t="n">
        <f aca="false">(1+Inputs!$C$13)^(AW7-1)</f>
        <v>1.157625</v>
      </c>
      <c r="AX68" s="18" t="n">
        <f aca="false">(1+Inputs!$C$13)^(AX7-1)</f>
        <v>1.157625</v>
      </c>
      <c r="AY68" s="18" t="n">
        <f aca="false">(1+Inputs!$C$13)^(AY7-1)</f>
        <v>1.157625</v>
      </c>
      <c r="AZ68" s="18" t="n">
        <f aca="false">(1+Inputs!$C$13)^(AZ7-1)</f>
        <v>1.21550625</v>
      </c>
      <c r="BA68" s="18" t="n">
        <f aca="false">(1+Inputs!$C$13)^(BA7-1)</f>
        <v>1.21550625</v>
      </c>
      <c r="BB68" s="18" t="n">
        <f aca="false">(1+Inputs!$C$13)^(BB7-1)</f>
        <v>1.21550625</v>
      </c>
      <c r="BC68" s="18" t="n">
        <f aca="false">(1+Inputs!$C$13)^(BC7-1)</f>
        <v>1.21550625</v>
      </c>
      <c r="BD68" s="18" t="n">
        <f aca="false">(1+Inputs!$C$13)^(BD7-1)</f>
        <v>1.21550625</v>
      </c>
      <c r="BE68" s="18" t="n">
        <f aca="false">(1+Inputs!$C$13)^(BE7-1)</f>
        <v>1.21550625</v>
      </c>
      <c r="BF68" s="18" t="n">
        <f aca="false">(1+Inputs!$C$13)^(BF7-1)</f>
        <v>1.21550625</v>
      </c>
      <c r="BG68" s="18" t="n">
        <f aca="false">(1+Inputs!$C$13)^(BG7-1)</f>
        <v>1.21550625</v>
      </c>
      <c r="BH68" s="18" t="n">
        <f aca="false">(1+Inputs!$C$13)^(BH7-1)</f>
        <v>1.21550625</v>
      </c>
      <c r="BI68" s="18" t="n">
        <f aca="false">(1+Inputs!$C$13)^(BI7-1)</f>
        <v>1.21550625</v>
      </c>
      <c r="BJ68" s="18" t="n">
        <f aca="false">(1+Inputs!$C$13)^(BJ7-1)</f>
        <v>1.21550625</v>
      </c>
      <c r="BK68" s="18" t="n">
        <f aca="false">(1+Inputs!$C$13)^(BK7-1)</f>
        <v>1.21550625</v>
      </c>
    </row>
    <row r="69" customFormat="false" ht="15" hidden="false" customHeight="true" outlineLevel="0" collapsed="false">
      <c r="A69" s="12" t="s">
        <v>1946</v>
      </c>
      <c r="B69" s="4" t="s">
        <v>37</v>
      </c>
      <c r="D69" s="108" t="n">
        <f aca="false">(1+Inputs!$C$12)^(D7-1)*(1+Inputs!$C$11)/12</f>
        <v>0.0933333333333333</v>
      </c>
      <c r="E69" s="108" t="n">
        <f aca="false">(1+Inputs!$C$12)^(E7-1)*(1+Inputs!$C$11)/12</f>
        <v>0.0933333333333333</v>
      </c>
      <c r="F69" s="108" t="n">
        <f aca="false">(1+Inputs!$C$12)^(F7-1)*(1+Inputs!$C$11)/12</f>
        <v>0.0933333333333333</v>
      </c>
      <c r="G69" s="108" t="n">
        <f aca="false">(1+Inputs!$C$12)^(G7-1)*(1+Inputs!$C$11)/12</f>
        <v>0.0933333333333333</v>
      </c>
      <c r="H69" s="108" t="n">
        <f aca="false">(1+Inputs!$C$12)^(H7-1)*(1+Inputs!$C$11)/12</f>
        <v>0.0933333333333333</v>
      </c>
      <c r="I69" s="108" t="n">
        <f aca="false">(1+Inputs!$C$12)^(I7-1)*(1+Inputs!$C$11)/12</f>
        <v>0.0933333333333333</v>
      </c>
      <c r="J69" s="108" t="n">
        <f aca="false">(1+Inputs!$C$12)^(J7-1)*(1+Inputs!$C$11)/12</f>
        <v>0.0933333333333333</v>
      </c>
      <c r="K69" s="108" t="n">
        <f aca="false">(1+Inputs!$C$12)^(K7-1)*(1+Inputs!$C$11)/12</f>
        <v>0.0933333333333333</v>
      </c>
      <c r="L69" s="108" t="n">
        <f aca="false">(1+Inputs!$C$12)^(L7-1)*(1+Inputs!$C$11)/12</f>
        <v>0.0933333333333333</v>
      </c>
      <c r="M69" s="108" t="n">
        <f aca="false">(1+Inputs!$C$12)^(M7-1)*(1+Inputs!$C$11)/12</f>
        <v>0.0933333333333333</v>
      </c>
      <c r="N69" s="108" t="n">
        <f aca="false">(1+Inputs!$C$12)^(N7-1)*(1+Inputs!$C$11)/12</f>
        <v>0.0933333333333333</v>
      </c>
      <c r="O69" s="108" t="n">
        <f aca="false">(1+Inputs!$C$12)^(O7-1)*(1+Inputs!$C$11)/12</f>
        <v>0.0933333333333333</v>
      </c>
      <c r="P69" s="108" t="n">
        <f aca="false">(1+Inputs!$C$12)^(P7-1)*(1+Inputs!$C$11)/12</f>
        <v>0.1008</v>
      </c>
      <c r="Q69" s="108" t="n">
        <f aca="false">(1+Inputs!$C$12)^(Q7-1)*(1+Inputs!$C$11)/12</f>
        <v>0.1008</v>
      </c>
      <c r="R69" s="108" t="n">
        <f aca="false">(1+Inputs!$C$12)^(R7-1)*(1+Inputs!$C$11)/12</f>
        <v>0.1008</v>
      </c>
      <c r="S69" s="108" t="n">
        <f aca="false">(1+Inputs!$C$12)^(S7-1)*(1+Inputs!$C$11)/12</f>
        <v>0.1008</v>
      </c>
      <c r="T69" s="108" t="n">
        <f aca="false">(1+Inputs!$C$12)^(T7-1)*(1+Inputs!$C$11)/12</f>
        <v>0.1008</v>
      </c>
      <c r="U69" s="108" t="n">
        <f aca="false">(1+Inputs!$C$12)^(U7-1)*(1+Inputs!$C$11)/12</f>
        <v>0.1008</v>
      </c>
      <c r="V69" s="108" t="n">
        <f aca="false">(1+Inputs!$C$12)^(V7-1)*(1+Inputs!$C$11)/12</f>
        <v>0.1008</v>
      </c>
      <c r="W69" s="108" t="n">
        <f aca="false">(1+Inputs!$C$12)^(W7-1)*(1+Inputs!$C$11)/12</f>
        <v>0.1008</v>
      </c>
      <c r="X69" s="108" t="n">
        <f aca="false">(1+Inputs!$C$12)^(X7-1)*(1+Inputs!$C$11)/12</f>
        <v>0.1008</v>
      </c>
      <c r="Y69" s="108" t="n">
        <f aca="false">(1+Inputs!$C$12)^(Y7-1)*(1+Inputs!$C$11)/12</f>
        <v>0.1008</v>
      </c>
      <c r="Z69" s="108" t="n">
        <f aca="false">(1+Inputs!$C$12)^(Z7-1)*(1+Inputs!$C$11)/12</f>
        <v>0.1008</v>
      </c>
      <c r="AA69" s="108" t="n">
        <f aca="false">(1+Inputs!$C$12)^(AA7-1)*(1+Inputs!$C$11)/12</f>
        <v>0.1008</v>
      </c>
      <c r="AB69" s="108" t="n">
        <f aca="false">(1+Inputs!$C$12)^(AB7-1)*(1+Inputs!$C$11)/12</f>
        <v>0.108864</v>
      </c>
      <c r="AC69" s="108" t="n">
        <f aca="false">(1+Inputs!$C$12)^(AC7-1)*(1+Inputs!$C$11)/12</f>
        <v>0.108864</v>
      </c>
      <c r="AD69" s="108" t="n">
        <f aca="false">(1+Inputs!$C$12)^(AD7-1)*(1+Inputs!$C$11)/12</f>
        <v>0.108864</v>
      </c>
      <c r="AE69" s="108" t="n">
        <f aca="false">(1+Inputs!$C$12)^(AE7-1)*(1+Inputs!$C$11)/12</f>
        <v>0.108864</v>
      </c>
      <c r="AF69" s="108" t="n">
        <f aca="false">(1+Inputs!$C$12)^(AF7-1)*(1+Inputs!$C$11)/12</f>
        <v>0.108864</v>
      </c>
      <c r="AG69" s="108" t="n">
        <f aca="false">(1+Inputs!$C$12)^(AG7-1)*(1+Inputs!$C$11)/12</f>
        <v>0.108864</v>
      </c>
      <c r="AH69" s="108" t="n">
        <f aca="false">(1+Inputs!$C$12)^(AH7-1)*(1+Inputs!$C$11)/12</f>
        <v>0.108864</v>
      </c>
      <c r="AI69" s="108" t="n">
        <f aca="false">(1+Inputs!$C$12)^(AI7-1)*(1+Inputs!$C$11)/12</f>
        <v>0.108864</v>
      </c>
      <c r="AJ69" s="108" t="n">
        <f aca="false">(1+Inputs!$C$12)^(AJ7-1)*(1+Inputs!$C$11)/12</f>
        <v>0.108864</v>
      </c>
      <c r="AK69" s="108" t="n">
        <f aca="false">(1+Inputs!$C$12)^(AK7-1)*(1+Inputs!$C$11)/12</f>
        <v>0.108864</v>
      </c>
      <c r="AL69" s="108" t="n">
        <f aca="false">(1+Inputs!$C$12)^(AL7-1)*(1+Inputs!$C$11)/12</f>
        <v>0.108864</v>
      </c>
      <c r="AM69" s="108" t="n">
        <f aca="false">(1+Inputs!$C$12)^(AM7-1)*(1+Inputs!$C$11)/12</f>
        <v>0.108864</v>
      </c>
      <c r="AN69" s="108" t="n">
        <f aca="false">(1+Inputs!$C$12)^(AN7-1)*(1+Inputs!$C$11)/12</f>
        <v>0.11757312</v>
      </c>
      <c r="AO69" s="108" t="n">
        <f aca="false">(1+Inputs!$C$12)^(AO7-1)*(1+Inputs!$C$11)/12</f>
        <v>0.11757312</v>
      </c>
      <c r="AP69" s="108" t="n">
        <f aca="false">(1+Inputs!$C$12)^(AP7-1)*(1+Inputs!$C$11)/12</f>
        <v>0.11757312</v>
      </c>
      <c r="AQ69" s="108" t="n">
        <f aca="false">(1+Inputs!$C$12)^(AQ7-1)*(1+Inputs!$C$11)/12</f>
        <v>0.11757312</v>
      </c>
      <c r="AR69" s="108" t="n">
        <f aca="false">(1+Inputs!$C$12)^(AR7-1)*(1+Inputs!$C$11)/12</f>
        <v>0.11757312</v>
      </c>
      <c r="AS69" s="108" t="n">
        <f aca="false">(1+Inputs!$C$12)^(AS7-1)*(1+Inputs!$C$11)/12</f>
        <v>0.11757312</v>
      </c>
      <c r="AT69" s="108" t="n">
        <f aca="false">(1+Inputs!$C$12)^(AT7-1)*(1+Inputs!$C$11)/12</f>
        <v>0.11757312</v>
      </c>
      <c r="AU69" s="108" t="n">
        <f aca="false">(1+Inputs!$C$12)^(AU7-1)*(1+Inputs!$C$11)/12</f>
        <v>0.11757312</v>
      </c>
      <c r="AV69" s="108" t="n">
        <f aca="false">(1+Inputs!$C$12)^(AV7-1)*(1+Inputs!$C$11)/12</f>
        <v>0.11757312</v>
      </c>
      <c r="AW69" s="108" t="n">
        <f aca="false">(1+Inputs!$C$12)^(AW7-1)*(1+Inputs!$C$11)/12</f>
        <v>0.11757312</v>
      </c>
      <c r="AX69" s="108" t="n">
        <f aca="false">(1+Inputs!$C$12)^(AX7-1)*(1+Inputs!$C$11)/12</f>
        <v>0.11757312</v>
      </c>
      <c r="AY69" s="108" t="n">
        <f aca="false">(1+Inputs!$C$12)^(AY7-1)*(1+Inputs!$C$11)/12</f>
        <v>0.11757312</v>
      </c>
      <c r="AZ69" s="108" t="n">
        <f aca="false">(1+Inputs!$C$12)^(AZ7-1)*(1+Inputs!$C$11)/12</f>
        <v>0.1269789696</v>
      </c>
      <c r="BA69" s="108" t="n">
        <f aca="false">(1+Inputs!$C$12)^(BA7-1)*(1+Inputs!$C$11)/12</f>
        <v>0.1269789696</v>
      </c>
      <c r="BB69" s="108" t="n">
        <f aca="false">(1+Inputs!$C$12)^(BB7-1)*(1+Inputs!$C$11)/12</f>
        <v>0.1269789696</v>
      </c>
      <c r="BC69" s="108" t="n">
        <f aca="false">(1+Inputs!$C$12)^(BC7-1)*(1+Inputs!$C$11)/12</f>
        <v>0.1269789696</v>
      </c>
      <c r="BD69" s="108" t="n">
        <f aca="false">(1+Inputs!$C$12)^(BD7-1)*(1+Inputs!$C$11)/12</f>
        <v>0.1269789696</v>
      </c>
      <c r="BE69" s="108" t="n">
        <f aca="false">(1+Inputs!$C$12)^(BE7-1)*(1+Inputs!$C$11)/12</f>
        <v>0.1269789696</v>
      </c>
      <c r="BF69" s="108" t="n">
        <f aca="false">(1+Inputs!$C$12)^(BF7-1)*(1+Inputs!$C$11)/12</f>
        <v>0.1269789696</v>
      </c>
      <c r="BG69" s="108" t="n">
        <f aca="false">(1+Inputs!$C$12)^(BG7-1)*(1+Inputs!$C$11)/12</f>
        <v>0.1269789696</v>
      </c>
      <c r="BH69" s="108" t="n">
        <f aca="false">(1+Inputs!$C$12)^(BH7-1)*(1+Inputs!$C$11)/12</f>
        <v>0.1269789696</v>
      </c>
      <c r="BI69" s="108" t="n">
        <f aca="false">(1+Inputs!$C$12)^(BI7-1)*(1+Inputs!$C$11)/12</f>
        <v>0.1269789696</v>
      </c>
      <c r="BJ69" s="108" t="n">
        <f aca="false">(1+Inputs!$C$12)^(BJ7-1)*(1+Inputs!$C$11)/12</f>
        <v>0.1269789696</v>
      </c>
      <c r="BK69" s="108" t="n">
        <f aca="false">(1+Inputs!$C$12)^(BK7-1)*(1+Inputs!$C$11)/12</f>
        <v>0.1269789696</v>
      </c>
    </row>
    <row r="70" customFormat="false" ht="15" hidden="false" customHeight="true" outlineLevel="0" collapsed="false">
      <c r="A70" s="12" t="s">
        <v>186</v>
      </c>
      <c r="B70" s="4" t="s">
        <v>44</v>
      </c>
      <c r="D70" s="16" t="n">
        <f aca="false">(D49+D28)*Inputs!$C$60*Inputs!$C$129*(1+Inputs!$C$61)^(D7-1)*Inputs!$C$55</f>
        <v>0</v>
      </c>
      <c r="E70" s="16" t="n">
        <f aca="false">(E49+E28)*Inputs!$C$60*Inputs!$C$129*(1+Inputs!$C$61)^(E7-1)*Inputs!$C$55</f>
        <v>0</v>
      </c>
      <c r="F70" s="16" t="n">
        <f aca="false">(F49+F28)*Inputs!$C$60*Inputs!$C$129*(1+Inputs!$C$61)^(F7-1)*Inputs!$C$55</f>
        <v>0</v>
      </c>
      <c r="G70" s="16" t="n">
        <f aca="false">(G49+G28)*Inputs!$C$60*Inputs!$C$129*(1+Inputs!$C$61)^(G7-1)*Inputs!$C$55</f>
        <v>0.0315</v>
      </c>
      <c r="H70" s="16" t="n">
        <f aca="false">(H49+H28)*Inputs!$C$60*Inputs!$C$129*(1+Inputs!$C$61)^(H7-1)*Inputs!$C$55</f>
        <v>0.063</v>
      </c>
      <c r="I70" s="16" t="n">
        <f aca="false">(I49+I28)*Inputs!$C$60*Inputs!$C$129*(1+Inputs!$C$61)^(I7-1)*Inputs!$C$55</f>
        <v>0.0945</v>
      </c>
      <c r="J70" s="16" t="n">
        <f aca="false">(J49+J28)*Inputs!$C$60*Inputs!$C$129*(1+Inputs!$C$61)^(J7-1)*Inputs!$C$55</f>
        <v>0.105</v>
      </c>
      <c r="K70" s="16" t="n">
        <f aca="false">(K49+K28)*Inputs!$C$60*Inputs!$C$129*(1+Inputs!$C$61)^(K7-1)*Inputs!$C$55</f>
        <v>0.126</v>
      </c>
      <c r="L70" s="16" t="n">
        <f aca="false">(L49+L28)*Inputs!$C$60*Inputs!$C$129*(1+Inputs!$C$61)^(L7-1)*Inputs!$C$55</f>
        <v>0.174825</v>
      </c>
      <c r="M70" s="16" t="n">
        <f aca="false">(M49+M28)*Inputs!$C$60*Inputs!$C$129*(1+Inputs!$C$61)^(M7-1)*Inputs!$C$55</f>
        <v>0.223514372617567</v>
      </c>
      <c r="N70" s="16" t="n">
        <f aca="false">(N49+N28)*Inputs!$C$60*Inputs!$C$129*(1+Inputs!$C$61)^(N7-1)*Inputs!$C$55</f>
        <v>0.272069179600859</v>
      </c>
      <c r="O70" s="16" t="n">
        <f aca="false">(O49+O28)*Inputs!$C$60*Inputs!$C$129*(1+Inputs!$C$61)^(O7-1)*Inputs!$C$55</f>
        <v>0.326265474386227</v>
      </c>
      <c r="P70" s="16" t="n">
        <f aca="false">(P49+P28)*Inputs!$C$60*Inputs!$C$129*(1+Inputs!$C$61)^(P7-1)*Inputs!$C$55</f>
        <v>0.356781138384007</v>
      </c>
      <c r="Q70" s="16" t="n">
        <f aca="false">(Q49+Q28)*Inputs!$C$60*Inputs!$C$129*(1+Inputs!$C$61)^(Q7-1)*Inputs!$C$55</f>
        <v>0.398910906478291</v>
      </c>
      <c r="R70" s="16" t="n">
        <f aca="false">(R49+R28)*Inputs!$C$60*Inputs!$C$129*(1+Inputs!$C$61)^(R7-1)*Inputs!$C$55</f>
        <v>0.436300203531917</v>
      </c>
      <c r="S70" s="16" t="n">
        <f aca="false">(S49+S28)*Inputs!$C$60*Inputs!$C$129*(1+Inputs!$C$61)^(S7-1)*Inputs!$C$55</f>
        <v>0.704668479851897</v>
      </c>
      <c r="T70" s="16" t="n">
        <f aca="false">(T49+T28)*Inputs!$C$60*Inputs!$C$129*(1+Inputs!$C$61)^(T7-1)*Inputs!$C$55</f>
        <v>1.00811464973898</v>
      </c>
      <c r="U70" s="16" t="n">
        <f aca="false">(U49+U28)*Inputs!$C$60*Inputs!$C$129*(1+Inputs!$C$61)^(U7-1)*Inputs!$C$55</f>
        <v>1.34111212417634</v>
      </c>
      <c r="V70" s="16" t="n">
        <f aca="false">(V49+V28)*Inputs!$C$60*Inputs!$C$129*(1+Inputs!$C$61)^(V7-1)*Inputs!$C$55</f>
        <v>1.47787840020904</v>
      </c>
      <c r="W70" s="16" t="n">
        <f aca="false">(W49+W28)*Inputs!$C$60*Inputs!$C$129*(1+Inputs!$C$61)^(W7-1)*Inputs!$C$55</f>
        <v>1.61427680878053</v>
      </c>
      <c r="X70" s="16" t="n">
        <f aca="false">(X49+X28)*Inputs!$C$60*Inputs!$C$129*(1+Inputs!$C$61)^(X7-1)*Inputs!$C$55</f>
        <v>1.87449221533192</v>
      </c>
      <c r="Y70" s="16" t="n">
        <f aca="false">(Y49+Y28)*Inputs!$C$60*Inputs!$C$129*(1+Inputs!$C$61)^(Y7-1)*Inputs!$C$55</f>
        <v>2.11990709273748</v>
      </c>
      <c r="Z70" s="16" t="n">
        <f aca="false">(Z49+Z28)*Inputs!$C$60*Inputs!$C$129*(1+Inputs!$C$61)^(Z7-1)*Inputs!$C$55</f>
        <v>2.35040304028192</v>
      </c>
      <c r="AA70" s="16" t="n">
        <f aca="false">(AA49+AA28)*Inputs!$C$60*Inputs!$C$129*(1+Inputs!$C$61)^(AA7-1)*Inputs!$C$55</f>
        <v>2.56586258414048</v>
      </c>
      <c r="AB70" s="16" t="n">
        <f aca="false">(AB49+AB28)*Inputs!$C$60*Inputs!$C$129*(1+Inputs!$C$61)^(AB7-1)*Inputs!$C$55</f>
        <v>2.65628946161677</v>
      </c>
      <c r="AC70" s="16" t="n">
        <f aca="false">(AC49+AC28)*Inputs!$C$60*Inputs!$C$129*(1+Inputs!$C$61)^(AC7-1)*Inputs!$C$55</f>
        <v>2.88893304865046</v>
      </c>
      <c r="AD70" s="16" t="n">
        <f aca="false">(AD49+AD28)*Inputs!$C$60*Inputs!$C$129*(1+Inputs!$C$61)^(AD7-1)*Inputs!$C$55</f>
        <v>3.11975540389486</v>
      </c>
      <c r="AE70" s="16" t="n">
        <f aca="false">(AE49+AE28)*Inputs!$C$60*Inputs!$C$129*(1+Inputs!$C$61)^(AE7-1)*Inputs!$C$55</f>
        <v>3.76354872367798</v>
      </c>
      <c r="AF70" s="16" t="n">
        <f aca="false">(AF49+AF28)*Inputs!$C$60*Inputs!$C$129*(1+Inputs!$C$61)^(AF7-1)*Inputs!$C$55</f>
        <v>4.46240671479511</v>
      </c>
      <c r="AG70" s="16" t="n">
        <f aca="false">(AG49+AG28)*Inputs!$C$60*Inputs!$C$129*(1+Inputs!$C$61)^(AG7-1)*Inputs!$C$55</f>
        <v>5.21634341226266</v>
      </c>
      <c r="AH70" s="16" t="n">
        <f aca="false">(AH49+AH28)*Inputs!$C$60*Inputs!$C$129*(1+Inputs!$C$61)^(AH7-1)*Inputs!$C$55</f>
        <v>5.61059480226503</v>
      </c>
      <c r="AI70" s="16" t="n">
        <f aca="false">(AI49+AI28)*Inputs!$C$60*Inputs!$C$129*(1+Inputs!$C$61)^(AI7-1)*Inputs!$C$55</f>
        <v>6.00309513989472</v>
      </c>
      <c r="AJ70" s="16" t="n">
        <f aca="false">(AJ49+AJ28)*Inputs!$C$60*Inputs!$C$129*(1+Inputs!$C$61)^(AJ7-1)*Inputs!$C$55</f>
        <v>6.62198599955375</v>
      </c>
      <c r="AK70" s="16" t="n">
        <f aca="false">(AK49+AK28)*Inputs!$C$60*Inputs!$C$129*(1+Inputs!$C$61)^(AK7-1)*Inputs!$C$55</f>
        <v>7.21178135964611</v>
      </c>
      <c r="AL70" s="16" t="n">
        <f aca="false">(AL49+AL28)*Inputs!$C$60*Inputs!$C$129*(1+Inputs!$C$61)^(AL7-1)*Inputs!$C$55</f>
        <v>7.77226388756287</v>
      </c>
      <c r="AM70" s="16" t="n">
        <f aca="false">(AM49+AM28)*Inputs!$C$60*Inputs!$C$129*(1+Inputs!$C$61)^(AM7-1)*Inputs!$C$55</f>
        <v>8.3032179520661</v>
      </c>
      <c r="AN70" s="16" t="n">
        <f aca="false">(AN49+AN28)*Inputs!$C$60*Inputs!$C$129*(1+Inputs!$C$61)^(AN7-1)*Inputs!$C$55</f>
        <v>8.41822275447136</v>
      </c>
      <c r="AO70" s="16" t="n">
        <f aca="false">(AO49+AO28)*Inputs!$C$60*Inputs!$C$129*(1+Inputs!$C$61)^(AO7-1)*Inputs!$C$55</f>
        <v>8.97394613827909</v>
      </c>
      <c r="AP70" s="16" t="n">
        <f aca="false">(AP49+AP28)*Inputs!$C$60*Inputs!$C$129*(1+Inputs!$C$61)^(AP7-1)*Inputs!$C$55</f>
        <v>9.52531908584423</v>
      </c>
      <c r="AQ70" s="16" t="n">
        <f aca="false">(AQ49+AQ28)*Inputs!$C$60*Inputs!$C$129*(1+Inputs!$C$61)^(AQ7-1)*Inputs!$C$55</f>
        <v>10.4979232274724</v>
      </c>
      <c r="AR70" s="16" t="n">
        <f aca="false">(AR49+AR28)*Inputs!$C$60*Inputs!$C$129*(1+Inputs!$C$61)^(AR7-1)*Inputs!$C$55</f>
        <v>11.5382642803322</v>
      </c>
      <c r="AS70" s="16" t="n">
        <f aca="false">(AS49+AS28)*Inputs!$C$60*Inputs!$C$129*(1+Inputs!$C$61)^(AS7-1)*Inputs!$C$55</f>
        <v>12.6463757703288</v>
      </c>
      <c r="AT70" s="16" t="n">
        <f aca="false">(AT49+AT28)*Inputs!$C$60*Inputs!$C$129*(1+Inputs!$C$61)^(AT7-1)*Inputs!$C$55</f>
        <v>13.3967433876503</v>
      </c>
      <c r="AU70" s="16" t="n">
        <f aca="false">(AU49+AU28)*Inputs!$C$60*Inputs!$C$129*(1+Inputs!$C$61)^(AU7-1)*Inputs!$C$55</f>
        <v>14.1429282086085</v>
      </c>
      <c r="AV70" s="16" t="n">
        <f aca="false">(AV49+AV28)*Inputs!$C$60*Inputs!$C$129*(1+Inputs!$C$61)^(AV7-1)*Inputs!$C$55</f>
        <v>15.1190141431858</v>
      </c>
      <c r="AW70" s="16" t="n">
        <f aca="false">(AW49+AW28)*Inputs!$C$60*Inputs!$C$129*(1+Inputs!$C$61)^(AW7-1)*Inputs!$C$55</f>
        <v>16.0567414885334</v>
      </c>
      <c r="AX70" s="16" t="n">
        <f aca="false">(AX49+AX28)*Inputs!$C$60*Inputs!$C$129*(1+Inputs!$C$61)^(AX7-1)*Inputs!$C$55</f>
        <v>16.9558467328927</v>
      </c>
      <c r="AY70" s="16" t="n">
        <f aca="false">(AY49+AY28)*Inputs!$C$60*Inputs!$C$129*(1+Inputs!$C$61)^(AY7-1)*Inputs!$C$55</f>
        <v>17.8160684273859</v>
      </c>
      <c r="AZ70" s="16" t="n">
        <f aca="false">(AZ49+AZ28)*Inputs!$C$60*Inputs!$C$129*(1+Inputs!$C$61)^(AZ7-1)*Inputs!$C$55</f>
        <v>17.7737083363735</v>
      </c>
      <c r="BA70" s="16" t="n">
        <f aca="false">(BA49+BA28)*Inputs!$C$60*Inputs!$C$129*(1+Inputs!$C$61)^(BA7-1)*Inputs!$C$55</f>
        <v>18.6531398844536</v>
      </c>
      <c r="BB70" s="16" t="n">
        <f aca="false">(BB49+BB28)*Inputs!$C$60*Inputs!$C$129*(1+Inputs!$C$61)^(BB7-1)*Inputs!$C$55</f>
        <v>19.5256868727129</v>
      </c>
      <c r="BC70" s="16" t="n">
        <f aca="false">(BC49+BC28)*Inputs!$C$60*Inputs!$C$129*(1+Inputs!$C$61)^(BC7-1)*Inputs!$C$55</f>
        <v>20.7871210753534</v>
      </c>
      <c r="BD70" s="16" t="n">
        <f aca="false">(BD49+BD28)*Inputs!$C$60*Inputs!$C$129*(1+Inputs!$C$61)^(BD7-1)*Inputs!$C$55</f>
        <v>22.1016442960899</v>
      </c>
      <c r="BE70" s="16" t="n">
        <f aca="false">(BE49+BE28)*Inputs!$C$60*Inputs!$C$129*(1+Inputs!$C$61)^(BE7-1)*Inputs!$C$55</f>
        <v>23.4693095896245</v>
      </c>
      <c r="BF70" s="16" t="n">
        <f aca="false">(BF49+BF28)*Inputs!$C$60*Inputs!$C$129*(1+Inputs!$C$61)^(BF7-1)*Inputs!$C$55</f>
        <v>24.4944517163508</v>
      </c>
      <c r="BG70" s="16" t="n">
        <f aca="false">(BG49+BG28)*Inputs!$C$60*Inputs!$C$129*(1+Inputs!$C$61)^(BG7-1)*Inputs!$C$55</f>
        <v>25.5129745731522</v>
      </c>
      <c r="BH70" s="16" t="n">
        <f aca="false">(BH49+BH28)*Inputs!$C$60*Inputs!$C$129*(1+Inputs!$C$61)^(BH7-1)*Inputs!$C$55</f>
        <v>26.7425748118917</v>
      </c>
      <c r="BI70" s="16" t="n">
        <f aca="false">(BI49+BI28)*Inputs!$C$60*Inputs!$C$129*(1+Inputs!$C$61)^(BI7-1)*Inputs!$C$55</f>
        <v>27.9370154024442</v>
      </c>
      <c r="BJ70" s="16" t="n">
        <f aca="false">(BJ49+BJ28)*Inputs!$C$60*Inputs!$C$129*(1+Inputs!$C$61)^(BJ7-1)*Inputs!$C$55</f>
        <v>29.0961029314636</v>
      </c>
      <c r="BK70" s="16" t="n">
        <f aca="false">(BK49+BK28)*Inputs!$C$60*Inputs!$C$129*(1+Inputs!$C$61)^(BK7-1)*Inputs!$C$55</f>
        <v>30.2196454997247</v>
      </c>
    </row>
    <row r="71" customFormat="false" ht="15" hidden="false" customHeight="true" outlineLevel="0" collapsed="false">
      <c r="A71" s="12" t="s">
        <v>684</v>
      </c>
      <c r="B71" s="4" t="s">
        <v>44</v>
      </c>
      <c r="D71" s="16" t="n">
        <f aca="false">(D49+D28)*Inputs!$C$60*Inputs!$C$129*(1+Inputs!$C$61)^(D7-1)*Inputs!$C$56</f>
        <v>0</v>
      </c>
      <c r="E71" s="16" t="n">
        <f aca="false">(E49+E28)*Inputs!$C$60*Inputs!$C$129*(1+Inputs!$C$61)^(E7-1)*Inputs!$C$56</f>
        <v>0</v>
      </c>
      <c r="F71" s="16" t="n">
        <f aca="false">(F49+F28)*Inputs!$C$60*Inputs!$C$129*(1+Inputs!$C$61)^(F7-1)*Inputs!$C$56</f>
        <v>0</v>
      </c>
      <c r="G71" s="16" t="n">
        <f aca="false">(G49+G28)*Inputs!$C$60*Inputs!$C$129*(1+Inputs!$C$61)^(G7-1)*Inputs!$C$56</f>
        <v>0.0135</v>
      </c>
      <c r="H71" s="16" t="n">
        <f aca="false">(H49+H28)*Inputs!$C$60*Inputs!$C$129*(1+Inputs!$C$61)^(H7-1)*Inputs!$C$56</f>
        <v>0.027</v>
      </c>
      <c r="I71" s="16" t="n">
        <f aca="false">(I49+I28)*Inputs!$C$60*Inputs!$C$129*(1+Inputs!$C$61)^(I7-1)*Inputs!$C$56</f>
        <v>0.0405</v>
      </c>
      <c r="J71" s="16" t="n">
        <f aca="false">(J49+J28)*Inputs!$C$60*Inputs!$C$129*(1+Inputs!$C$61)^(J7-1)*Inputs!$C$56</f>
        <v>0.045</v>
      </c>
      <c r="K71" s="16" t="n">
        <f aca="false">(K49+K28)*Inputs!$C$60*Inputs!$C$129*(1+Inputs!$C$61)^(K7-1)*Inputs!$C$56</f>
        <v>0.054</v>
      </c>
      <c r="L71" s="16" t="n">
        <f aca="false">(L49+L28)*Inputs!$C$60*Inputs!$C$129*(1+Inputs!$C$61)^(L7-1)*Inputs!$C$56</f>
        <v>0.074925</v>
      </c>
      <c r="M71" s="16" t="n">
        <f aca="false">(M49+M28)*Inputs!$C$60*Inputs!$C$129*(1+Inputs!$C$61)^(M7-1)*Inputs!$C$56</f>
        <v>0.0957918739789571</v>
      </c>
      <c r="N71" s="16" t="n">
        <f aca="false">(N49+N28)*Inputs!$C$60*Inputs!$C$129*(1+Inputs!$C$61)^(N7-1)*Inputs!$C$56</f>
        <v>0.116601076971797</v>
      </c>
      <c r="O71" s="16" t="n">
        <f aca="false">(O49+O28)*Inputs!$C$60*Inputs!$C$129*(1+Inputs!$C$61)^(O7-1)*Inputs!$C$56</f>
        <v>0.13982806045124</v>
      </c>
      <c r="P71" s="16" t="n">
        <f aca="false">(P49+P28)*Inputs!$C$60*Inputs!$C$129*(1+Inputs!$C$61)^(P7-1)*Inputs!$C$56</f>
        <v>0.152906202164575</v>
      </c>
      <c r="Q71" s="16" t="n">
        <f aca="false">(Q49+Q28)*Inputs!$C$60*Inputs!$C$129*(1+Inputs!$C$61)^(Q7-1)*Inputs!$C$56</f>
        <v>0.170961817062125</v>
      </c>
      <c r="R71" s="16" t="n">
        <f aca="false">(R49+R28)*Inputs!$C$60*Inputs!$C$129*(1+Inputs!$C$61)^(R7-1)*Inputs!$C$56</f>
        <v>0.186985801513679</v>
      </c>
      <c r="S71" s="16" t="n">
        <f aca="false">(S49+S28)*Inputs!$C$60*Inputs!$C$129*(1+Inputs!$C$61)^(S7-1)*Inputs!$C$56</f>
        <v>0.302000777079385</v>
      </c>
      <c r="T71" s="16" t="n">
        <f aca="false">(T49+T28)*Inputs!$C$60*Inputs!$C$129*(1+Inputs!$C$61)^(T7-1)*Inputs!$C$56</f>
        <v>0.43204913560242</v>
      </c>
      <c r="U71" s="16" t="n">
        <f aca="false">(U49+U28)*Inputs!$C$60*Inputs!$C$129*(1+Inputs!$C$61)^(U7-1)*Inputs!$C$56</f>
        <v>0.574762338932718</v>
      </c>
      <c r="V71" s="16" t="n">
        <f aca="false">(V49+V28)*Inputs!$C$60*Inputs!$C$129*(1+Inputs!$C$61)^(V7-1)*Inputs!$C$56</f>
        <v>0.633376457232447</v>
      </c>
      <c r="W71" s="16" t="n">
        <f aca="false">(W49+W28)*Inputs!$C$60*Inputs!$C$129*(1+Inputs!$C$61)^(W7-1)*Inputs!$C$56</f>
        <v>0.691832918048799</v>
      </c>
      <c r="X71" s="16" t="n">
        <f aca="false">(X49+X28)*Inputs!$C$60*Inputs!$C$129*(1+Inputs!$C$61)^(X7-1)*Inputs!$C$56</f>
        <v>0.803353806570824</v>
      </c>
      <c r="Y71" s="16" t="n">
        <f aca="false">(Y49+Y28)*Inputs!$C$60*Inputs!$C$129*(1+Inputs!$C$61)^(Y7-1)*Inputs!$C$56</f>
        <v>0.908531611173208</v>
      </c>
      <c r="Z71" s="16" t="n">
        <f aca="false">(Z49+Z28)*Inputs!$C$60*Inputs!$C$129*(1+Inputs!$C$61)^(Z7-1)*Inputs!$C$56</f>
        <v>1.00731558869225</v>
      </c>
      <c r="AA71" s="16" t="n">
        <f aca="false">(AA49+AA28)*Inputs!$C$60*Inputs!$C$129*(1+Inputs!$C$61)^(AA7-1)*Inputs!$C$56</f>
        <v>1.09965539320306</v>
      </c>
      <c r="AB71" s="16" t="n">
        <f aca="false">(AB49+AB28)*Inputs!$C$60*Inputs!$C$129*(1+Inputs!$C$61)^(AB7-1)*Inputs!$C$56</f>
        <v>1.13840976926433</v>
      </c>
      <c r="AC71" s="16" t="n">
        <f aca="false">(AC49+AC28)*Inputs!$C$60*Inputs!$C$129*(1+Inputs!$C$61)^(AC7-1)*Inputs!$C$56</f>
        <v>1.23811416370734</v>
      </c>
      <c r="AD71" s="16" t="n">
        <f aca="false">(AD49+AD28)*Inputs!$C$60*Inputs!$C$129*(1+Inputs!$C$61)^(AD7-1)*Inputs!$C$56</f>
        <v>1.33703803024066</v>
      </c>
      <c r="AE71" s="16" t="n">
        <f aca="false">(AE49+AE28)*Inputs!$C$60*Inputs!$C$129*(1+Inputs!$C$61)^(AE7-1)*Inputs!$C$56</f>
        <v>1.61294945300485</v>
      </c>
      <c r="AF71" s="16" t="n">
        <f aca="false">(AF49+AF28)*Inputs!$C$60*Inputs!$C$129*(1+Inputs!$C$61)^(AF7-1)*Inputs!$C$56</f>
        <v>1.91246002062647</v>
      </c>
      <c r="AG71" s="16" t="n">
        <f aca="false">(AG49+AG28)*Inputs!$C$60*Inputs!$C$129*(1+Inputs!$C$61)^(AG7-1)*Inputs!$C$56</f>
        <v>2.23557574811257</v>
      </c>
      <c r="AH71" s="16" t="n">
        <f aca="false">(AH49+AH28)*Inputs!$C$60*Inputs!$C$129*(1+Inputs!$C$61)^(AH7-1)*Inputs!$C$56</f>
        <v>2.40454062954216</v>
      </c>
      <c r="AI71" s="16" t="n">
        <f aca="false">(AI49+AI28)*Inputs!$C$60*Inputs!$C$129*(1+Inputs!$C$61)^(AI7-1)*Inputs!$C$56</f>
        <v>2.57275505995488</v>
      </c>
      <c r="AJ71" s="16" t="n">
        <f aca="false">(AJ49+AJ28)*Inputs!$C$60*Inputs!$C$129*(1+Inputs!$C$61)^(AJ7-1)*Inputs!$C$56</f>
        <v>2.83799399980875</v>
      </c>
      <c r="AK71" s="16" t="n">
        <f aca="false">(AK49+AK28)*Inputs!$C$60*Inputs!$C$129*(1+Inputs!$C$61)^(AK7-1)*Inputs!$C$56</f>
        <v>3.09076343984833</v>
      </c>
      <c r="AL71" s="16" t="n">
        <f aca="false">(AL49+AL28)*Inputs!$C$60*Inputs!$C$129*(1+Inputs!$C$61)^(AL7-1)*Inputs!$C$56</f>
        <v>3.33097023752695</v>
      </c>
      <c r="AM71" s="16" t="n">
        <f aca="false">(AM49+AM28)*Inputs!$C$60*Inputs!$C$129*(1+Inputs!$C$61)^(AM7-1)*Inputs!$C$56</f>
        <v>3.5585219794569</v>
      </c>
      <c r="AN71" s="16" t="n">
        <f aca="false">(AN49+AN28)*Inputs!$C$60*Inputs!$C$129*(1+Inputs!$C$61)^(AN7-1)*Inputs!$C$56</f>
        <v>3.6078097519163</v>
      </c>
      <c r="AO71" s="16" t="n">
        <f aca="false">(AO49+AO28)*Inputs!$C$60*Inputs!$C$129*(1+Inputs!$C$61)^(AO7-1)*Inputs!$C$56</f>
        <v>3.84597691640533</v>
      </c>
      <c r="AP71" s="16" t="n">
        <f aca="false">(AP49+AP28)*Inputs!$C$60*Inputs!$C$129*(1+Inputs!$C$61)^(AP7-1)*Inputs!$C$56</f>
        <v>4.08227960821895</v>
      </c>
      <c r="AQ71" s="16" t="n">
        <f aca="false">(AQ49+AQ28)*Inputs!$C$60*Inputs!$C$129*(1+Inputs!$C$61)^(AQ7-1)*Inputs!$C$56</f>
        <v>4.49910995463101</v>
      </c>
      <c r="AR71" s="16" t="n">
        <f aca="false">(AR49+AR28)*Inputs!$C$60*Inputs!$C$129*(1+Inputs!$C$61)^(AR7-1)*Inputs!$C$56</f>
        <v>4.94497040585665</v>
      </c>
      <c r="AS71" s="16" t="n">
        <f aca="false">(AS49+AS28)*Inputs!$C$60*Inputs!$C$129*(1+Inputs!$C$61)^(AS7-1)*Inputs!$C$56</f>
        <v>5.4198753301409</v>
      </c>
      <c r="AT71" s="16" t="n">
        <f aca="false">(AT49+AT28)*Inputs!$C$60*Inputs!$C$129*(1+Inputs!$C$61)^(AT7-1)*Inputs!$C$56</f>
        <v>5.74146145185011</v>
      </c>
      <c r="AU71" s="16" t="n">
        <f aca="false">(AU49+AU28)*Inputs!$C$60*Inputs!$C$129*(1+Inputs!$C$61)^(AU7-1)*Inputs!$C$56</f>
        <v>6.06125494654651</v>
      </c>
      <c r="AV71" s="16" t="n">
        <f aca="false">(AV49+AV28)*Inputs!$C$60*Inputs!$C$129*(1+Inputs!$C$61)^(AV7-1)*Inputs!$C$56</f>
        <v>6.47957748993678</v>
      </c>
      <c r="AW71" s="16" t="n">
        <f aca="false">(AW49+AW28)*Inputs!$C$60*Inputs!$C$129*(1+Inputs!$C$61)^(AW7-1)*Inputs!$C$56</f>
        <v>6.88146063794289</v>
      </c>
      <c r="AX71" s="16" t="n">
        <f aca="false">(AX49+AX28)*Inputs!$C$60*Inputs!$C$129*(1+Inputs!$C$61)^(AX7-1)*Inputs!$C$56</f>
        <v>7.26679145695402</v>
      </c>
      <c r="AY71" s="16" t="n">
        <f aca="false">(AY49+AY28)*Inputs!$C$60*Inputs!$C$129*(1+Inputs!$C$61)^(AY7-1)*Inputs!$C$56</f>
        <v>7.63545789745109</v>
      </c>
      <c r="AZ71" s="16" t="n">
        <f aca="false">(AZ49+AZ28)*Inputs!$C$60*Inputs!$C$129*(1+Inputs!$C$61)^(AZ7-1)*Inputs!$C$56</f>
        <v>7.6173035727315</v>
      </c>
      <c r="BA71" s="16" t="n">
        <f aca="false">(BA49+BA28)*Inputs!$C$60*Inputs!$C$129*(1+Inputs!$C$61)^(BA7-1)*Inputs!$C$56</f>
        <v>7.99420280762297</v>
      </c>
      <c r="BB71" s="16" t="n">
        <f aca="false">(BB49+BB28)*Inputs!$C$60*Inputs!$C$129*(1+Inputs!$C$61)^(BB7-1)*Inputs!$C$56</f>
        <v>8.36815151687695</v>
      </c>
      <c r="BC71" s="16" t="n">
        <f aca="false">(BC49+BC28)*Inputs!$C$60*Inputs!$C$129*(1+Inputs!$C$61)^(BC7-1)*Inputs!$C$56</f>
        <v>8.90876617515146</v>
      </c>
      <c r="BD71" s="16" t="n">
        <f aca="false">(BD49+BD28)*Inputs!$C$60*Inputs!$C$129*(1+Inputs!$C$61)^(BD7-1)*Inputs!$C$56</f>
        <v>9.47213326975282</v>
      </c>
      <c r="BE71" s="16" t="n">
        <f aca="false">(BE49+BE28)*Inputs!$C$60*Inputs!$C$129*(1+Inputs!$C$61)^(BE7-1)*Inputs!$C$56</f>
        <v>10.0582755384105</v>
      </c>
      <c r="BF71" s="16" t="n">
        <f aca="false">(BF49+BF28)*Inputs!$C$60*Inputs!$C$129*(1+Inputs!$C$61)^(BF7-1)*Inputs!$C$56</f>
        <v>10.4976221641503</v>
      </c>
      <c r="BG71" s="16" t="n">
        <f aca="false">(BG49+BG28)*Inputs!$C$60*Inputs!$C$129*(1+Inputs!$C$61)^(BG7-1)*Inputs!$C$56</f>
        <v>10.9341319599224</v>
      </c>
      <c r="BH71" s="16" t="n">
        <f aca="false">(BH49+BH28)*Inputs!$C$60*Inputs!$C$129*(1+Inputs!$C$61)^(BH7-1)*Inputs!$C$56</f>
        <v>11.4611034908107</v>
      </c>
      <c r="BI71" s="16" t="n">
        <f aca="false">(BI49+BI28)*Inputs!$C$60*Inputs!$C$129*(1+Inputs!$C$61)^(BI7-1)*Inputs!$C$56</f>
        <v>11.9730066010475</v>
      </c>
      <c r="BJ71" s="16" t="n">
        <f aca="false">(BJ49+BJ28)*Inputs!$C$60*Inputs!$C$129*(1+Inputs!$C$61)^(BJ7-1)*Inputs!$C$56</f>
        <v>12.4697583991987</v>
      </c>
      <c r="BK71" s="16" t="n">
        <f aca="false">(BK49+BK28)*Inputs!$C$60*Inputs!$C$129*(1+Inputs!$C$61)^(BK7-1)*Inputs!$C$56</f>
        <v>12.9512766427392</v>
      </c>
    </row>
    <row r="72" customFormat="false" ht="15" hidden="false" customHeight="true" outlineLevel="0" collapsed="false">
      <c r="A72" s="12" t="s">
        <v>1947</v>
      </c>
      <c r="B72" s="4" t="s">
        <v>44</v>
      </c>
      <c r="D72" s="16" t="n">
        <f aca="false">(D49+D28)*Inputs!$C$60*Inputs!$C$129*(1+Inputs!$C$61)^(D7-1)*Inputs!$C$57</f>
        <v>0</v>
      </c>
      <c r="E72" s="16" t="n">
        <f aca="false">(E49+E28)*Inputs!$C$60*Inputs!$C$129*(1+Inputs!$C$61)^(E7-1)*Inputs!$C$57</f>
        <v>0</v>
      </c>
      <c r="F72" s="16" t="n">
        <f aca="false">(F49+F28)*Inputs!$C$60*Inputs!$C$129*(1+Inputs!$C$61)^(F7-1)*Inputs!$C$57</f>
        <v>0</v>
      </c>
      <c r="G72" s="16" t="n">
        <f aca="false">(G49+G28)*Inputs!$C$60*Inputs!$C$129*(1+Inputs!$C$61)^(G7-1)*Inputs!$C$57</f>
        <v>0.009</v>
      </c>
      <c r="H72" s="16" t="n">
        <f aca="false">(H49+H28)*Inputs!$C$60*Inputs!$C$129*(1+Inputs!$C$61)^(H7-1)*Inputs!$C$57</f>
        <v>0.018</v>
      </c>
      <c r="I72" s="16" t="n">
        <f aca="false">(I49+I28)*Inputs!$C$60*Inputs!$C$129*(1+Inputs!$C$61)^(I7-1)*Inputs!$C$57</f>
        <v>0.027</v>
      </c>
      <c r="J72" s="16" t="n">
        <f aca="false">(J49+J28)*Inputs!$C$60*Inputs!$C$129*(1+Inputs!$C$61)^(J7-1)*Inputs!$C$57</f>
        <v>0.03</v>
      </c>
      <c r="K72" s="16" t="n">
        <f aca="false">(K49+K28)*Inputs!$C$60*Inputs!$C$129*(1+Inputs!$C$61)^(K7-1)*Inputs!$C$57</f>
        <v>0.036</v>
      </c>
      <c r="L72" s="16" t="n">
        <f aca="false">(L49+L28)*Inputs!$C$60*Inputs!$C$129*(1+Inputs!$C$61)^(L7-1)*Inputs!$C$57</f>
        <v>0.04995</v>
      </c>
      <c r="M72" s="16" t="n">
        <f aca="false">(M49+M28)*Inputs!$C$60*Inputs!$C$129*(1+Inputs!$C$61)^(M7-1)*Inputs!$C$57</f>
        <v>0.0638612493193047</v>
      </c>
      <c r="N72" s="16" t="n">
        <f aca="false">(N49+N28)*Inputs!$C$60*Inputs!$C$129*(1+Inputs!$C$61)^(N7-1)*Inputs!$C$57</f>
        <v>0.0777340513145312</v>
      </c>
      <c r="O72" s="16" t="n">
        <f aca="false">(O49+O28)*Inputs!$C$60*Inputs!$C$129*(1+Inputs!$C$61)^(O7-1)*Inputs!$C$57</f>
        <v>0.0932187069674933</v>
      </c>
      <c r="P72" s="16" t="n">
        <f aca="false">(P49+P28)*Inputs!$C$60*Inputs!$C$129*(1+Inputs!$C$61)^(P7-1)*Inputs!$C$57</f>
        <v>0.101937468109716</v>
      </c>
      <c r="Q72" s="16" t="n">
        <f aca="false">(Q49+Q28)*Inputs!$C$60*Inputs!$C$129*(1+Inputs!$C$61)^(Q7-1)*Inputs!$C$57</f>
        <v>0.113974544708083</v>
      </c>
      <c r="R72" s="16" t="n">
        <f aca="false">(R49+R28)*Inputs!$C$60*Inputs!$C$129*(1+Inputs!$C$61)^(R7-1)*Inputs!$C$57</f>
        <v>0.124657201009119</v>
      </c>
      <c r="S72" s="16" t="n">
        <f aca="false">(S49+S28)*Inputs!$C$60*Inputs!$C$129*(1+Inputs!$C$61)^(S7-1)*Inputs!$C$57</f>
        <v>0.201333851386256</v>
      </c>
      <c r="T72" s="16" t="n">
        <f aca="false">(T49+T28)*Inputs!$C$60*Inputs!$C$129*(1+Inputs!$C$61)^(T7-1)*Inputs!$C$57</f>
        <v>0.28803275706828</v>
      </c>
      <c r="U72" s="16" t="n">
        <f aca="false">(U49+U28)*Inputs!$C$60*Inputs!$C$129*(1+Inputs!$C$61)^(U7-1)*Inputs!$C$57</f>
        <v>0.383174892621812</v>
      </c>
      <c r="V72" s="16" t="n">
        <f aca="false">(V49+V28)*Inputs!$C$60*Inputs!$C$129*(1+Inputs!$C$61)^(V7-1)*Inputs!$C$57</f>
        <v>0.422250971488298</v>
      </c>
      <c r="W72" s="16" t="n">
        <f aca="false">(W49+W28)*Inputs!$C$60*Inputs!$C$129*(1+Inputs!$C$61)^(W7-1)*Inputs!$C$57</f>
        <v>0.461221945365866</v>
      </c>
      <c r="X72" s="16" t="n">
        <f aca="false">(X49+X28)*Inputs!$C$60*Inputs!$C$129*(1+Inputs!$C$61)^(X7-1)*Inputs!$C$57</f>
        <v>0.535569204380549</v>
      </c>
      <c r="Y72" s="16" t="n">
        <f aca="false">(Y49+Y28)*Inputs!$C$60*Inputs!$C$129*(1+Inputs!$C$61)^(Y7-1)*Inputs!$C$57</f>
        <v>0.605687740782138</v>
      </c>
      <c r="Z72" s="16" t="n">
        <f aca="false">(Z49+Z28)*Inputs!$C$60*Inputs!$C$129*(1+Inputs!$C$61)^(Z7-1)*Inputs!$C$57</f>
        <v>0.671543725794833</v>
      </c>
      <c r="AA72" s="16" t="n">
        <f aca="false">(AA49+AA28)*Inputs!$C$60*Inputs!$C$129*(1+Inputs!$C$61)^(AA7-1)*Inputs!$C$57</f>
        <v>0.733103595468708</v>
      </c>
      <c r="AB72" s="16" t="n">
        <f aca="false">(AB49+AB28)*Inputs!$C$60*Inputs!$C$129*(1+Inputs!$C$61)^(AB7-1)*Inputs!$C$57</f>
        <v>0.75893984617622</v>
      </c>
      <c r="AC72" s="16" t="n">
        <f aca="false">(AC49+AC28)*Inputs!$C$60*Inputs!$C$129*(1+Inputs!$C$61)^(AC7-1)*Inputs!$C$57</f>
        <v>0.82540944247156</v>
      </c>
      <c r="AD72" s="16" t="n">
        <f aca="false">(AD49+AD28)*Inputs!$C$60*Inputs!$C$129*(1+Inputs!$C$61)^(AD7-1)*Inputs!$C$57</f>
        <v>0.891358686827104</v>
      </c>
      <c r="AE72" s="16" t="n">
        <f aca="false">(AE49+AE28)*Inputs!$C$60*Inputs!$C$129*(1+Inputs!$C$61)^(AE7-1)*Inputs!$C$57</f>
        <v>1.07529963533656</v>
      </c>
      <c r="AF72" s="16" t="n">
        <f aca="false">(AF49+AF28)*Inputs!$C$60*Inputs!$C$129*(1+Inputs!$C$61)^(AF7-1)*Inputs!$C$57</f>
        <v>1.27497334708432</v>
      </c>
      <c r="AG72" s="16" t="n">
        <f aca="false">(AG49+AG28)*Inputs!$C$60*Inputs!$C$129*(1+Inputs!$C$61)^(AG7-1)*Inputs!$C$57</f>
        <v>1.49038383207505</v>
      </c>
      <c r="AH72" s="16" t="n">
        <f aca="false">(AH49+AH28)*Inputs!$C$60*Inputs!$C$129*(1+Inputs!$C$61)^(AH7-1)*Inputs!$C$57</f>
        <v>1.60302708636144</v>
      </c>
      <c r="AI72" s="16" t="n">
        <f aca="false">(AI49+AI28)*Inputs!$C$60*Inputs!$C$129*(1+Inputs!$C$61)^(AI7-1)*Inputs!$C$57</f>
        <v>1.71517003996992</v>
      </c>
      <c r="AJ72" s="16" t="n">
        <f aca="false">(AJ49+AJ28)*Inputs!$C$60*Inputs!$C$129*(1+Inputs!$C$61)^(AJ7-1)*Inputs!$C$57</f>
        <v>1.8919959998725</v>
      </c>
      <c r="AK72" s="16" t="n">
        <f aca="false">(AK49+AK28)*Inputs!$C$60*Inputs!$C$129*(1+Inputs!$C$61)^(AK7-1)*Inputs!$C$57</f>
        <v>2.06050895989889</v>
      </c>
      <c r="AL72" s="16" t="n">
        <f aca="false">(AL49+AL28)*Inputs!$C$60*Inputs!$C$129*(1+Inputs!$C$61)^(AL7-1)*Inputs!$C$57</f>
        <v>2.22064682501796</v>
      </c>
      <c r="AM72" s="16" t="n">
        <f aca="false">(AM49+AM28)*Inputs!$C$60*Inputs!$C$129*(1+Inputs!$C$61)^(AM7-1)*Inputs!$C$57</f>
        <v>2.3723479863046</v>
      </c>
      <c r="AN72" s="16" t="n">
        <f aca="false">(AN49+AN28)*Inputs!$C$60*Inputs!$C$129*(1+Inputs!$C$61)^(AN7-1)*Inputs!$C$57</f>
        <v>2.40520650127753</v>
      </c>
      <c r="AO72" s="16" t="n">
        <f aca="false">(AO49+AO28)*Inputs!$C$60*Inputs!$C$129*(1+Inputs!$C$61)^(AO7-1)*Inputs!$C$57</f>
        <v>2.56398461093688</v>
      </c>
      <c r="AP72" s="16" t="n">
        <f aca="false">(AP49+AP28)*Inputs!$C$60*Inputs!$C$129*(1+Inputs!$C$61)^(AP7-1)*Inputs!$C$57</f>
        <v>2.72151973881264</v>
      </c>
      <c r="AQ72" s="16" t="n">
        <f aca="false">(AQ49+AQ28)*Inputs!$C$60*Inputs!$C$129*(1+Inputs!$C$61)^(AQ7-1)*Inputs!$C$57</f>
        <v>2.99940663642067</v>
      </c>
      <c r="AR72" s="16" t="n">
        <f aca="false">(AR49+AR28)*Inputs!$C$60*Inputs!$C$129*(1+Inputs!$C$61)^(AR7-1)*Inputs!$C$57</f>
        <v>3.29664693723777</v>
      </c>
      <c r="AS72" s="16" t="n">
        <f aca="false">(AS49+AS28)*Inputs!$C$60*Inputs!$C$129*(1+Inputs!$C$61)^(AS7-1)*Inputs!$C$57</f>
        <v>3.61325022009393</v>
      </c>
      <c r="AT72" s="16" t="n">
        <f aca="false">(AT49+AT28)*Inputs!$C$60*Inputs!$C$129*(1+Inputs!$C$61)^(AT7-1)*Inputs!$C$57</f>
        <v>3.82764096790007</v>
      </c>
      <c r="AU72" s="16" t="n">
        <f aca="false">(AU49+AU28)*Inputs!$C$60*Inputs!$C$129*(1+Inputs!$C$61)^(AU7-1)*Inputs!$C$57</f>
        <v>4.04083663103101</v>
      </c>
      <c r="AV72" s="16" t="n">
        <f aca="false">(AV49+AV28)*Inputs!$C$60*Inputs!$C$129*(1+Inputs!$C$61)^(AV7-1)*Inputs!$C$57</f>
        <v>4.31971832662452</v>
      </c>
      <c r="AW72" s="16" t="n">
        <f aca="false">(AW49+AW28)*Inputs!$C$60*Inputs!$C$129*(1+Inputs!$C$61)^(AW7-1)*Inputs!$C$57</f>
        <v>4.58764042529526</v>
      </c>
      <c r="AX72" s="16" t="n">
        <f aca="false">(AX49+AX28)*Inputs!$C$60*Inputs!$C$129*(1+Inputs!$C$61)^(AX7-1)*Inputs!$C$57</f>
        <v>4.84452763796934</v>
      </c>
      <c r="AY72" s="16" t="n">
        <f aca="false">(AY49+AY28)*Inputs!$C$60*Inputs!$C$129*(1+Inputs!$C$61)^(AY7-1)*Inputs!$C$57</f>
        <v>5.09030526496739</v>
      </c>
      <c r="AZ72" s="16" t="n">
        <f aca="false">(AZ49+AZ28)*Inputs!$C$60*Inputs!$C$129*(1+Inputs!$C$61)^(AZ7-1)*Inputs!$C$57</f>
        <v>5.078202381821</v>
      </c>
      <c r="BA72" s="16" t="n">
        <f aca="false">(BA49+BA28)*Inputs!$C$60*Inputs!$C$129*(1+Inputs!$C$61)^(BA7-1)*Inputs!$C$57</f>
        <v>5.32946853841531</v>
      </c>
      <c r="BB72" s="16" t="n">
        <f aca="false">(BB49+BB28)*Inputs!$C$60*Inputs!$C$129*(1+Inputs!$C$61)^(BB7-1)*Inputs!$C$57</f>
        <v>5.57876767791796</v>
      </c>
      <c r="BC72" s="16" t="n">
        <f aca="false">(BC49+BC28)*Inputs!$C$60*Inputs!$C$129*(1+Inputs!$C$61)^(BC7-1)*Inputs!$C$57</f>
        <v>5.93917745010097</v>
      </c>
      <c r="BD72" s="16" t="n">
        <f aca="false">(BD49+BD28)*Inputs!$C$60*Inputs!$C$129*(1+Inputs!$C$61)^(BD7-1)*Inputs!$C$57</f>
        <v>6.31475551316855</v>
      </c>
      <c r="BE72" s="16" t="n">
        <f aca="false">(BE49+BE28)*Inputs!$C$60*Inputs!$C$129*(1+Inputs!$C$61)^(BE7-1)*Inputs!$C$57</f>
        <v>6.705517025607</v>
      </c>
      <c r="BF72" s="16" t="n">
        <f aca="false">(BF49+BF28)*Inputs!$C$60*Inputs!$C$129*(1+Inputs!$C$61)^(BF7-1)*Inputs!$C$57</f>
        <v>6.99841477610023</v>
      </c>
      <c r="BG72" s="16" t="n">
        <f aca="false">(BG49+BG28)*Inputs!$C$60*Inputs!$C$129*(1+Inputs!$C$61)^(BG7-1)*Inputs!$C$57</f>
        <v>7.28942130661491</v>
      </c>
      <c r="BH72" s="16" t="n">
        <f aca="false">(BH49+BH28)*Inputs!$C$60*Inputs!$C$129*(1+Inputs!$C$61)^(BH7-1)*Inputs!$C$57</f>
        <v>7.64073566054047</v>
      </c>
      <c r="BI72" s="16" t="n">
        <f aca="false">(BI49+BI28)*Inputs!$C$60*Inputs!$C$129*(1+Inputs!$C$61)^(BI7-1)*Inputs!$C$57</f>
        <v>7.98200440069834</v>
      </c>
      <c r="BJ72" s="16" t="n">
        <f aca="false">(BJ49+BJ28)*Inputs!$C$60*Inputs!$C$129*(1+Inputs!$C$61)^(BJ7-1)*Inputs!$C$57</f>
        <v>8.31317226613247</v>
      </c>
      <c r="BK72" s="16" t="n">
        <f aca="false">(BK49+BK28)*Inputs!$C$60*Inputs!$C$129*(1+Inputs!$C$61)^(BK7-1)*Inputs!$C$57</f>
        <v>8.63418442849277</v>
      </c>
    </row>
    <row r="73" customFormat="false" ht="15" hidden="false" customHeight="true" outlineLevel="0" collapsed="false">
      <c r="A73" s="12" t="s">
        <v>1948</v>
      </c>
      <c r="B73" s="4" t="s">
        <v>44</v>
      </c>
      <c r="D73" s="16" t="n">
        <f aca="false">(D49+D28)*Inputs!$C$60*Inputs!$C$129*(1+Inputs!$C$61)^(D7-1)*Inputs!$C$58</f>
        <v>0</v>
      </c>
      <c r="E73" s="16" t="n">
        <f aca="false">(E49+E28)*Inputs!$C$60*Inputs!$C$129*(1+Inputs!$C$61)^(E7-1)*Inputs!$C$58</f>
        <v>0</v>
      </c>
      <c r="F73" s="16" t="n">
        <f aca="false">(F49+F28)*Inputs!$C$60*Inputs!$C$129*(1+Inputs!$C$61)^(F7-1)*Inputs!$C$58</f>
        <v>0</v>
      </c>
      <c r="G73" s="16" t="n">
        <f aca="false">(G49+G28)*Inputs!$C$60*Inputs!$C$129*(1+Inputs!$C$61)^(G7-1)*Inputs!$C$58</f>
        <v>0.01125</v>
      </c>
      <c r="H73" s="16" t="n">
        <f aca="false">(H49+H28)*Inputs!$C$60*Inputs!$C$129*(1+Inputs!$C$61)^(H7-1)*Inputs!$C$58</f>
        <v>0.0225</v>
      </c>
      <c r="I73" s="16" t="n">
        <f aca="false">(I49+I28)*Inputs!$C$60*Inputs!$C$129*(1+Inputs!$C$61)^(I7-1)*Inputs!$C$58</f>
        <v>0.03375</v>
      </c>
      <c r="J73" s="16" t="n">
        <f aca="false">(J49+J28)*Inputs!$C$60*Inputs!$C$129*(1+Inputs!$C$61)^(J7-1)*Inputs!$C$58</f>
        <v>0.0375</v>
      </c>
      <c r="K73" s="16" t="n">
        <f aca="false">(K49+K28)*Inputs!$C$60*Inputs!$C$129*(1+Inputs!$C$61)^(K7-1)*Inputs!$C$58</f>
        <v>0.045</v>
      </c>
      <c r="L73" s="16" t="n">
        <f aca="false">(L49+L28)*Inputs!$C$60*Inputs!$C$129*(1+Inputs!$C$61)^(L7-1)*Inputs!$C$58</f>
        <v>0.0624375</v>
      </c>
      <c r="M73" s="16" t="n">
        <f aca="false">(M49+M28)*Inputs!$C$60*Inputs!$C$129*(1+Inputs!$C$61)^(M7-1)*Inputs!$C$58</f>
        <v>0.0798265616491309</v>
      </c>
      <c r="N73" s="16" t="n">
        <f aca="false">(N49+N28)*Inputs!$C$60*Inputs!$C$129*(1+Inputs!$C$61)^(N7-1)*Inputs!$C$58</f>
        <v>0.097167564143164</v>
      </c>
      <c r="O73" s="16" t="n">
        <f aca="false">(O49+O28)*Inputs!$C$60*Inputs!$C$129*(1+Inputs!$C$61)^(O7-1)*Inputs!$C$58</f>
        <v>0.116523383709367</v>
      </c>
      <c r="P73" s="16" t="n">
        <f aca="false">(P49+P28)*Inputs!$C$60*Inputs!$C$129*(1+Inputs!$C$61)^(P7-1)*Inputs!$C$58</f>
        <v>0.127421835137145</v>
      </c>
      <c r="Q73" s="16" t="n">
        <f aca="false">(Q49+Q28)*Inputs!$C$60*Inputs!$C$129*(1+Inputs!$C$61)^(Q7-1)*Inputs!$C$58</f>
        <v>0.142468180885104</v>
      </c>
      <c r="R73" s="16" t="n">
        <f aca="false">(R49+R28)*Inputs!$C$60*Inputs!$C$129*(1+Inputs!$C$61)^(R7-1)*Inputs!$C$58</f>
        <v>0.155821501261399</v>
      </c>
      <c r="S73" s="16" t="n">
        <f aca="false">(S49+S28)*Inputs!$C$60*Inputs!$C$129*(1+Inputs!$C$61)^(S7-1)*Inputs!$C$58</f>
        <v>0.25166731423282</v>
      </c>
      <c r="T73" s="16" t="n">
        <f aca="false">(T49+T28)*Inputs!$C$60*Inputs!$C$129*(1+Inputs!$C$61)^(T7-1)*Inputs!$C$58</f>
        <v>0.36004094633535</v>
      </c>
      <c r="U73" s="16" t="n">
        <f aca="false">(U49+U28)*Inputs!$C$60*Inputs!$C$129*(1+Inputs!$C$61)^(U7-1)*Inputs!$C$58</f>
        <v>0.478968615777265</v>
      </c>
      <c r="V73" s="16" t="n">
        <f aca="false">(V49+V28)*Inputs!$C$60*Inputs!$C$129*(1+Inputs!$C$61)^(V7-1)*Inputs!$C$58</f>
        <v>0.527813714360373</v>
      </c>
      <c r="W73" s="16" t="n">
        <f aca="false">(W49+W28)*Inputs!$C$60*Inputs!$C$129*(1+Inputs!$C$61)^(W7-1)*Inputs!$C$58</f>
        <v>0.576527431707332</v>
      </c>
      <c r="X73" s="16" t="n">
        <f aca="false">(X49+X28)*Inputs!$C$60*Inputs!$C$129*(1+Inputs!$C$61)^(X7-1)*Inputs!$C$58</f>
        <v>0.669461505475686</v>
      </c>
      <c r="Y73" s="16" t="n">
        <f aca="false">(Y49+Y28)*Inputs!$C$60*Inputs!$C$129*(1+Inputs!$C$61)^(Y7-1)*Inputs!$C$58</f>
        <v>0.757109675977673</v>
      </c>
      <c r="Z73" s="16" t="n">
        <f aca="false">(Z49+Z28)*Inputs!$C$60*Inputs!$C$129*(1+Inputs!$C$61)^(Z7-1)*Inputs!$C$58</f>
        <v>0.839429657243541</v>
      </c>
      <c r="AA73" s="16" t="n">
        <f aca="false">(AA49+AA28)*Inputs!$C$60*Inputs!$C$129*(1+Inputs!$C$61)^(AA7-1)*Inputs!$C$58</f>
        <v>0.916379494335885</v>
      </c>
      <c r="AB73" s="16" t="n">
        <f aca="false">(AB49+AB28)*Inputs!$C$60*Inputs!$C$129*(1+Inputs!$C$61)^(AB7-1)*Inputs!$C$58</f>
        <v>0.948674807720275</v>
      </c>
      <c r="AC73" s="16" t="n">
        <f aca="false">(AC49+AC28)*Inputs!$C$60*Inputs!$C$129*(1+Inputs!$C$61)^(AC7-1)*Inputs!$C$58</f>
        <v>1.03176180308945</v>
      </c>
      <c r="AD73" s="16" t="n">
        <f aca="false">(AD49+AD28)*Inputs!$C$60*Inputs!$C$129*(1+Inputs!$C$61)^(AD7-1)*Inputs!$C$58</f>
        <v>1.11419835853388</v>
      </c>
      <c r="AE73" s="16" t="n">
        <f aca="false">(AE49+AE28)*Inputs!$C$60*Inputs!$C$129*(1+Inputs!$C$61)^(AE7-1)*Inputs!$C$58</f>
        <v>1.34412454417071</v>
      </c>
      <c r="AF73" s="16" t="n">
        <f aca="false">(AF49+AF28)*Inputs!$C$60*Inputs!$C$129*(1+Inputs!$C$61)^(AF7-1)*Inputs!$C$58</f>
        <v>1.5937166838554</v>
      </c>
      <c r="AG73" s="16" t="n">
        <f aca="false">(AG49+AG28)*Inputs!$C$60*Inputs!$C$129*(1+Inputs!$C$61)^(AG7-1)*Inputs!$C$58</f>
        <v>1.86297979009381</v>
      </c>
      <c r="AH73" s="16" t="n">
        <f aca="false">(AH49+AH28)*Inputs!$C$60*Inputs!$C$129*(1+Inputs!$C$61)^(AH7-1)*Inputs!$C$58</f>
        <v>2.0037838579518</v>
      </c>
      <c r="AI73" s="16" t="n">
        <f aca="false">(AI49+AI28)*Inputs!$C$60*Inputs!$C$129*(1+Inputs!$C$61)^(AI7-1)*Inputs!$C$58</f>
        <v>2.1439625499624</v>
      </c>
      <c r="AJ73" s="16" t="n">
        <f aca="false">(AJ49+AJ28)*Inputs!$C$60*Inputs!$C$129*(1+Inputs!$C$61)^(AJ7-1)*Inputs!$C$58</f>
        <v>2.36499499984063</v>
      </c>
      <c r="AK73" s="16" t="n">
        <f aca="false">(AK49+AK28)*Inputs!$C$60*Inputs!$C$129*(1+Inputs!$C$61)^(AK7-1)*Inputs!$C$58</f>
        <v>2.57563619987361</v>
      </c>
      <c r="AL73" s="16" t="n">
        <f aca="false">(AL49+AL28)*Inputs!$C$60*Inputs!$C$129*(1+Inputs!$C$61)^(AL7-1)*Inputs!$C$58</f>
        <v>2.77580853127245</v>
      </c>
      <c r="AM73" s="16" t="n">
        <f aca="false">(AM49+AM28)*Inputs!$C$60*Inputs!$C$129*(1+Inputs!$C$61)^(AM7-1)*Inputs!$C$58</f>
        <v>2.96543498288075</v>
      </c>
      <c r="AN73" s="16" t="n">
        <f aca="false">(AN49+AN28)*Inputs!$C$60*Inputs!$C$129*(1+Inputs!$C$61)^(AN7-1)*Inputs!$C$58</f>
        <v>3.00650812659692</v>
      </c>
      <c r="AO73" s="16" t="n">
        <f aca="false">(AO49+AO28)*Inputs!$C$60*Inputs!$C$129*(1+Inputs!$C$61)^(AO7-1)*Inputs!$C$58</f>
        <v>3.2049807636711</v>
      </c>
      <c r="AP73" s="16" t="n">
        <f aca="false">(AP49+AP28)*Inputs!$C$60*Inputs!$C$129*(1+Inputs!$C$61)^(AP7-1)*Inputs!$C$58</f>
        <v>3.4018996735158</v>
      </c>
      <c r="AQ73" s="16" t="n">
        <f aca="false">(AQ49+AQ28)*Inputs!$C$60*Inputs!$C$129*(1+Inputs!$C$61)^(AQ7-1)*Inputs!$C$58</f>
        <v>3.74925829552584</v>
      </c>
      <c r="AR73" s="16" t="n">
        <f aca="false">(AR49+AR28)*Inputs!$C$60*Inputs!$C$129*(1+Inputs!$C$61)^(AR7-1)*Inputs!$C$58</f>
        <v>4.12080867154721</v>
      </c>
      <c r="AS73" s="16" t="n">
        <f aca="false">(AS49+AS28)*Inputs!$C$60*Inputs!$C$129*(1+Inputs!$C$61)^(AS7-1)*Inputs!$C$58</f>
        <v>4.51656277511742</v>
      </c>
      <c r="AT73" s="16" t="n">
        <f aca="false">(AT49+AT28)*Inputs!$C$60*Inputs!$C$129*(1+Inputs!$C$61)^(AT7-1)*Inputs!$C$58</f>
        <v>4.78455120987509</v>
      </c>
      <c r="AU73" s="16" t="n">
        <f aca="false">(AU49+AU28)*Inputs!$C$60*Inputs!$C$129*(1+Inputs!$C$61)^(AU7-1)*Inputs!$C$58</f>
        <v>5.05104578878876</v>
      </c>
      <c r="AV73" s="16" t="n">
        <f aca="false">(AV49+AV28)*Inputs!$C$60*Inputs!$C$129*(1+Inputs!$C$61)^(AV7-1)*Inputs!$C$58</f>
        <v>5.39964790828065</v>
      </c>
      <c r="AW73" s="16" t="n">
        <f aca="false">(AW49+AW28)*Inputs!$C$60*Inputs!$C$129*(1+Inputs!$C$61)^(AW7-1)*Inputs!$C$58</f>
        <v>5.73455053161908</v>
      </c>
      <c r="AX73" s="16" t="n">
        <f aca="false">(AX49+AX28)*Inputs!$C$60*Inputs!$C$129*(1+Inputs!$C$61)^(AX7-1)*Inputs!$C$58</f>
        <v>6.05565954746168</v>
      </c>
      <c r="AY73" s="16" t="n">
        <f aca="false">(AY49+AY28)*Inputs!$C$60*Inputs!$C$129*(1+Inputs!$C$61)^(AY7-1)*Inputs!$C$58</f>
        <v>6.36288158120924</v>
      </c>
      <c r="AZ73" s="16" t="n">
        <f aca="false">(AZ49+AZ28)*Inputs!$C$60*Inputs!$C$129*(1+Inputs!$C$61)^(AZ7-1)*Inputs!$C$58</f>
        <v>6.34775297727625</v>
      </c>
      <c r="BA73" s="16" t="n">
        <f aca="false">(BA49+BA28)*Inputs!$C$60*Inputs!$C$129*(1+Inputs!$C$61)^(BA7-1)*Inputs!$C$58</f>
        <v>6.66183567301914</v>
      </c>
      <c r="BB73" s="16" t="n">
        <f aca="false">(BB49+BB28)*Inputs!$C$60*Inputs!$C$129*(1+Inputs!$C$61)^(BB7-1)*Inputs!$C$58</f>
        <v>6.97345959739746</v>
      </c>
      <c r="BC73" s="16" t="n">
        <f aca="false">(BC49+BC28)*Inputs!$C$60*Inputs!$C$129*(1+Inputs!$C$61)^(BC7-1)*Inputs!$C$58</f>
        <v>7.42397181262622</v>
      </c>
      <c r="BD73" s="16" t="n">
        <f aca="false">(BD49+BD28)*Inputs!$C$60*Inputs!$C$129*(1+Inputs!$C$61)^(BD7-1)*Inputs!$C$58</f>
        <v>7.89344439146068</v>
      </c>
      <c r="BE73" s="16" t="n">
        <f aca="false">(BE49+BE28)*Inputs!$C$60*Inputs!$C$129*(1+Inputs!$C$61)^(BE7-1)*Inputs!$C$58</f>
        <v>8.38189628200875</v>
      </c>
      <c r="BF73" s="16" t="n">
        <f aca="false">(BF49+BF28)*Inputs!$C$60*Inputs!$C$129*(1+Inputs!$C$61)^(BF7-1)*Inputs!$C$58</f>
        <v>8.74801847012529</v>
      </c>
      <c r="BG73" s="16" t="n">
        <f aca="false">(BG49+BG28)*Inputs!$C$60*Inputs!$C$129*(1+Inputs!$C$61)^(BG7-1)*Inputs!$C$58</f>
        <v>9.11177663326864</v>
      </c>
      <c r="BH73" s="16" t="n">
        <f aca="false">(BH49+BH28)*Inputs!$C$60*Inputs!$C$129*(1+Inputs!$C$61)^(BH7-1)*Inputs!$C$58</f>
        <v>9.55091957567559</v>
      </c>
      <c r="BI73" s="16" t="n">
        <f aca="false">(BI49+BI28)*Inputs!$C$60*Inputs!$C$129*(1+Inputs!$C$61)^(BI7-1)*Inputs!$C$58</f>
        <v>9.97750550087293</v>
      </c>
      <c r="BJ73" s="16" t="n">
        <f aca="false">(BJ49+BJ28)*Inputs!$C$60*Inputs!$C$129*(1+Inputs!$C$61)^(BJ7-1)*Inputs!$C$58</f>
        <v>10.3914653326656</v>
      </c>
      <c r="BK73" s="16" t="n">
        <f aca="false">(BK49+BK28)*Inputs!$C$60*Inputs!$C$129*(1+Inputs!$C$61)^(BK7-1)*Inputs!$C$58</f>
        <v>10.792730535616</v>
      </c>
    </row>
    <row r="74" customFormat="false" ht="15" hidden="false" customHeight="true" outlineLevel="0" collapsed="false">
      <c r="A74" s="12" t="s">
        <v>686</v>
      </c>
      <c r="B74" s="4" t="s">
        <v>44</v>
      </c>
      <c r="D74" s="16" t="n">
        <f aca="false">(D49+D28)*Inputs!$C$60*Inputs!$C$129*(1+Inputs!$C$61)^(D7-1)*Inputs!$C$59</f>
        <v>0</v>
      </c>
      <c r="E74" s="16" t="n">
        <f aca="false">(E49+E28)*Inputs!$C$60*Inputs!$C$129*(1+Inputs!$C$61)^(E7-1)*Inputs!$C$59</f>
        <v>0</v>
      </c>
      <c r="F74" s="16" t="n">
        <f aca="false">(F49+F28)*Inputs!$C$60*Inputs!$C$129*(1+Inputs!$C$61)^(F7-1)*Inputs!$C$59</f>
        <v>0</v>
      </c>
      <c r="G74" s="16" t="n">
        <f aca="false">(G49+G28)*Inputs!$C$60*Inputs!$C$129*(1+Inputs!$C$61)^(G7-1)*Inputs!$C$59</f>
        <v>0.01125</v>
      </c>
      <c r="H74" s="16" t="n">
        <f aca="false">(H49+H28)*Inputs!$C$60*Inputs!$C$129*(1+Inputs!$C$61)^(H7-1)*Inputs!$C$59</f>
        <v>0.0225</v>
      </c>
      <c r="I74" s="16" t="n">
        <f aca="false">(I49+I28)*Inputs!$C$60*Inputs!$C$129*(1+Inputs!$C$61)^(I7-1)*Inputs!$C$59</f>
        <v>0.03375</v>
      </c>
      <c r="J74" s="16" t="n">
        <f aca="false">(J49+J28)*Inputs!$C$60*Inputs!$C$129*(1+Inputs!$C$61)^(J7-1)*Inputs!$C$59</f>
        <v>0.0375</v>
      </c>
      <c r="K74" s="16" t="n">
        <f aca="false">(K49+K28)*Inputs!$C$60*Inputs!$C$129*(1+Inputs!$C$61)^(K7-1)*Inputs!$C$59</f>
        <v>0.045</v>
      </c>
      <c r="L74" s="16" t="n">
        <f aca="false">(L49+L28)*Inputs!$C$60*Inputs!$C$129*(1+Inputs!$C$61)^(L7-1)*Inputs!$C$59</f>
        <v>0.0624375</v>
      </c>
      <c r="M74" s="16" t="n">
        <f aca="false">(M49+M28)*Inputs!$C$60*Inputs!$C$129*(1+Inputs!$C$61)^(M7-1)*Inputs!$C$59</f>
        <v>0.0798265616491309</v>
      </c>
      <c r="N74" s="16" t="n">
        <f aca="false">(N49+N28)*Inputs!$C$60*Inputs!$C$129*(1+Inputs!$C$61)^(N7-1)*Inputs!$C$59</f>
        <v>0.097167564143164</v>
      </c>
      <c r="O74" s="16" t="n">
        <f aca="false">(O49+O28)*Inputs!$C$60*Inputs!$C$129*(1+Inputs!$C$61)^(O7-1)*Inputs!$C$59</f>
        <v>0.116523383709367</v>
      </c>
      <c r="P74" s="16" t="n">
        <f aca="false">(P49+P28)*Inputs!$C$60*Inputs!$C$129*(1+Inputs!$C$61)^(P7-1)*Inputs!$C$59</f>
        <v>0.127421835137145</v>
      </c>
      <c r="Q74" s="16" t="n">
        <f aca="false">(Q49+Q28)*Inputs!$C$60*Inputs!$C$129*(1+Inputs!$C$61)^(Q7-1)*Inputs!$C$59</f>
        <v>0.142468180885104</v>
      </c>
      <c r="R74" s="16" t="n">
        <f aca="false">(R49+R28)*Inputs!$C$60*Inputs!$C$129*(1+Inputs!$C$61)^(R7-1)*Inputs!$C$59</f>
        <v>0.155821501261399</v>
      </c>
      <c r="S74" s="16" t="n">
        <f aca="false">(S49+S28)*Inputs!$C$60*Inputs!$C$129*(1+Inputs!$C$61)^(S7-1)*Inputs!$C$59</f>
        <v>0.25166731423282</v>
      </c>
      <c r="T74" s="16" t="n">
        <f aca="false">(T49+T28)*Inputs!$C$60*Inputs!$C$129*(1+Inputs!$C$61)^(T7-1)*Inputs!$C$59</f>
        <v>0.36004094633535</v>
      </c>
      <c r="U74" s="16" t="n">
        <f aca="false">(U49+U28)*Inputs!$C$60*Inputs!$C$129*(1+Inputs!$C$61)^(U7-1)*Inputs!$C$59</f>
        <v>0.478968615777265</v>
      </c>
      <c r="V74" s="16" t="n">
        <f aca="false">(V49+V28)*Inputs!$C$60*Inputs!$C$129*(1+Inputs!$C$61)^(V7-1)*Inputs!$C$59</f>
        <v>0.527813714360373</v>
      </c>
      <c r="W74" s="16" t="n">
        <f aca="false">(W49+W28)*Inputs!$C$60*Inputs!$C$129*(1+Inputs!$C$61)^(W7-1)*Inputs!$C$59</f>
        <v>0.576527431707332</v>
      </c>
      <c r="X74" s="16" t="n">
        <f aca="false">(X49+X28)*Inputs!$C$60*Inputs!$C$129*(1+Inputs!$C$61)^(X7-1)*Inputs!$C$59</f>
        <v>0.669461505475686</v>
      </c>
      <c r="Y74" s="16" t="n">
        <f aca="false">(Y49+Y28)*Inputs!$C$60*Inputs!$C$129*(1+Inputs!$C$61)^(Y7-1)*Inputs!$C$59</f>
        <v>0.757109675977673</v>
      </c>
      <c r="Z74" s="16" t="n">
        <f aca="false">(Z49+Z28)*Inputs!$C$60*Inputs!$C$129*(1+Inputs!$C$61)^(Z7-1)*Inputs!$C$59</f>
        <v>0.839429657243541</v>
      </c>
      <c r="AA74" s="16" t="n">
        <f aca="false">(AA49+AA28)*Inputs!$C$60*Inputs!$C$129*(1+Inputs!$C$61)^(AA7-1)*Inputs!$C$59</f>
        <v>0.916379494335885</v>
      </c>
      <c r="AB74" s="16" t="n">
        <f aca="false">(AB49+AB28)*Inputs!$C$60*Inputs!$C$129*(1+Inputs!$C$61)^(AB7-1)*Inputs!$C$59</f>
        <v>0.948674807720275</v>
      </c>
      <c r="AC74" s="16" t="n">
        <f aca="false">(AC49+AC28)*Inputs!$C$60*Inputs!$C$129*(1+Inputs!$C$61)^(AC7-1)*Inputs!$C$59</f>
        <v>1.03176180308945</v>
      </c>
      <c r="AD74" s="16" t="n">
        <f aca="false">(AD49+AD28)*Inputs!$C$60*Inputs!$C$129*(1+Inputs!$C$61)^(AD7-1)*Inputs!$C$59</f>
        <v>1.11419835853388</v>
      </c>
      <c r="AE74" s="16" t="n">
        <f aca="false">(AE49+AE28)*Inputs!$C$60*Inputs!$C$129*(1+Inputs!$C$61)^(AE7-1)*Inputs!$C$59</f>
        <v>1.34412454417071</v>
      </c>
      <c r="AF74" s="16" t="n">
        <f aca="false">(AF49+AF28)*Inputs!$C$60*Inputs!$C$129*(1+Inputs!$C$61)^(AF7-1)*Inputs!$C$59</f>
        <v>1.5937166838554</v>
      </c>
      <c r="AG74" s="16" t="n">
        <f aca="false">(AG49+AG28)*Inputs!$C$60*Inputs!$C$129*(1+Inputs!$C$61)^(AG7-1)*Inputs!$C$59</f>
        <v>1.86297979009381</v>
      </c>
      <c r="AH74" s="16" t="n">
        <f aca="false">(AH49+AH28)*Inputs!$C$60*Inputs!$C$129*(1+Inputs!$C$61)^(AH7-1)*Inputs!$C$59</f>
        <v>2.0037838579518</v>
      </c>
      <c r="AI74" s="16" t="n">
        <f aca="false">(AI49+AI28)*Inputs!$C$60*Inputs!$C$129*(1+Inputs!$C$61)^(AI7-1)*Inputs!$C$59</f>
        <v>2.1439625499624</v>
      </c>
      <c r="AJ74" s="16" t="n">
        <f aca="false">(AJ49+AJ28)*Inputs!$C$60*Inputs!$C$129*(1+Inputs!$C$61)^(AJ7-1)*Inputs!$C$59</f>
        <v>2.36499499984063</v>
      </c>
      <c r="AK74" s="16" t="n">
        <f aca="false">(AK49+AK28)*Inputs!$C$60*Inputs!$C$129*(1+Inputs!$C$61)^(AK7-1)*Inputs!$C$59</f>
        <v>2.57563619987361</v>
      </c>
      <c r="AL74" s="16" t="n">
        <f aca="false">(AL49+AL28)*Inputs!$C$60*Inputs!$C$129*(1+Inputs!$C$61)^(AL7-1)*Inputs!$C$59</f>
        <v>2.77580853127245</v>
      </c>
      <c r="AM74" s="16" t="n">
        <f aca="false">(AM49+AM28)*Inputs!$C$60*Inputs!$C$129*(1+Inputs!$C$61)^(AM7-1)*Inputs!$C$59</f>
        <v>2.96543498288075</v>
      </c>
      <c r="AN74" s="16" t="n">
        <f aca="false">(AN49+AN28)*Inputs!$C$60*Inputs!$C$129*(1+Inputs!$C$61)^(AN7-1)*Inputs!$C$59</f>
        <v>3.00650812659692</v>
      </c>
      <c r="AO74" s="16" t="n">
        <f aca="false">(AO49+AO28)*Inputs!$C$60*Inputs!$C$129*(1+Inputs!$C$61)^(AO7-1)*Inputs!$C$59</f>
        <v>3.2049807636711</v>
      </c>
      <c r="AP74" s="16" t="n">
        <f aca="false">(AP49+AP28)*Inputs!$C$60*Inputs!$C$129*(1+Inputs!$C$61)^(AP7-1)*Inputs!$C$59</f>
        <v>3.4018996735158</v>
      </c>
      <c r="AQ74" s="16" t="n">
        <f aca="false">(AQ49+AQ28)*Inputs!$C$60*Inputs!$C$129*(1+Inputs!$C$61)^(AQ7-1)*Inputs!$C$59</f>
        <v>3.74925829552584</v>
      </c>
      <c r="AR74" s="16" t="n">
        <f aca="false">(AR49+AR28)*Inputs!$C$60*Inputs!$C$129*(1+Inputs!$C$61)^(AR7-1)*Inputs!$C$59</f>
        <v>4.12080867154721</v>
      </c>
      <c r="AS74" s="16" t="n">
        <f aca="false">(AS49+AS28)*Inputs!$C$60*Inputs!$C$129*(1+Inputs!$C$61)^(AS7-1)*Inputs!$C$59</f>
        <v>4.51656277511742</v>
      </c>
      <c r="AT74" s="16" t="n">
        <f aca="false">(AT49+AT28)*Inputs!$C$60*Inputs!$C$129*(1+Inputs!$C$61)^(AT7-1)*Inputs!$C$59</f>
        <v>4.78455120987509</v>
      </c>
      <c r="AU74" s="16" t="n">
        <f aca="false">(AU49+AU28)*Inputs!$C$60*Inputs!$C$129*(1+Inputs!$C$61)^(AU7-1)*Inputs!$C$59</f>
        <v>5.05104578878876</v>
      </c>
      <c r="AV74" s="16" t="n">
        <f aca="false">(AV49+AV28)*Inputs!$C$60*Inputs!$C$129*(1+Inputs!$C$61)^(AV7-1)*Inputs!$C$59</f>
        <v>5.39964790828065</v>
      </c>
      <c r="AW74" s="16" t="n">
        <f aca="false">(AW49+AW28)*Inputs!$C$60*Inputs!$C$129*(1+Inputs!$C$61)^(AW7-1)*Inputs!$C$59</f>
        <v>5.73455053161908</v>
      </c>
      <c r="AX74" s="16" t="n">
        <f aca="false">(AX49+AX28)*Inputs!$C$60*Inputs!$C$129*(1+Inputs!$C$61)^(AX7-1)*Inputs!$C$59</f>
        <v>6.05565954746168</v>
      </c>
      <c r="AY74" s="16" t="n">
        <f aca="false">(AY49+AY28)*Inputs!$C$60*Inputs!$C$129*(1+Inputs!$C$61)^(AY7-1)*Inputs!$C$59</f>
        <v>6.36288158120924</v>
      </c>
      <c r="AZ74" s="16" t="n">
        <f aca="false">(AZ49+AZ28)*Inputs!$C$60*Inputs!$C$129*(1+Inputs!$C$61)^(AZ7-1)*Inputs!$C$59</f>
        <v>6.34775297727625</v>
      </c>
      <c r="BA74" s="16" t="n">
        <f aca="false">(BA49+BA28)*Inputs!$C$60*Inputs!$C$129*(1+Inputs!$C$61)^(BA7-1)*Inputs!$C$59</f>
        <v>6.66183567301914</v>
      </c>
      <c r="BB74" s="16" t="n">
        <f aca="false">(BB49+BB28)*Inputs!$C$60*Inputs!$C$129*(1+Inputs!$C$61)^(BB7-1)*Inputs!$C$59</f>
        <v>6.97345959739746</v>
      </c>
      <c r="BC74" s="16" t="n">
        <f aca="false">(BC49+BC28)*Inputs!$C$60*Inputs!$C$129*(1+Inputs!$C$61)^(BC7-1)*Inputs!$C$59</f>
        <v>7.42397181262622</v>
      </c>
      <c r="BD74" s="16" t="n">
        <f aca="false">(BD49+BD28)*Inputs!$C$60*Inputs!$C$129*(1+Inputs!$C$61)^(BD7-1)*Inputs!$C$59</f>
        <v>7.89344439146068</v>
      </c>
      <c r="BE74" s="16" t="n">
        <f aca="false">(BE49+BE28)*Inputs!$C$60*Inputs!$C$129*(1+Inputs!$C$61)^(BE7-1)*Inputs!$C$59</f>
        <v>8.38189628200875</v>
      </c>
      <c r="BF74" s="16" t="n">
        <f aca="false">(BF49+BF28)*Inputs!$C$60*Inputs!$C$129*(1+Inputs!$C$61)^(BF7-1)*Inputs!$C$59</f>
        <v>8.74801847012529</v>
      </c>
      <c r="BG74" s="16" t="n">
        <f aca="false">(BG49+BG28)*Inputs!$C$60*Inputs!$C$129*(1+Inputs!$C$61)^(BG7-1)*Inputs!$C$59</f>
        <v>9.11177663326864</v>
      </c>
      <c r="BH74" s="16" t="n">
        <f aca="false">(BH49+BH28)*Inputs!$C$60*Inputs!$C$129*(1+Inputs!$C$61)^(BH7-1)*Inputs!$C$59</f>
        <v>9.55091957567559</v>
      </c>
      <c r="BI74" s="16" t="n">
        <f aca="false">(BI49+BI28)*Inputs!$C$60*Inputs!$C$129*(1+Inputs!$C$61)^(BI7-1)*Inputs!$C$59</f>
        <v>9.97750550087293</v>
      </c>
      <c r="BJ74" s="16" t="n">
        <f aca="false">(BJ49+BJ28)*Inputs!$C$60*Inputs!$C$129*(1+Inputs!$C$61)^(BJ7-1)*Inputs!$C$59</f>
        <v>10.3914653326656</v>
      </c>
      <c r="BK74" s="16" t="n">
        <f aca="false">(BK49+BK28)*Inputs!$C$60*Inputs!$C$129*(1+Inputs!$C$61)^(BK7-1)*Inputs!$C$59</f>
        <v>10.792730535616</v>
      </c>
    </row>
    <row r="75" customFormat="false" ht="15" hidden="false" customHeight="true" outlineLevel="0" collapsed="false">
      <c r="A75" s="12" t="s">
        <v>1949</v>
      </c>
      <c r="B75" s="4" t="s">
        <v>44</v>
      </c>
      <c r="D75" s="16" t="n">
        <f aca="false">IF(D$6&gt;=Inputs!$C$63,Inputs!$C$62*D68,0)</f>
        <v>0</v>
      </c>
      <c r="E75" s="16" t="n">
        <f aca="false">IF(E$6&gt;=Inputs!$C$63,Inputs!$C$62*E68,0)</f>
        <v>0</v>
      </c>
      <c r="F75" s="16" t="n">
        <f aca="false">IF(F$6&gt;=Inputs!$C$63,Inputs!$C$62*F68,0)</f>
        <v>1.5</v>
      </c>
      <c r="G75" s="16" t="n">
        <f aca="false">IF(G$6&gt;=Inputs!$C$63,Inputs!$C$62*G68,0)</f>
        <v>1.5</v>
      </c>
      <c r="H75" s="16" t="n">
        <f aca="false">IF(H$6&gt;=Inputs!$C$63,Inputs!$C$62*H68,0)</f>
        <v>1.5</v>
      </c>
      <c r="I75" s="16" t="n">
        <f aca="false">IF(I$6&gt;=Inputs!$C$63,Inputs!$C$62*I68,0)</f>
        <v>1.5</v>
      </c>
      <c r="J75" s="16" t="n">
        <f aca="false">IF(J$6&gt;=Inputs!$C$63,Inputs!$C$62*J68,0)</f>
        <v>1.5</v>
      </c>
      <c r="K75" s="16" t="n">
        <f aca="false">IF(K$6&gt;=Inputs!$C$63,Inputs!$C$62*K68,0)</f>
        <v>1.5</v>
      </c>
      <c r="L75" s="16" t="n">
        <f aca="false">IF(L$6&gt;=Inputs!$C$63,Inputs!$C$62*L68,0)</f>
        <v>1.5</v>
      </c>
      <c r="M75" s="16" t="n">
        <f aca="false">IF(M$6&gt;=Inputs!$C$63,Inputs!$C$62*M68,0)</f>
        <v>1.5</v>
      </c>
      <c r="N75" s="16" t="n">
        <f aca="false">IF(N$6&gt;=Inputs!$C$63,Inputs!$C$62*N68,0)</f>
        <v>1.5</v>
      </c>
      <c r="O75" s="16" t="n">
        <f aca="false">IF(O$6&gt;=Inputs!$C$63,Inputs!$C$62*O68,0)</f>
        <v>1.5</v>
      </c>
      <c r="P75" s="16" t="n">
        <f aca="false">IF(P$6&gt;=Inputs!$C$63,Inputs!$C$62*P68,0)</f>
        <v>1.575</v>
      </c>
      <c r="Q75" s="16" t="n">
        <f aca="false">IF(Q$6&gt;=Inputs!$C$63,Inputs!$C$62*Q68,0)</f>
        <v>1.575</v>
      </c>
      <c r="R75" s="16" t="n">
        <f aca="false">IF(R$6&gt;=Inputs!$C$63,Inputs!$C$62*R68,0)</f>
        <v>1.575</v>
      </c>
      <c r="S75" s="16" t="n">
        <f aca="false">IF(S$6&gt;=Inputs!$C$63,Inputs!$C$62*S68,0)</f>
        <v>1.575</v>
      </c>
      <c r="T75" s="16" t="n">
        <f aca="false">IF(T$6&gt;=Inputs!$C$63,Inputs!$C$62*T68,0)</f>
        <v>1.575</v>
      </c>
      <c r="U75" s="16" t="n">
        <f aca="false">IF(U$6&gt;=Inputs!$C$63,Inputs!$C$62*U68,0)</f>
        <v>1.575</v>
      </c>
      <c r="V75" s="16" t="n">
        <f aca="false">IF(V$6&gt;=Inputs!$C$63,Inputs!$C$62*V68,0)</f>
        <v>1.575</v>
      </c>
      <c r="W75" s="16" t="n">
        <f aca="false">IF(W$6&gt;=Inputs!$C$63,Inputs!$C$62*W68,0)</f>
        <v>1.575</v>
      </c>
      <c r="X75" s="16" t="n">
        <f aca="false">IF(X$6&gt;=Inputs!$C$63,Inputs!$C$62*X68,0)</f>
        <v>1.575</v>
      </c>
      <c r="Y75" s="16" t="n">
        <f aca="false">IF(Y$6&gt;=Inputs!$C$63,Inputs!$C$62*Y68,0)</f>
        <v>1.575</v>
      </c>
      <c r="Z75" s="16" t="n">
        <f aca="false">IF(Z$6&gt;=Inputs!$C$63,Inputs!$C$62*Z68,0)</f>
        <v>1.575</v>
      </c>
      <c r="AA75" s="16" t="n">
        <f aca="false">IF(AA$6&gt;=Inputs!$C$63,Inputs!$C$62*AA68,0)</f>
        <v>1.575</v>
      </c>
      <c r="AB75" s="16" t="n">
        <f aca="false">IF(AB$6&gt;=Inputs!$C$63,Inputs!$C$62*AB68,0)</f>
        <v>1.65375</v>
      </c>
      <c r="AC75" s="16" t="n">
        <f aca="false">IF(AC$6&gt;=Inputs!$C$63,Inputs!$C$62*AC68,0)</f>
        <v>1.65375</v>
      </c>
      <c r="AD75" s="16" t="n">
        <f aca="false">IF(AD$6&gt;=Inputs!$C$63,Inputs!$C$62*AD68,0)</f>
        <v>1.65375</v>
      </c>
      <c r="AE75" s="16" t="n">
        <f aca="false">IF(AE$6&gt;=Inputs!$C$63,Inputs!$C$62*AE68,0)</f>
        <v>1.65375</v>
      </c>
      <c r="AF75" s="16" t="n">
        <f aca="false">IF(AF$6&gt;=Inputs!$C$63,Inputs!$C$62*AF68,0)</f>
        <v>1.65375</v>
      </c>
      <c r="AG75" s="16" t="n">
        <f aca="false">IF(AG$6&gt;=Inputs!$C$63,Inputs!$C$62*AG68,0)</f>
        <v>1.65375</v>
      </c>
      <c r="AH75" s="16" t="n">
        <f aca="false">IF(AH$6&gt;=Inputs!$C$63,Inputs!$C$62*AH68,0)</f>
        <v>1.65375</v>
      </c>
      <c r="AI75" s="16" t="n">
        <f aca="false">IF(AI$6&gt;=Inputs!$C$63,Inputs!$C$62*AI68,0)</f>
        <v>1.65375</v>
      </c>
      <c r="AJ75" s="16" t="n">
        <f aca="false">IF(AJ$6&gt;=Inputs!$C$63,Inputs!$C$62*AJ68,0)</f>
        <v>1.65375</v>
      </c>
      <c r="AK75" s="16" t="n">
        <f aca="false">IF(AK$6&gt;=Inputs!$C$63,Inputs!$C$62*AK68,0)</f>
        <v>1.65375</v>
      </c>
      <c r="AL75" s="16" t="n">
        <f aca="false">IF(AL$6&gt;=Inputs!$C$63,Inputs!$C$62*AL68,0)</f>
        <v>1.65375</v>
      </c>
      <c r="AM75" s="16" t="n">
        <f aca="false">IF(AM$6&gt;=Inputs!$C$63,Inputs!$C$62*AM68,0)</f>
        <v>1.65375</v>
      </c>
      <c r="AN75" s="16" t="n">
        <f aca="false">IF(AN$6&gt;=Inputs!$C$63,Inputs!$C$62*AN68,0)</f>
        <v>1.7364375</v>
      </c>
      <c r="AO75" s="16" t="n">
        <f aca="false">IF(AO$6&gt;=Inputs!$C$63,Inputs!$C$62*AO68,0)</f>
        <v>1.7364375</v>
      </c>
      <c r="AP75" s="16" t="n">
        <f aca="false">IF(AP$6&gt;=Inputs!$C$63,Inputs!$C$62*AP68,0)</f>
        <v>1.7364375</v>
      </c>
      <c r="AQ75" s="16" t="n">
        <f aca="false">IF(AQ$6&gt;=Inputs!$C$63,Inputs!$C$62*AQ68,0)</f>
        <v>1.7364375</v>
      </c>
      <c r="AR75" s="16" t="n">
        <f aca="false">IF(AR$6&gt;=Inputs!$C$63,Inputs!$C$62*AR68,0)</f>
        <v>1.7364375</v>
      </c>
      <c r="AS75" s="16" t="n">
        <f aca="false">IF(AS$6&gt;=Inputs!$C$63,Inputs!$C$62*AS68,0)</f>
        <v>1.7364375</v>
      </c>
      <c r="AT75" s="16" t="n">
        <f aca="false">IF(AT$6&gt;=Inputs!$C$63,Inputs!$C$62*AT68,0)</f>
        <v>1.7364375</v>
      </c>
      <c r="AU75" s="16" t="n">
        <f aca="false">IF(AU$6&gt;=Inputs!$C$63,Inputs!$C$62*AU68,0)</f>
        <v>1.7364375</v>
      </c>
      <c r="AV75" s="16" t="n">
        <f aca="false">IF(AV$6&gt;=Inputs!$C$63,Inputs!$C$62*AV68,0)</f>
        <v>1.7364375</v>
      </c>
      <c r="AW75" s="16" t="n">
        <f aca="false">IF(AW$6&gt;=Inputs!$C$63,Inputs!$C$62*AW68,0)</f>
        <v>1.7364375</v>
      </c>
      <c r="AX75" s="16" t="n">
        <f aca="false">IF(AX$6&gt;=Inputs!$C$63,Inputs!$C$62*AX68,0)</f>
        <v>1.7364375</v>
      </c>
      <c r="AY75" s="16" t="n">
        <f aca="false">IF(AY$6&gt;=Inputs!$C$63,Inputs!$C$62*AY68,0)</f>
        <v>1.7364375</v>
      </c>
      <c r="AZ75" s="16" t="n">
        <f aca="false">IF(AZ$6&gt;=Inputs!$C$63,Inputs!$C$62*AZ68,0)</f>
        <v>1.823259375</v>
      </c>
      <c r="BA75" s="16" t="n">
        <f aca="false">IF(BA$6&gt;=Inputs!$C$63,Inputs!$C$62*BA68,0)</f>
        <v>1.823259375</v>
      </c>
      <c r="BB75" s="16" t="n">
        <f aca="false">IF(BB$6&gt;=Inputs!$C$63,Inputs!$C$62*BB68,0)</f>
        <v>1.823259375</v>
      </c>
      <c r="BC75" s="16" t="n">
        <f aca="false">IF(BC$6&gt;=Inputs!$C$63,Inputs!$C$62*BC68,0)</f>
        <v>1.823259375</v>
      </c>
      <c r="BD75" s="16" t="n">
        <f aca="false">IF(BD$6&gt;=Inputs!$C$63,Inputs!$C$62*BD68,0)</f>
        <v>1.823259375</v>
      </c>
      <c r="BE75" s="16" t="n">
        <f aca="false">IF(BE$6&gt;=Inputs!$C$63,Inputs!$C$62*BE68,0)</f>
        <v>1.823259375</v>
      </c>
      <c r="BF75" s="16" t="n">
        <f aca="false">IF(BF$6&gt;=Inputs!$C$63,Inputs!$C$62*BF68,0)</f>
        <v>1.823259375</v>
      </c>
      <c r="BG75" s="16" t="n">
        <f aca="false">IF(BG$6&gt;=Inputs!$C$63,Inputs!$C$62*BG68,0)</f>
        <v>1.823259375</v>
      </c>
      <c r="BH75" s="16" t="n">
        <f aca="false">IF(BH$6&gt;=Inputs!$C$63,Inputs!$C$62*BH68,0)</f>
        <v>1.823259375</v>
      </c>
      <c r="BI75" s="16" t="n">
        <f aca="false">IF(BI$6&gt;=Inputs!$C$63,Inputs!$C$62*BI68,0)</f>
        <v>1.823259375</v>
      </c>
      <c r="BJ75" s="16" t="n">
        <f aca="false">IF(BJ$6&gt;=Inputs!$C$63,Inputs!$C$62*BJ68,0)</f>
        <v>1.823259375</v>
      </c>
      <c r="BK75" s="16" t="n">
        <f aca="false">IF(BK$6&gt;=Inputs!$C$63,Inputs!$C$62*BK68,0)</f>
        <v>1.823259375</v>
      </c>
    </row>
    <row r="76" customFormat="false" ht="15" hidden="false" customHeight="true" outlineLevel="0" collapsed="false">
      <c r="A76" s="12" t="s">
        <v>722</v>
      </c>
      <c r="B76" s="4" t="s">
        <v>725</v>
      </c>
      <c r="D76" s="20" t="n">
        <f aca="false">IF(D49&gt;0,ROUNDUP(D49/Inputs!$C$64,0),0)</f>
        <v>0</v>
      </c>
      <c r="E76" s="20" t="n">
        <f aca="false">IF(E49&gt;0,ROUNDUP(E49/Inputs!$C$64,0),0)</f>
        <v>0</v>
      </c>
      <c r="F76" s="20" t="n">
        <f aca="false">IF(F49&gt;0,ROUNDUP(F49/Inputs!$C$64,0),0)</f>
        <v>0</v>
      </c>
      <c r="G76" s="20" t="n">
        <f aca="false">IF(G49&gt;0,ROUNDUP(G49/Inputs!$C$64,0),0)</f>
        <v>0</v>
      </c>
      <c r="H76" s="20" t="n">
        <f aca="false">IF(H49&gt;0,ROUNDUP(H49/Inputs!$C$64,0),0)</f>
        <v>0</v>
      </c>
      <c r="I76" s="20" t="n">
        <f aca="false">IF(I49&gt;0,ROUNDUP(I49/Inputs!$C$64,0),0)</f>
        <v>0</v>
      </c>
      <c r="J76" s="20" t="n">
        <f aca="false">IF(J49&gt;0,ROUNDUP(J49/Inputs!$C$64,0),0)</f>
        <v>0</v>
      </c>
      <c r="K76" s="20" t="n">
        <f aca="false">IF(K49&gt;0,ROUNDUP(K49/Inputs!$C$64,0),0)</f>
        <v>0</v>
      </c>
      <c r="L76" s="20" t="n">
        <f aca="false">IF(L49&gt;0,ROUNDUP(L49/Inputs!$C$64,0),0)</f>
        <v>1</v>
      </c>
      <c r="M76" s="20" t="n">
        <f aca="false">IF(M49&gt;0,ROUNDUP(M49/Inputs!$C$64,0),0)</f>
        <v>1</v>
      </c>
      <c r="N76" s="20" t="n">
        <f aca="false">IF(N49&gt;0,ROUNDUP(N49/Inputs!$C$64,0),0)</f>
        <v>1</v>
      </c>
      <c r="O76" s="20" t="n">
        <f aca="false">IF(O49&gt;0,ROUNDUP(O49/Inputs!$C$64,0),0)</f>
        <v>1</v>
      </c>
      <c r="P76" s="20" t="n">
        <f aca="false">IF(P49&gt;0,ROUNDUP(P49/Inputs!$C$64,0),0)</f>
        <v>1</v>
      </c>
      <c r="Q76" s="20" t="n">
        <f aca="false">IF(Q49&gt;0,ROUNDUP(Q49/Inputs!$C$64,0),0)</f>
        <v>1</v>
      </c>
      <c r="R76" s="20" t="n">
        <f aca="false">IF(R49&gt;0,ROUNDUP(R49/Inputs!$C$64,0),0)</f>
        <v>1</v>
      </c>
      <c r="S76" s="20" t="n">
        <f aca="false">IF(S49&gt;0,ROUNDUP(S49/Inputs!$C$64,0),0)</f>
        <v>1</v>
      </c>
      <c r="T76" s="20" t="n">
        <f aca="false">IF(T49&gt;0,ROUNDUP(T49/Inputs!$C$64,0),0)</f>
        <v>1</v>
      </c>
      <c r="U76" s="20" t="n">
        <f aca="false">IF(U49&gt;0,ROUNDUP(U49/Inputs!$C$64,0),0)</f>
        <v>1</v>
      </c>
      <c r="V76" s="20" t="n">
        <f aca="false">IF(V49&gt;0,ROUNDUP(V49/Inputs!$C$64,0),0)</f>
        <v>1</v>
      </c>
      <c r="W76" s="20" t="n">
        <f aca="false">IF(W49&gt;0,ROUNDUP(W49/Inputs!$C$64,0),0)</f>
        <v>1</v>
      </c>
      <c r="X76" s="20" t="n">
        <f aca="false">IF(X49&gt;0,ROUNDUP(X49/Inputs!$C$64,0),0)</f>
        <v>1</v>
      </c>
      <c r="Y76" s="20" t="n">
        <f aca="false">IF(Y49&gt;0,ROUNDUP(Y49/Inputs!$C$64,0),0)</f>
        <v>1</v>
      </c>
      <c r="Z76" s="20" t="n">
        <f aca="false">IF(Z49&gt;0,ROUNDUP(Z49/Inputs!$C$64,0),0)</f>
        <v>1</v>
      </c>
      <c r="AA76" s="20" t="n">
        <f aca="false">IF(AA49&gt;0,ROUNDUP(AA49/Inputs!$C$64,0),0)</f>
        <v>1</v>
      </c>
      <c r="AB76" s="20" t="n">
        <f aca="false">IF(AB49&gt;0,ROUNDUP(AB49/Inputs!$C$64,0),0)</f>
        <v>1</v>
      </c>
      <c r="AC76" s="20" t="n">
        <f aca="false">IF(AC49&gt;0,ROUNDUP(AC49/Inputs!$C$64,0),0)</f>
        <v>1</v>
      </c>
      <c r="AD76" s="20" t="n">
        <f aca="false">IF(AD49&gt;0,ROUNDUP(AD49/Inputs!$C$64,0),0)</f>
        <v>2</v>
      </c>
      <c r="AE76" s="20" t="n">
        <f aca="false">IF(AE49&gt;0,ROUNDUP(AE49/Inputs!$C$64,0),0)</f>
        <v>2</v>
      </c>
      <c r="AF76" s="20" t="n">
        <f aca="false">IF(AF49&gt;0,ROUNDUP(AF49/Inputs!$C$64,0),0)</f>
        <v>2</v>
      </c>
      <c r="AG76" s="20" t="n">
        <f aca="false">IF(AG49&gt;0,ROUNDUP(AG49/Inputs!$C$64,0),0)</f>
        <v>2</v>
      </c>
      <c r="AH76" s="20" t="n">
        <f aca="false">IF(AH49&gt;0,ROUNDUP(AH49/Inputs!$C$64,0),0)</f>
        <v>2</v>
      </c>
      <c r="AI76" s="20" t="n">
        <f aca="false">IF(AI49&gt;0,ROUNDUP(AI49/Inputs!$C$64,0),0)</f>
        <v>2</v>
      </c>
      <c r="AJ76" s="20" t="n">
        <f aca="false">IF(AJ49&gt;0,ROUNDUP(AJ49/Inputs!$C$64,0),0)</f>
        <v>3</v>
      </c>
      <c r="AK76" s="20" t="n">
        <f aca="false">IF(AK49&gt;0,ROUNDUP(AK49/Inputs!$C$64,0),0)</f>
        <v>3</v>
      </c>
      <c r="AL76" s="20" t="n">
        <f aca="false">IF(AL49&gt;0,ROUNDUP(AL49/Inputs!$C$64,0),0)</f>
        <v>3</v>
      </c>
      <c r="AM76" s="20" t="n">
        <f aca="false">IF(AM49&gt;0,ROUNDUP(AM49/Inputs!$C$64,0),0)</f>
        <v>4</v>
      </c>
      <c r="AN76" s="20" t="n">
        <f aca="false">IF(AN49&gt;0,ROUNDUP(AN49/Inputs!$C$64,0),0)</f>
        <v>4</v>
      </c>
      <c r="AO76" s="20" t="n">
        <f aca="false">IF(AO49&gt;0,ROUNDUP(AO49/Inputs!$C$64,0),0)</f>
        <v>4</v>
      </c>
      <c r="AP76" s="20" t="n">
        <f aca="false">IF(AP49&gt;0,ROUNDUP(AP49/Inputs!$C$64,0),0)</f>
        <v>5</v>
      </c>
      <c r="AQ76" s="20" t="n">
        <f aca="false">IF(AQ49&gt;0,ROUNDUP(AQ49/Inputs!$C$64,0),0)</f>
        <v>5</v>
      </c>
      <c r="AR76" s="20" t="n">
        <f aca="false">IF(AR49&gt;0,ROUNDUP(AR49/Inputs!$C$64,0),0)</f>
        <v>5</v>
      </c>
      <c r="AS76" s="20" t="n">
        <f aca="false">IF(AS49&gt;0,ROUNDUP(AS49/Inputs!$C$64,0),0)</f>
        <v>6</v>
      </c>
      <c r="AT76" s="20" t="n">
        <f aca="false">IF(AT49&gt;0,ROUNDUP(AT49/Inputs!$C$64,0),0)</f>
        <v>6</v>
      </c>
      <c r="AU76" s="20" t="n">
        <f aca="false">IF(AU49&gt;0,ROUNDUP(AU49/Inputs!$C$64,0),0)</f>
        <v>6</v>
      </c>
      <c r="AV76" s="20" t="n">
        <f aca="false">IF(AV49&gt;0,ROUNDUP(AV49/Inputs!$C$64,0),0)</f>
        <v>7</v>
      </c>
      <c r="AW76" s="20" t="n">
        <f aca="false">IF(AW49&gt;0,ROUNDUP(AW49/Inputs!$C$64,0),0)</f>
        <v>8</v>
      </c>
      <c r="AX76" s="20" t="n">
        <f aca="false">IF(AX49&gt;0,ROUNDUP(AX49/Inputs!$C$64,0),0)</f>
        <v>8</v>
      </c>
      <c r="AY76" s="20" t="n">
        <f aca="false">IF(AY49&gt;0,ROUNDUP(AY49/Inputs!$C$64,0),0)</f>
        <v>9</v>
      </c>
      <c r="AZ76" s="20" t="n">
        <f aca="false">IF(AZ49&gt;0,ROUNDUP(AZ49/Inputs!$C$64,0),0)</f>
        <v>9</v>
      </c>
      <c r="BA76" s="20" t="n">
        <f aca="false">IF(BA49&gt;0,ROUNDUP(BA49/Inputs!$C$64,0),0)</f>
        <v>10</v>
      </c>
      <c r="BB76" s="20" t="n">
        <f aca="false">IF(BB49&gt;0,ROUNDUP(BB49/Inputs!$C$64,0),0)</f>
        <v>10</v>
      </c>
      <c r="BC76" s="20" t="n">
        <f aca="false">IF(BC49&gt;0,ROUNDUP(BC49/Inputs!$C$64,0),0)</f>
        <v>11</v>
      </c>
      <c r="BD76" s="20" t="n">
        <f aca="false">IF(BD49&gt;0,ROUNDUP(BD49/Inputs!$C$64,0),0)</f>
        <v>12</v>
      </c>
      <c r="BE76" s="20" t="n">
        <f aca="false">IF(BE49&gt;0,ROUNDUP(BE49/Inputs!$C$64,0),0)</f>
        <v>12</v>
      </c>
      <c r="BF76" s="20" t="n">
        <f aca="false">IF(BF49&gt;0,ROUNDUP(BF49/Inputs!$C$64,0),0)</f>
        <v>13</v>
      </c>
      <c r="BG76" s="20" t="n">
        <f aca="false">IF(BG49&gt;0,ROUNDUP(BG49/Inputs!$C$64,0),0)</f>
        <v>13</v>
      </c>
      <c r="BH76" s="20" t="n">
        <f aca="false">IF(BH49&gt;0,ROUNDUP(BH49/Inputs!$C$64,0),0)</f>
        <v>14</v>
      </c>
      <c r="BI76" s="20" t="n">
        <f aca="false">IF(BI49&gt;0,ROUNDUP(BI49/Inputs!$C$64,0),0)</f>
        <v>15</v>
      </c>
      <c r="BJ76" s="20" t="n">
        <f aca="false">IF(BJ49&gt;0,ROUNDUP(BJ49/Inputs!$C$64,0),0)</f>
        <v>16</v>
      </c>
      <c r="BK76" s="20" t="n">
        <f aca="false">IF(BK49&gt;0,ROUNDUP(BK49/Inputs!$C$64,0),0)</f>
        <v>17</v>
      </c>
    </row>
    <row r="77" customFormat="false" ht="15" hidden="false" customHeight="true" outlineLevel="0" collapsed="false">
      <c r="A77" s="12" t="s">
        <v>723</v>
      </c>
      <c r="B77" s="4" t="s">
        <v>725</v>
      </c>
      <c r="D77" s="20" t="n">
        <f aca="false">IF(D49&gt;0,ROUNDUP(D49/Inputs!$C$65,0),0)</f>
        <v>0</v>
      </c>
      <c r="E77" s="20" t="n">
        <f aca="false">IF(E49&gt;0,ROUNDUP(E49/Inputs!$C$65,0),0)</f>
        <v>0</v>
      </c>
      <c r="F77" s="20" t="n">
        <f aca="false">IF(F49&gt;0,ROUNDUP(F49/Inputs!$C$65,0),0)</f>
        <v>0</v>
      </c>
      <c r="G77" s="20" t="n">
        <f aca="false">IF(G49&gt;0,ROUNDUP(G49/Inputs!$C$65,0),0)</f>
        <v>0</v>
      </c>
      <c r="H77" s="20" t="n">
        <f aca="false">IF(H49&gt;0,ROUNDUP(H49/Inputs!$C$65,0),0)</f>
        <v>0</v>
      </c>
      <c r="I77" s="20" t="n">
        <f aca="false">IF(I49&gt;0,ROUNDUP(I49/Inputs!$C$65,0),0)</f>
        <v>0</v>
      </c>
      <c r="J77" s="20" t="n">
        <f aca="false">IF(J49&gt;0,ROUNDUP(J49/Inputs!$C$65,0),0)</f>
        <v>0</v>
      </c>
      <c r="K77" s="20" t="n">
        <f aca="false">IF(K49&gt;0,ROUNDUP(K49/Inputs!$C$65,0),0)</f>
        <v>0</v>
      </c>
      <c r="L77" s="20" t="n">
        <f aca="false">IF(L49&gt;0,ROUNDUP(L49/Inputs!$C$65,0),0)</f>
        <v>1</v>
      </c>
      <c r="M77" s="20" t="n">
        <f aca="false">IF(M49&gt;0,ROUNDUP(M49/Inputs!$C$65,0),0)</f>
        <v>1</v>
      </c>
      <c r="N77" s="20" t="n">
        <f aca="false">IF(N49&gt;0,ROUNDUP(N49/Inputs!$C$65,0),0)</f>
        <v>1</v>
      </c>
      <c r="O77" s="20" t="n">
        <f aca="false">IF(O49&gt;0,ROUNDUP(O49/Inputs!$C$65,0),0)</f>
        <v>1</v>
      </c>
      <c r="P77" s="20" t="n">
        <f aca="false">IF(P49&gt;0,ROUNDUP(P49/Inputs!$C$65,0),0)</f>
        <v>1</v>
      </c>
      <c r="Q77" s="20" t="n">
        <f aca="false">IF(Q49&gt;0,ROUNDUP(Q49/Inputs!$C$65,0),0)</f>
        <v>1</v>
      </c>
      <c r="R77" s="20" t="n">
        <f aca="false">IF(R49&gt;0,ROUNDUP(R49/Inputs!$C$65,0),0)</f>
        <v>1</v>
      </c>
      <c r="S77" s="20" t="n">
        <f aca="false">IF(S49&gt;0,ROUNDUP(S49/Inputs!$C$65,0),0)</f>
        <v>1</v>
      </c>
      <c r="T77" s="20" t="n">
        <f aca="false">IF(T49&gt;0,ROUNDUP(T49/Inputs!$C$65,0),0)</f>
        <v>1</v>
      </c>
      <c r="U77" s="20" t="n">
        <f aca="false">IF(U49&gt;0,ROUNDUP(U49/Inputs!$C$65,0),0)</f>
        <v>1</v>
      </c>
      <c r="V77" s="20" t="n">
        <f aca="false">IF(V49&gt;0,ROUNDUP(V49/Inputs!$C$65,0),0)</f>
        <v>1</v>
      </c>
      <c r="W77" s="20" t="n">
        <f aca="false">IF(W49&gt;0,ROUNDUP(W49/Inputs!$C$65,0),0)</f>
        <v>1</v>
      </c>
      <c r="X77" s="20" t="n">
        <f aca="false">IF(X49&gt;0,ROUNDUP(X49/Inputs!$C$65,0),0)</f>
        <v>1</v>
      </c>
      <c r="Y77" s="20" t="n">
        <f aca="false">IF(Y49&gt;0,ROUNDUP(Y49/Inputs!$C$65,0),0)</f>
        <v>1</v>
      </c>
      <c r="Z77" s="20" t="n">
        <f aca="false">IF(Z49&gt;0,ROUNDUP(Z49/Inputs!$C$65,0),0)</f>
        <v>1</v>
      </c>
      <c r="AA77" s="20" t="n">
        <f aca="false">IF(AA49&gt;0,ROUNDUP(AA49/Inputs!$C$65,0),0)</f>
        <v>1</v>
      </c>
      <c r="AB77" s="20" t="n">
        <f aca="false">IF(AB49&gt;0,ROUNDUP(AB49/Inputs!$C$65,0),0)</f>
        <v>1</v>
      </c>
      <c r="AC77" s="20" t="n">
        <f aca="false">IF(AC49&gt;0,ROUNDUP(AC49/Inputs!$C$65,0),0)</f>
        <v>1</v>
      </c>
      <c r="AD77" s="20" t="n">
        <f aca="false">IF(AD49&gt;0,ROUNDUP(AD49/Inputs!$C$65,0),0)</f>
        <v>1</v>
      </c>
      <c r="AE77" s="20" t="n">
        <f aca="false">IF(AE49&gt;0,ROUNDUP(AE49/Inputs!$C$65,0),0)</f>
        <v>2</v>
      </c>
      <c r="AF77" s="20" t="n">
        <f aca="false">IF(AF49&gt;0,ROUNDUP(AF49/Inputs!$C$65,0),0)</f>
        <v>2</v>
      </c>
      <c r="AG77" s="20" t="n">
        <f aca="false">IF(AG49&gt;0,ROUNDUP(AG49/Inputs!$C$65,0),0)</f>
        <v>2</v>
      </c>
      <c r="AH77" s="20" t="n">
        <f aca="false">IF(AH49&gt;0,ROUNDUP(AH49/Inputs!$C$65,0),0)</f>
        <v>2</v>
      </c>
      <c r="AI77" s="20" t="n">
        <f aca="false">IF(AI49&gt;0,ROUNDUP(AI49/Inputs!$C$65,0),0)</f>
        <v>2</v>
      </c>
      <c r="AJ77" s="20" t="n">
        <f aca="false">IF(AJ49&gt;0,ROUNDUP(AJ49/Inputs!$C$65,0),0)</f>
        <v>2</v>
      </c>
      <c r="AK77" s="20" t="n">
        <f aca="false">IF(AK49&gt;0,ROUNDUP(AK49/Inputs!$C$65,0),0)</f>
        <v>3</v>
      </c>
      <c r="AL77" s="20" t="n">
        <f aca="false">IF(AL49&gt;0,ROUNDUP(AL49/Inputs!$C$65,0),0)</f>
        <v>3</v>
      </c>
      <c r="AM77" s="20" t="n">
        <f aca="false">IF(AM49&gt;0,ROUNDUP(AM49/Inputs!$C$65,0),0)</f>
        <v>3</v>
      </c>
      <c r="AN77" s="20" t="n">
        <f aca="false">IF(AN49&gt;0,ROUNDUP(AN49/Inputs!$C$65,0),0)</f>
        <v>3</v>
      </c>
      <c r="AO77" s="20" t="n">
        <f aca="false">IF(AO49&gt;0,ROUNDUP(AO49/Inputs!$C$65,0),0)</f>
        <v>4</v>
      </c>
      <c r="AP77" s="20" t="n">
        <f aca="false">IF(AP49&gt;0,ROUNDUP(AP49/Inputs!$C$65,0),0)</f>
        <v>4</v>
      </c>
      <c r="AQ77" s="20" t="n">
        <f aca="false">IF(AQ49&gt;0,ROUNDUP(AQ49/Inputs!$C$65,0),0)</f>
        <v>4</v>
      </c>
      <c r="AR77" s="20" t="n">
        <f aca="false">IF(AR49&gt;0,ROUNDUP(AR49/Inputs!$C$65,0),0)</f>
        <v>5</v>
      </c>
      <c r="AS77" s="20" t="n">
        <f aca="false">IF(AS49&gt;0,ROUNDUP(AS49/Inputs!$C$65,0),0)</f>
        <v>5</v>
      </c>
      <c r="AT77" s="20" t="n">
        <f aca="false">IF(AT49&gt;0,ROUNDUP(AT49/Inputs!$C$65,0),0)</f>
        <v>5</v>
      </c>
      <c r="AU77" s="20" t="n">
        <f aca="false">IF(AU49&gt;0,ROUNDUP(AU49/Inputs!$C$65,0),0)</f>
        <v>5</v>
      </c>
      <c r="AV77" s="20" t="n">
        <f aca="false">IF(AV49&gt;0,ROUNDUP(AV49/Inputs!$C$65,0),0)</f>
        <v>6</v>
      </c>
      <c r="AW77" s="20" t="n">
        <f aca="false">IF(AW49&gt;0,ROUNDUP(AW49/Inputs!$C$65,0),0)</f>
        <v>6</v>
      </c>
      <c r="AX77" s="20" t="n">
        <f aca="false">IF(AX49&gt;0,ROUNDUP(AX49/Inputs!$C$65,0),0)</f>
        <v>7</v>
      </c>
      <c r="AY77" s="20" t="n">
        <f aca="false">IF(AY49&gt;0,ROUNDUP(AY49/Inputs!$C$65,0),0)</f>
        <v>7</v>
      </c>
      <c r="AZ77" s="20" t="n">
        <f aca="false">IF(AZ49&gt;0,ROUNDUP(AZ49/Inputs!$C$65,0),0)</f>
        <v>8</v>
      </c>
      <c r="BA77" s="20" t="n">
        <f aca="false">IF(BA49&gt;0,ROUNDUP(BA49/Inputs!$C$65,0),0)</f>
        <v>8</v>
      </c>
      <c r="BB77" s="20" t="n">
        <f aca="false">IF(BB49&gt;0,ROUNDUP(BB49/Inputs!$C$65,0),0)</f>
        <v>9</v>
      </c>
      <c r="BC77" s="20" t="n">
        <f aca="false">IF(BC49&gt;0,ROUNDUP(BC49/Inputs!$C$65,0),0)</f>
        <v>9</v>
      </c>
      <c r="BD77" s="20" t="n">
        <f aca="false">IF(BD49&gt;0,ROUNDUP(BD49/Inputs!$C$65,0),0)</f>
        <v>10</v>
      </c>
      <c r="BE77" s="20" t="n">
        <f aca="false">IF(BE49&gt;0,ROUNDUP(BE49/Inputs!$C$65,0),0)</f>
        <v>10</v>
      </c>
      <c r="BF77" s="20" t="n">
        <f aca="false">IF(BF49&gt;0,ROUNDUP(BF49/Inputs!$C$65,0),0)</f>
        <v>11</v>
      </c>
      <c r="BG77" s="20" t="n">
        <f aca="false">IF(BG49&gt;0,ROUNDUP(BG49/Inputs!$C$65,0),0)</f>
        <v>11</v>
      </c>
      <c r="BH77" s="20" t="n">
        <f aca="false">IF(BH49&gt;0,ROUNDUP(BH49/Inputs!$C$65,0),0)</f>
        <v>12</v>
      </c>
      <c r="BI77" s="20" t="n">
        <f aca="false">IF(BI49&gt;0,ROUNDUP(BI49/Inputs!$C$65,0),0)</f>
        <v>13</v>
      </c>
      <c r="BJ77" s="20" t="n">
        <f aca="false">IF(BJ49&gt;0,ROUNDUP(BJ49/Inputs!$C$65,0),0)</f>
        <v>13</v>
      </c>
      <c r="BK77" s="20" t="n">
        <f aca="false">IF(BK49&gt;0,ROUNDUP(BK49/Inputs!$C$65,0),0)</f>
        <v>14</v>
      </c>
    </row>
    <row r="78" customFormat="false" ht="15" hidden="false" customHeight="true" outlineLevel="0" collapsed="false">
      <c r="A78" s="12" t="s">
        <v>1950</v>
      </c>
      <c r="B78" s="4" t="s">
        <v>44</v>
      </c>
      <c r="D78" s="16" t="n">
        <f aca="false">D76*Inputs!$C$75*D69</f>
        <v>0</v>
      </c>
      <c r="E78" s="16" t="n">
        <f aca="false">E76*Inputs!$C$75*E69</f>
        <v>0</v>
      </c>
      <c r="F78" s="16" t="n">
        <f aca="false">F76*Inputs!$C$75*F69</f>
        <v>0</v>
      </c>
      <c r="G78" s="16" t="n">
        <f aca="false">G76*Inputs!$C$75*G69</f>
        <v>0</v>
      </c>
      <c r="H78" s="16" t="n">
        <f aca="false">H76*Inputs!$C$75*H69</f>
        <v>0</v>
      </c>
      <c r="I78" s="16" t="n">
        <f aca="false">I76*Inputs!$C$75*I69</f>
        <v>0</v>
      </c>
      <c r="J78" s="16" t="n">
        <f aca="false">J76*Inputs!$C$75*J69</f>
        <v>0</v>
      </c>
      <c r="K78" s="16" t="n">
        <f aca="false">K76*Inputs!$C$75*K69</f>
        <v>0</v>
      </c>
      <c r="L78" s="16" t="n">
        <f aca="false">L76*Inputs!$C$75*L69</f>
        <v>0.84</v>
      </c>
      <c r="M78" s="16" t="n">
        <f aca="false">M76*Inputs!$C$75*M69</f>
        <v>0.84</v>
      </c>
      <c r="N78" s="16" t="n">
        <f aca="false">N76*Inputs!$C$75*N69</f>
        <v>0.84</v>
      </c>
      <c r="O78" s="16" t="n">
        <f aca="false">O76*Inputs!$C$75*O69</f>
        <v>0.84</v>
      </c>
      <c r="P78" s="16" t="n">
        <f aca="false">P76*Inputs!$C$75*P69</f>
        <v>0.9072</v>
      </c>
      <c r="Q78" s="16" t="n">
        <f aca="false">Q76*Inputs!$C$75*Q69</f>
        <v>0.9072</v>
      </c>
      <c r="R78" s="16" t="n">
        <f aca="false">R76*Inputs!$C$75*R69</f>
        <v>0.9072</v>
      </c>
      <c r="S78" s="16" t="n">
        <f aca="false">S76*Inputs!$C$75*S69</f>
        <v>0.9072</v>
      </c>
      <c r="T78" s="16" t="n">
        <f aca="false">T76*Inputs!$C$75*T69</f>
        <v>0.9072</v>
      </c>
      <c r="U78" s="16" t="n">
        <f aca="false">U76*Inputs!$C$75*U69</f>
        <v>0.9072</v>
      </c>
      <c r="V78" s="16" t="n">
        <f aca="false">V76*Inputs!$C$75*V69</f>
        <v>0.9072</v>
      </c>
      <c r="W78" s="16" t="n">
        <f aca="false">W76*Inputs!$C$75*W69</f>
        <v>0.9072</v>
      </c>
      <c r="X78" s="16" t="n">
        <f aca="false">X76*Inputs!$C$75*X69</f>
        <v>0.9072</v>
      </c>
      <c r="Y78" s="16" t="n">
        <f aca="false">Y76*Inputs!$C$75*Y69</f>
        <v>0.9072</v>
      </c>
      <c r="Z78" s="16" t="n">
        <f aca="false">Z76*Inputs!$C$75*Z69</f>
        <v>0.9072</v>
      </c>
      <c r="AA78" s="16" t="n">
        <f aca="false">AA76*Inputs!$C$75*AA69</f>
        <v>0.9072</v>
      </c>
      <c r="AB78" s="16" t="n">
        <f aca="false">AB76*Inputs!$C$75*AB69</f>
        <v>0.979776</v>
      </c>
      <c r="AC78" s="16" t="n">
        <f aca="false">AC76*Inputs!$C$75*AC69</f>
        <v>0.979776</v>
      </c>
      <c r="AD78" s="16" t="n">
        <f aca="false">AD76*Inputs!$C$75*AD69</f>
        <v>1.959552</v>
      </c>
      <c r="AE78" s="16" t="n">
        <f aca="false">AE76*Inputs!$C$75*AE69</f>
        <v>1.959552</v>
      </c>
      <c r="AF78" s="16" t="n">
        <f aca="false">AF76*Inputs!$C$75*AF69</f>
        <v>1.959552</v>
      </c>
      <c r="AG78" s="16" t="n">
        <f aca="false">AG76*Inputs!$C$75*AG69</f>
        <v>1.959552</v>
      </c>
      <c r="AH78" s="16" t="n">
        <f aca="false">AH76*Inputs!$C$75*AH69</f>
        <v>1.959552</v>
      </c>
      <c r="AI78" s="16" t="n">
        <f aca="false">AI76*Inputs!$C$75*AI69</f>
        <v>1.959552</v>
      </c>
      <c r="AJ78" s="16" t="n">
        <f aca="false">AJ76*Inputs!$C$75*AJ69</f>
        <v>2.939328</v>
      </c>
      <c r="AK78" s="16" t="n">
        <f aca="false">AK76*Inputs!$C$75*AK69</f>
        <v>2.939328</v>
      </c>
      <c r="AL78" s="16" t="n">
        <f aca="false">AL76*Inputs!$C$75*AL69</f>
        <v>2.939328</v>
      </c>
      <c r="AM78" s="16" t="n">
        <f aca="false">AM76*Inputs!$C$75*AM69</f>
        <v>3.919104</v>
      </c>
      <c r="AN78" s="16" t="n">
        <f aca="false">AN76*Inputs!$C$75*AN69</f>
        <v>4.23263232</v>
      </c>
      <c r="AO78" s="16" t="n">
        <f aca="false">AO76*Inputs!$C$75*AO69</f>
        <v>4.23263232</v>
      </c>
      <c r="AP78" s="16" t="n">
        <f aca="false">AP76*Inputs!$C$75*AP69</f>
        <v>5.2907904</v>
      </c>
      <c r="AQ78" s="16" t="n">
        <f aca="false">AQ76*Inputs!$C$75*AQ69</f>
        <v>5.2907904</v>
      </c>
      <c r="AR78" s="16" t="n">
        <f aca="false">AR76*Inputs!$C$75*AR69</f>
        <v>5.2907904</v>
      </c>
      <c r="AS78" s="16" t="n">
        <f aca="false">AS76*Inputs!$C$75*AS69</f>
        <v>6.34894848</v>
      </c>
      <c r="AT78" s="16" t="n">
        <f aca="false">AT76*Inputs!$C$75*AT69</f>
        <v>6.34894848</v>
      </c>
      <c r="AU78" s="16" t="n">
        <f aca="false">AU76*Inputs!$C$75*AU69</f>
        <v>6.34894848</v>
      </c>
      <c r="AV78" s="16" t="n">
        <f aca="false">AV76*Inputs!$C$75*AV69</f>
        <v>7.40710656</v>
      </c>
      <c r="AW78" s="16" t="n">
        <f aca="false">AW76*Inputs!$C$75*AW69</f>
        <v>8.46526464</v>
      </c>
      <c r="AX78" s="16" t="n">
        <f aca="false">AX76*Inputs!$C$75*AX69</f>
        <v>8.46526464</v>
      </c>
      <c r="AY78" s="16" t="n">
        <f aca="false">AY76*Inputs!$C$75*AY69</f>
        <v>9.52342272</v>
      </c>
      <c r="AZ78" s="16" t="n">
        <f aca="false">AZ76*Inputs!$C$75*AZ69</f>
        <v>10.2852965376</v>
      </c>
      <c r="BA78" s="16" t="n">
        <f aca="false">BA76*Inputs!$C$75*BA69</f>
        <v>11.428107264</v>
      </c>
      <c r="BB78" s="16" t="n">
        <f aca="false">BB76*Inputs!$C$75*BB69</f>
        <v>11.428107264</v>
      </c>
      <c r="BC78" s="16" t="n">
        <f aca="false">BC76*Inputs!$C$75*BC69</f>
        <v>12.5709179904</v>
      </c>
      <c r="BD78" s="16" t="n">
        <f aca="false">BD76*Inputs!$C$75*BD69</f>
        <v>13.7137287168</v>
      </c>
      <c r="BE78" s="16" t="n">
        <f aca="false">BE76*Inputs!$C$75*BE69</f>
        <v>13.7137287168</v>
      </c>
      <c r="BF78" s="16" t="n">
        <f aca="false">BF76*Inputs!$C$75*BF69</f>
        <v>14.8565394432</v>
      </c>
      <c r="BG78" s="16" t="n">
        <f aca="false">BG76*Inputs!$C$75*BG69</f>
        <v>14.8565394432</v>
      </c>
      <c r="BH78" s="16" t="n">
        <f aca="false">BH76*Inputs!$C$75*BH69</f>
        <v>15.9993501696</v>
      </c>
      <c r="BI78" s="16" t="n">
        <f aca="false">BI76*Inputs!$C$75*BI69</f>
        <v>17.142160896</v>
      </c>
      <c r="BJ78" s="16" t="n">
        <f aca="false">BJ76*Inputs!$C$75*BJ69</f>
        <v>18.2849716224</v>
      </c>
      <c r="BK78" s="16" t="n">
        <f aca="false">BK76*Inputs!$C$75*BK69</f>
        <v>19.4277823488</v>
      </c>
    </row>
    <row r="79" customFormat="false" ht="15" hidden="false" customHeight="true" outlineLevel="0" collapsed="false">
      <c r="A79" s="12" t="s">
        <v>1951</v>
      </c>
      <c r="B79" s="4" t="s">
        <v>44</v>
      </c>
      <c r="D79" s="16" t="n">
        <f aca="false">D77*Inputs!$C$76*D69</f>
        <v>0</v>
      </c>
      <c r="E79" s="16" t="n">
        <f aca="false">E77*Inputs!$C$76*E69</f>
        <v>0</v>
      </c>
      <c r="F79" s="16" t="n">
        <f aca="false">F77*Inputs!$C$76*F69</f>
        <v>0</v>
      </c>
      <c r="G79" s="16" t="n">
        <f aca="false">G77*Inputs!$C$76*G69</f>
        <v>0</v>
      </c>
      <c r="H79" s="16" t="n">
        <f aca="false">H77*Inputs!$C$76*H69</f>
        <v>0</v>
      </c>
      <c r="I79" s="16" t="n">
        <f aca="false">I77*Inputs!$C$76*I69</f>
        <v>0</v>
      </c>
      <c r="J79" s="16" t="n">
        <f aca="false">J77*Inputs!$C$76*J69</f>
        <v>0</v>
      </c>
      <c r="K79" s="16" t="n">
        <f aca="false">K77*Inputs!$C$76*K69</f>
        <v>0</v>
      </c>
      <c r="L79" s="16" t="n">
        <f aca="false">L77*Inputs!$C$76*L69</f>
        <v>0.56</v>
      </c>
      <c r="M79" s="16" t="n">
        <f aca="false">M77*Inputs!$C$76*M69</f>
        <v>0.56</v>
      </c>
      <c r="N79" s="16" t="n">
        <f aca="false">N77*Inputs!$C$76*N69</f>
        <v>0.56</v>
      </c>
      <c r="O79" s="16" t="n">
        <f aca="false">O77*Inputs!$C$76*O69</f>
        <v>0.56</v>
      </c>
      <c r="P79" s="16" t="n">
        <f aca="false">P77*Inputs!$C$76*P69</f>
        <v>0.6048</v>
      </c>
      <c r="Q79" s="16" t="n">
        <f aca="false">Q77*Inputs!$C$76*Q69</f>
        <v>0.6048</v>
      </c>
      <c r="R79" s="16" t="n">
        <f aca="false">R77*Inputs!$C$76*R69</f>
        <v>0.6048</v>
      </c>
      <c r="S79" s="16" t="n">
        <f aca="false">S77*Inputs!$C$76*S69</f>
        <v>0.6048</v>
      </c>
      <c r="T79" s="16" t="n">
        <f aca="false">T77*Inputs!$C$76*T69</f>
        <v>0.6048</v>
      </c>
      <c r="U79" s="16" t="n">
        <f aca="false">U77*Inputs!$C$76*U69</f>
        <v>0.6048</v>
      </c>
      <c r="V79" s="16" t="n">
        <f aca="false">V77*Inputs!$C$76*V69</f>
        <v>0.6048</v>
      </c>
      <c r="W79" s="16" t="n">
        <f aca="false">W77*Inputs!$C$76*W69</f>
        <v>0.6048</v>
      </c>
      <c r="X79" s="16" t="n">
        <f aca="false">X77*Inputs!$C$76*X69</f>
        <v>0.6048</v>
      </c>
      <c r="Y79" s="16" t="n">
        <f aca="false">Y77*Inputs!$C$76*Y69</f>
        <v>0.6048</v>
      </c>
      <c r="Z79" s="16" t="n">
        <f aca="false">Z77*Inputs!$C$76*Z69</f>
        <v>0.6048</v>
      </c>
      <c r="AA79" s="16" t="n">
        <f aca="false">AA77*Inputs!$C$76*AA69</f>
        <v>0.6048</v>
      </c>
      <c r="AB79" s="16" t="n">
        <f aca="false">AB77*Inputs!$C$76*AB69</f>
        <v>0.653184</v>
      </c>
      <c r="AC79" s="16" t="n">
        <f aca="false">AC77*Inputs!$C$76*AC69</f>
        <v>0.653184</v>
      </c>
      <c r="AD79" s="16" t="n">
        <f aca="false">AD77*Inputs!$C$76*AD69</f>
        <v>0.653184</v>
      </c>
      <c r="AE79" s="16" t="n">
        <f aca="false">AE77*Inputs!$C$76*AE69</f>
        <v>1.306368</v>
      </c>
      <c r="AF79" s="16" t="n">
        <f aca="false">AF77*Inputs!$C$76*AF69</f>
        <v>1.306368</v>
      </c>
      <c r="AG79" s="16" t="n">
        <f aca="false">AG77*Inputs!$C$76*AG69</f>
        <v>1.306368</v>
      </c>
      <c r="AH79" s="16" t="n">
        <f aca="false">AH77*Inputs!$C$76*AH69</f>
        <v>1.306368</v>
      </c>
      <c r="AI79" s="16" t="n">
        <f aca="false">AI77*Inputs!$C$76*AI69</f>
        <v>1.306368</v>
      </c>
      <c r="AJ79" s="16" t="n">
        <f aca="false">AJ77*Inputs!$C$76*AJ69</f>
        <v>1.306368</v>
      </c>
      <c r="AK79" s="16" t="n">
        <f aca="false">AK77*Inputs!$C$76*AK69</f>
        <v>1.959552</v>
      </c>
      <c r="AL79" s="16" t="n">
        <f aca="false">AL77*Inputs!$C$76*AL69</f>
        <v>1.959552</v>
      </c>
      <c r="AM79" s="16" t="n">
        <f aca="false">AM77*Inputs!$C$76*AM69</f>
        <v>1.959552</v>
      </c>
      <c r="AN79" s="16" t="n">
        <f aca="false">AN77*Inputs!$C$76*AN69</f>
        <v>2.11631616</v>
      </c>
      <c r="AO79" s="16" t="n">
        <f aca="false">AO77*Inputs!$C$76*AO69</f>
        <v>2.82175488</v>
      </c>
      <c r="AP79" s="16" t="n">
        <f aca="false">AP77*Inputs!$C$76*AP69</f>
        <v>2.82175488</v>
      </c>
      <c r="AQ79" s="16" t="n">
        <f aca="false">AQ77*Inputs!$C$76*AQ69</f>
        <v>2.82175488</v>
      </c>
      <c r="AR79" s="16" t="n">
        <f aca="false">AR77*Inputs!$C$76*AR69</f>
        <v>3.5271936</v>
      </c>
      <c r="AS79" s="16" t="n">
        <f aca="false">AS77*Inputs!$C$76*AS69</f>
        <v>3.5271936</v>
      </c>
      <c r="AT79" s="16" t="n">
        <f aca="false">AT77*Inputs!$C$76*AT69</f>
        <v>3.5271936</v>
      </c>
      <c r="AU79" s="16" t="n">
        <f aca="false">AU77*Inputs!$C$76*AU69</f>
        <v>3.5271936</v>
      </c>
      <c r="AV79" s="16" t="n">
        <f aca="false">AV77*Inputs!$C$76*AV69</f>
        <v>4.23263232</v>
      </c>
      <c r="AW79" s="16" t="n">
        <f aca="false">AW77*Inputs!$C$76*AW69</f>
        <v>4.23263232</v>
      </c>
      <c r="AX79" s="16" t="n">
        <f aca="false">AX77*Inputs!$C$76*AX69</f>
        <v>4.93807104</v>
      </c>
      <c r="AY79" s="16" t="n">
        <f aca="false">AY77*Inputs!$C$76*AY69</f>
        <v>4.93807104</v>
      </c>
      <c r="AZ79" s="16" t="n">
        <f aca="false">AZ77*Inputs!$C$76*AZ69</f>
        <v>6.0949905408</v>
      </c>
      <c r="BA79" s="16" t="n">
        <f aca="false">BA77*Inputs!$C$76*BA69</f>
        <v>6.0949905408</v>
      </c>
      <c r="BB79" s="16" t="n">
        <f aca="false">BB77*Inputs!$C$76*BB69</f>
        <v>6.8568643584</v>
      </c>
      <c r="BC79" s="16" t="n">
        <f aca="false">BC77*Inputs!$C$76*BC69</f>
        <v>6.8568643584</v>
      </c>
      <c r="BD79" s="16" t="n">
        <f aca="false">BD77*Inputs!$C$76*BD69</f>
        <v>7.618738176</v>
      </c>
      <c r="BE79" s="16" t="n">
        <f aca="false">BE77*Inputs!$C$76*BE69</f>
        <v>7.618738176</v>
      </c>
      <c r="BF79" s="16" t="n">
        <f aca="false">BF77*Inputs!$C$76*BF69</f>
        <v>8.3806119936</v>
      </c>
      <c r="BG79" s="16" t="n">
        <f aca="false">BG77*Inputs!$C$76*BG69</f>
        <v>8.3806119936</v>
      </c>
      <c r="BH79" s="16" t="n">
        <f aca="false">BH77*Inputs!$C$76*BH69</f>
        <v>9.1424858112</v>
      </c>
      <c r="BI79" s="16" t="n">
        <f aca="false">BI77*Inputs!$C$76*BI69</f>
        <v>9.9043596288</v>
      </c>
      <c r="BJ79" s="16" t="n">
        <f aca="false">BJ77*Inputs!$C$76*BJ69</f>
        <v>9.9043596288</v>
      </c>
      <c r="BK79" s="16" t="n">
        <f aca="false">BK77*Inputs!$C$76*BK69</f>
        <v>10.6662334464</v>
      </c>
    </row>
    <row r="80" customFormat="false" ht="15" hidden="false" customHeight="true" outlineLevel="0" collapsed="false">
      <c r="A80" s="5" t="s">
        <v>1952</v>
      </c>
      <c r="B80" s="4" t="s">
        <v>44</v>
      </c>
      <c r="D80" s="52" t="n">
        <f aca="false">SUM(D70,D71,D72,D73,D74,D75,D78,D79)</f>
        <v>0</v>
      </c>
      <c r="E80" s="52" t="n">
        <f aca="false">SUM(E70,E71,E72,E73,E74,E75,E78,E79)</f>
        <v>0</v>
      </c>
      <c r="F80" s="52" t="n">
        <f aca="false">SUM(F70,F71,F72,F73,F74,F75,F78,F79)</f>
        <v>1.5</v>
      </c>
      <c r="G80" s="52" t="n">
        <f aca="false">SUM(G70,G71,G72,G73,G74,G75,G78,G79)</f>
        <v>1.5765</v>
      </c>
      <c r="H80" s="52" t="n">
        <f aca="false">SUM(H70,H71,H72,H73,H74,H75,H78,H79)</f>
        <v>1.653</v>
      </c>
      <c r="I80" s="52" t="n">
        <f aca="false">SUM(I70,I71,I72,I73,I74,I75,I78,I79)</f>
        <v>1.7295</v>
      </c>
      <c r="J80" s="52" t="n">
        <f aca="false">SUM(J70,J71,J72,J73,J74,J75,J78,J79)</f>
        <v>1.755</v>
      </c>
      <c r="K80" s="52" t="n">
        <f aca="false">SUM(K70,K71,K72,K73,K74,K75,K78,K79)</f>
        <v>1.806</v>
      </c>
      <c r="L80" s="52" t="n">
        <f aca="false">SUM(L70,L71,L72,L73,L74,L75,L78,L79)</f>
        <v>3.324575</v>
      </c>
      <c r="M80" s="52" t="n">
        <f aca="false">SUM(M70,M71,M72,M73,M74,M75,M78,M79)</f>
        <v>3.44282061921409</v>
      </c>
      <c r="N80" s="52" t="n">
        <f aca="false">SUM(N70,N71,N72,N73,N74,N75,N78,N79)</f>
        <v>3.56073943617352</v>
      </c>
      <c r="O80" s="52" t="n">
        <f aca="false">SUM(O70,O71,O72,O73,O74,O75,O78,O79)</f>
        <v>3.69235900922369</v>
      </c>
      <c r="P80" s="52" t="n">
        <f aca="false">SUM(P70,P71,P72,P73,P74,P75,P78,P79)</f>
        <v>3.95346847893259</v>
      </c>
      <c r="Q80" s="52" t="n">
        <f aca="false">SUM(Q70,Q71,Q72,Q73,Q74,Q75,Q78,Q79)</f>
        <v>4.05578363001871</v>
      </c>
      <c r="R80" s="52" t="n">
        <f aca="false">SUM(R70,R71,R72,R73,R74,R75,R78,R79)</f>
        <v>4.14658620857751</v>
      </c>
      <c r="S80" s="52" t="n">
        <f aca="false">SUM(S70,S71,S72,S73,S74,S75,S78,S79)</f>
        <v>4.79833773678318</v>
      </c>
      <c r="T80" s="52" t="n">
        <f aca="false">SUM(T70,T71,T72,T73,T74,T75,T78,T79)</f>
        <v>5.53527843508038</v>
      </c>
      <c r="U80" s="52" t="n">
        <f aca="false">SUM(U70,U71,U72,U73,U74,U75,U78,U79)</f>
        <v>6.3439865872854</v>
      </c>
      <c r="V80" s="52" t="n">
        <f aca="false">SUM(V70,V71,V72,V73,V74,V75,V78,V79)</f>
        <v>6.67613325765053</v>
      </c>
      <c r="W80" s="52" t="n">
        <f aca="false">SUM(W70,W71,W72,W73,W74,W75,W78,W79)</f>
        <v>7.00738653560986</v>
      </c>
      <c r="X80" s="52" t="n">
        <f aca="false">SUM(X70,X71,X72,X73,X74,X75,X78,X79)</f>
        <v>7.63933823723467</v>
      </c>
      <c r="Y80" s="52" t="n">
        <f aca="false">SUM(Y70,Y71,Y72,Y73,Y74,Y75,Y78,Y79)</f>
        <v>8.23534579664818</v>
      </c>
      <c r="Z80" s="52" t="n">
        <f aca="false">SUM(Z70,Z71,Z72,Z73,Z74,Z75,Z78,Z79)</f>
        <v>8.79512166925608</v>
      </c>
      <c r="AA80" s="52" t="n">
        <f aca="false">SUM(AA70,AA71,AA72,AA73,AA74,AA75,AA78,AA79)</f>
        <v>9.31838056148402</v>
      </c>
      <c r="AB80" s="52" t="n">
        <f aca="false">SUM(AB70,AB71,AB72,AB73,AB74,AB75,AB78,AB79)</f>
        <v>9.73769869249787</v>
      </c>
      <c r="AC80" s="52" t="n">
        <f aca="false">SUM(AC70,AC71,AC72,AC73,AC74,AC75,AC78,AC79)</f>
        <v>10.3026902610083</v>
      </c>
      <c r="AD80" s="52" t="n">
        <f aca="false">SUM(AD70,AD71,AD72,AD73,AD74,AD75,AD78,AD79)</f>
        <v>11.8430348380304</v>
      </c>
      <c r="AE80" s="52" t="n">
        <f aca="false">SUM(AE70,AE71,AE72,AE73,AE74,AE75,AE78,AE79)</f>
        <v>14.0597169003608</v>
      </c>
      <c r="AF80" s="52" t="n">
        <f aca="false">SUM(AF70,AF71,AF72,AF73,AF74,AF75,AF78,AF79)</f>
        <v>15.7569434502167</v>
      </c>
      <c r="AG80" s="52" t="n">
        <f aca="false">SUM(AG70,AG71,AG72,AG73,AG74,AG75,AG78,AG79)</f>
        <v>17.5879325726379</v>
      </c>
      <c r="AH80" s="52" t="n">
        <f aca="false">SUM(AH70,AH71,AH72,AH73,AH74,AH75,AH78,AH79)</f>
        <v>18.5454002340722</v>
      </c>
      <c r="AI80" s="52" t="n">
        <f aca="false">SUM(AI70,AI71,AI72,AI73,AI74,AI75,AI78,AI79)</f>
        <v>19.4986153397443</v>
      </c>
      <c r="AJ80" s="52" t="n">
        <f aca="false">SUM(AJ70,AJ71,AJ72,AJ73,AJ74,AJ75,AJ78,AJ79)</f>
        <v>21.9814119989163</v>
      </c>
      <c r="AK80" s="52" t="n">
        <f aca="false">SUM(AK70,AK71,AK72,AK73,AK74,AK75,AK78,AK79)</f>
        <v>24.0669561591406</v>
      </c>
      <c r="AL80" s="52" t="n">
        <f aca="false">SUM(AL70,AL71,AL72,AL73,AL74,AL75,AL78,AL79)</f>
        <v>25.4281280126527</v>
      </c>
      <c r="AM80" s="52" t="n">
        <f aca="false">SUM(AM70,AM71,AM72,AM73,AM74,AM75,AM78,AM79)</f>
        <v>27.6973638835891</v>
      </c>
      <c r="AN80" s="52" t="n">
        <f aca="false">SUM(AN70,AN71,AN72,AN73,AN74,AN75,AN78,AN79)</f>
        <v>28.529641240859</v>
      </c>
      <c r="AO80" s="52" t="n">
        <f aca="false">SUM(AO70,AO71,AO72,AO73,AO74,AO75,AO78,AO79)</f>
        <v>30.5846938929635</v>
      </c>
      <c r="AP80" s="52" t="n">
        <f aca="false">SUM(AP70,AP71,AP72,AP73,AP74,AP75,AP78,AP79)</f>
        <v>32.9819005599074</v>
      </c>
      <c r="AQ80" s="52" t="n">
        <f aca="false">SUM(AQ70,AQ71,AQ72,AQ73,AQ74,AQ75,AQ78,AQ79)</f>
        <v>35.3439391895757</v>
      </c>
      <c r="AR80" s="52" t="n">
        <f aca="false">SUM(AR70,AR71,AR72,AR73,AR74,AR75,AR78,AR79)</f>
        <v>38.575920466521</v>
      </c>
      <c r="AS80" s="52" t="n">
        <f aca="false">SUM(AS70,AS71,AS72,AS73,AS74,AS75,AS78,AS79)</f>
        <v>42.3252064507984</v>
      </c>
      <c r="AT80" s="52" t="n">
        <f aca="false">SUM(AT70,AT71,AT72,AT73,AT74,AT75,AT78,AT79)</f>
        <v>44.1475278071506</v>
      </c>
      <c r="AU80" s="52" t="n">
        <f aca="false">SUM(AU70,AU71,AU72,AU73,AU74,AU75,AU78,AU79)</f>
        <v>45.9596909437636</v>
      </c>
      <c r="AV80" s="52" t="n">
        <f aca="false">SUM(AV70,AV71,AV72,AV73,AV74,AV75,AV78,AV79)</f>
        <v>50.0937821563084</v>
      </c>
      <c r="AW80" s="52" t="n">
        <f aca="false">SUM(AW70,AW71,AW72,AW73,AW74,AW75,AW78,AW79)</f>
        <v>53.4292780750097</v>
      </c>
      <c r="AX80" s="52" t="n">
        <f aca="false">SUM(AX70,AX71,AX72,AX73,AX74,AX75,AX78,AX79)</f>
        <v>56.3182581027394</v>
      </c>
      <c r="AY80" s="52" t="n">
        <f aca="false">SUM(AY70,AY71,AY72,AY73,AY74,AY75,AY78,AY79)</f>
        <v>59.4655260122228</v>
      </c>
      <c r="AZ80" s="52" t="n">
        <f aca="false">SUM(AZ70,AZ71,AZ72,AZ73,AZ74,AZ75,AZ78,AZ79)</f>
        <v>61.3682666988785</v>
      </c>
      <c r="BA80" s="52" t="n">
        <f aca="false">SUM(BA70,BA71,BA72,BA73,BA74,BA75,BA78,BA79)</f>
        <v>64.6468397563302</v>
      </c>
      <c r="BB80" s="52" t="n">
        <f aca="false">SUM(BB70,BB71,BB72,BB73,BB74,BB75,BB78,BB79)</f>
        <v>67.5277562597027</v>
      </c>
      <c r="BC80" s="52" t="n">
        <f aca="false">SUM(BC70,BC71,BC72,BC73,BC74,BC75,BC78,BC79)</f>
        <v>71.7340500496583</v>
      </c>
      <c r="BD80" s="52" t="n">
        <f aca="false">SUM(BD70,BD71,BD72,BD73,BD74,BD75,BD78,BD79)</f>
        <v>76.8311481297327</v>
      </c>
      <c r="BE80" s="52" t="n">
        <f aca="false">SUM(BE70,BE71,BE72,BE73,BE74,BE75,BE78,BE79)</f>
        <v>80.1526209854595</v>
      </c>
      <c r="BF80" s="52" t="n">
        <f aca="false">SUM(BF70,BF71,BF72,BF73,BF74,BF75,BF78,BF79)</f>
        <v>84.5469364086519</v>
      </c>
      <c r="BG80" s="52" t="n">
        <f aca="false">SUM(BG70,BG71,BG72,BG73,BG74,BG75,BG78,BG79)</f>
        <v>87.0204919180268</v>
      </c>
      <c r="BH80" s="52" t="n">
        <f aca="false">SUM(BH70,BH71,BH72,BH73,BH74,BH75,BH78,BH79)</f>
        <v>91.9113484703941</v>
      </c>
      <c r="BI80" s="52" t="n">
        <f aca="false">SUM(BI70,BI71,BI72,BI73,BI74,BI75,BI78,BI79)</f>
        <v>96.7168173057359</v>
      </c>
      <c r="BJ80" s="52" t="n">
        <f aca="false">SUM(BJ70,BJ71,BJ72,BJ73,BJ74,BJ75,BJ78,BJ79)</f>
        <v>100.674554888326</v>
      </c>
      <c r="BK80" s="52" t="n">
        <f aca="false">SUM(BK70,BK71,BK72,BK73,BK74,BK75,BK78,BK79)</f>
        <v>105.307842812389</v>
      </c>
    </row>
    <row r="81" customFormat="false" ht="15" hidden="false" customHeight="true" outlineLevel="0" collapsed="false">
      <c r="A81" s="12" t="s">
        <v>1953</v>
      </c>
      <c r="B81" s="4" t="s">
        <v>44</v>
      </c>
      <c r="D81" s="16" t="n">
        <f aca="false">D38*Inputs!$C$74*D69</f>
        <v>0</v>
      </c>
      <c r="E81" s="16" t="n">
        <f aca="false">E38*Inputs!$C$74*E69</f>
        <v>0</v>
      </c>
      <c r="F81" s="16" t="n">
        <f aca="false">F38*Inputs!$C$74*F69</f>
        <v>0.933333333333333</v>
      </c>
      <c r="G81" s="16" t="n">
        <f aca="false">G38*Inputs!$C$74*G69</f>
        <v>0.933333333333333</v>
      </c>
      <c r="H81" s="16" t="n">
        <f aca="false">H38*Inputs!$C$74*H69</f>
        <v>0.933333333333333</v>
      </c>
      <c r="I81" s="16" t="n">
        <f aca="false">I38*Inputs!$C$74*I69</f>
        <v>0.933333333333333</v>
      </c>
      <c r="J81" s="16" t="n">
        <f aca="false">J38*Inputs!$C$74*J69</f>
        <v>0.933333333333333</v>
      </c>
      <c r="K81" s="16" t="n">
        <f aca="false">K38*Inputs!$C$74*K69</f>
        <v>0.933333333333333</v>
      </c>
      <c r="L81" s="16" t="n">
        <f aca="false">L38*Inputs!$C$74*L69</f>
        <v>0.933333333333333</v>
      </c>
      <c r="M81" s="16" t="n">
        <f aca="false">M38*Inputs!$C$74*M69</f>
        <v>0.933333333333333</v>
      </c>
      <c r="N81" s="16" t="n">
        <f aca="false">N38*Inputs!$C$74*N69</f>
        <v>0.933333333333333</v>
      </c>
      <c r="O81" s="16" t="n">
        <f aca="false">O38*Inputs!$C$74*O69</f>
        <v>0.933333333333333</v>
      </c>
      <c r="P81" s="16" t="n">
        <f aca="false">P38*Inputs!$C$74*P69</f>
        <v>1.008</v>
      </c>
      <c r="Q81" s="16" t="n">
        <f aca="false">Q38*Inputs!$C$74*Q69</f>
        <v>2.016</v>
      </c>
      <c r="R81" s="16" t="n">
        <f aca="false">R38*Inputs!$C$74*R69</f>
        <v>2.016</v>
      </c>
      <c r="S81" s="16" t="n">
        <f aca="false">S38*Inputs!$C$74*S69</f>
        <v>2.016</v>
      </c>
      <c r="T81" s="16" t="n">
        <f aca="false">T38*Inputs!$C$74*T69</f>
        <v>3.024</v>
      </c>
      <c r="U81" s="16" t="n">
        <f aca="false">U38*Inputs!$C$74*U69</f>
        <v>4.032</v>
      </c>
      <c r="V81" s="16" t="n">
        <f aca="false">V38*Inputs!$C$74*V69</f>
        <v>4.032</v>
      </c>
      <c r="W81" s="16" t="n">
        <f aca="false">W38*Inputs!$C$74*W69</f>
        <v>5.04</v>
      </c>
      <c r="X81" s="16" t="n">
        <f aca="false">X38*Inputs!$C$74*X69</f>
        <v>6.048</v>
      </c>
      <c r="Y81" s="16" t="n">
        <f aca="false">Y38*Inputs!$C$74*Y69</f>
        <v>6.048</v>
      </c>
      <c r="Z81" s="16" t="n">
        <f aca="false">Z38*Inputs!$C$74*Z69</f>
        <v>6.048</v>
      </c>
      <c r="AA81" s="16" t="n">
        <f aca="false">AA38*Inputs!$C$74*AA69</f>
        <v>6.048</v>
      </c>
      <c r="AB81" s="16" t="n">
        <f aca="false">AB38*Inputs!$C$74*AB69</f>
        <v>6.53184</v>
      </c>
      <c r="AC81" s="16" t="n">
        <f aca="false">AC38*Inputs!$C$74*AC69</f>
        <v>7.62048</v>
      </c>
      <c r="AD81" s="16" t="n">
        <f aca="false">AD38*Inputs!$C$74*AD69</f>
        <v>7.62048</v>
      </c>
      <c r="AE81" s="16" t="n">
        <f aca="false">AE38*Inputs!$C$74*AE69</f>
        <v>8.70912</v>
      </c>
      <c r="AF81" s="16" t="n">
        <f aca="false">AF38*Inputs!$C$74*AF69</f>
        <v>9.79776</v>
      </c>
      <c r="AG81" s="16" t="n">
        <f aca="false">AG38*Inputs!$C$74*AG69</f>
        <v>10.8864</v>
      </c>
      <c r="AH81" s="16" t="n">
        <f aca="false">AH38*Inputs!$C$74*AH69</f>
        <v>11.97504</v>
      </c>
      <c r="AI81" s="16" t="n">
        <f aca="false">AI38*Inputs!$C$74*AI69</f>
        <v>13.06368</v>
      </c>
      <c r="AJ81" s="16" t="n">
        <f aca="false">AJ38*Inputs!$C$74*AJ69</f>
        <v>15.24096</v>
      </c>
      <c r="AK81" s="16" t="n">
        <f aca="false">AK38*Inputs!$C$74*AK69</f>
        <v>16.3296</v>
      </c>
      <c r="AL81" s="16" t="n">
        <f aca="false">AL38*Inputs!$C$74*AL69</f>
        <v>16.3296</v>
      </c>
      <c r="AM81" s="16" t="n">
        <f aca="false">AM38*Inputs!$C$74*AM69</f>
        <v>17.41824</v>
      </c>
      <c r="AN81" s="16" t="n">
        <f aca="false">AN38*Inputs!$C$74*AN69</f>
        <v>18.8116992</v>
      </c>
      <c r="AO81" s="16" t="n">
        <f aca="false">AO38*Inputs!$C$74*AO69</f>
        <v>18.8116992</v>
      </c>
      <c r="AP81" s="16" t="n">
        <f aca="false">AP38*Inputs!$C$74*AP69</f>
        <v>18.8116992</v>
      </c>
      <c r="AQ81" s="16" t="n">
        <f aca="false">AQ38*Inputs!$C$74*AQ69</f>
        <v>19.9874304</v>
      </c>
      <c r="AR81" s="16" t="n">
        <f aca="false">AR38*Inputs!$C$74*AR69</f>
        <v>22.3388928</v>
      </c>
      <c r="AS81" s="16" t="n">
        <f aca="false">AS38*Inputs!$C$74*AS69</f>
        <v>23.514624</v>
      </c>
      <c r="AT81" s="16" t="n">
        <f aca="false">AT38*Inputs!$C$74*AT69</f>
        <v>24.6903552</v>
      </c>
      <c r="AU81" s="16" t="n">
        <f aca="false">AU38*Inputs!$C$74*AU69</f>
        <v>27.0418176</v>
      </c>
      <c r="AV81" s="16" t="n">
        <f aca="false">AV38*Inputs!$C$74*AV69</f>
        <v>29.39328</v>
      </c>
      <c r="AW81" s="16" t="n">
        <f aca="false">AW38*Inputs!$C$74*AW69</f>
        <v>30.5690112</v>
      </c>
      <c r="AX81" s="16" t="n">
        <f aca="false">AX38*Inputs!$C$74*AX69</f>
        <v>30.5690112</v>
      </c>
      <c r="AY81" s="16" t="n">
        <f aca="false">AY38*Inputs!$C$74*AY69</f>
        <v>31.7447424</v>
      </c>
      <c r="AZ81" s="16" t="n">
        <f aca="false">AZ38*Inputs!$C$74*AZ69</f>
        <v>34.284321792</v>
      </c>
      <c r="BA81" s="16" t="n">
        <f aca="false">BA38*Inputs!$C$74*BA69</f>
        <v>34.284321792</v>
      </c>
      <c r="BB81" s="16" t="n">
        <f aca="false">BB38*Inputs!$C$74*BB69</f>
        <v>34.284321792</v>
      </c>
      <c r="BC81" s="16" t="n">
        <f aca="false">BC38*Inputs!$C$74*BC69</f>
        <v>36.823901184</v>
      </c>
      <c r="BD81" s="16" t="n">
        <f aca="false">BD38*Inputs!$C$74*BD69</f>
        <v>38.09369088</v>
      </c>
      <c r="BE81" s="16" t="n">
        <f aca="false">BE38*Inputs!$C$74*BE69</f>
        <v>39.363480576</v>
      </c>
      <c r="BF81" s="16" t="n">
        <f aca="false">BF38*Inputs!$C$74*BF69</f>
        <v>40.633270272</v>
      </c>
      <c r="BG81" s="16" t="n">
        <f aca="false">BG38*Inputs!$C$74*BG69</f>
        <v>43.172849664</v>
      </c>
      <c r="BH81" s="16" t="n">
        <f aca="false">BH38*Inputs!$C$74*BH69</f>
        <v>45.712429056</v>
      </c>
      <c r="BI81" s="16" t="n">
        <f aca="false">BI38*Inputs!$C$74*BI69</f>
        <v>46.982218752</v>
      </c>
      <c r="BJ81" s="16" t="n">
        <f aca="false">BJ38*Inputs!$C$74*BJ69</f>
        <v>46.982218752</v>
      </c>
      <c r="BK81" s="16" t="n">
        <f aca="false">BK38*Inputs!$C$74*BK69</f>
        <v>46.982218752</v>
      </c>
    </row>
    <row r="82" customFormat="false" ht="15" hidden="false" customHeight="true" outlineLevel="0" collapsed="false">
      <c r="A82" s="12" t="s">
        <v>1954</v>
      </c>
      <c r="B82" s="4" t="s">
        <v>44</v>
      </c>
      <c r="D82" s="16" t="n">
        <f aca="false">(D42*Inputs!$C$38*Inputs!$C$39+D26*Inputs!$C$40)*Inputs!$C$130*D68</f>
        <v>0</v>
      </c>
      <c r="E82" s="16" t="n">
        <f aca="false">(E42*Inputs!$C$38*Inputs!$C$39+E26*Inputs!$C$40)*Inputs!$C$130*E68</f>
        <v>0</v>
      </c>
      <c r="F82" s="16" t="n">
        <f aca="false">(F42*Inputs!$C$38*Inputs!$C$39+F26*Inputs!$C$40)*Inputs!$C$130*F68</f>
        <v>0</v>
      </c>
      <c r="G82" s="16" t="n">
        <f aca="false">(G42*Inputs!$C$38*Inputs!$C$39+G26*Inputs!$C$40)*Inputs!$C$130*G68</f>
        <v>0.45</v>
      </c>
      <c r="H82" s="16" t="n">
        <f aca="false">(H42*Inputs!$C$38*Inputs!$C$39+H26*Inputs!$C$40)*Inputs!$C$130*H68</f>
        <v>0.45</v>
      </c>
      <c r="I82" s="16" t="n">
        <f aca="false">(I42*Inputs!$C$38*Inputs!$C$39+I26*Inputs!$C$40)*Inputs!$C$130*I68</f>
        <v>0.45</v>
      </c>
      <c r="J82" s="16" t="n">
        <f aca="false">(J42*Inputs!$C$38*Inputs!$C$39+J26*Inputs!$C$40)*Inputs!$C$130*J68</f>
        <v>0.6</v>
      </c>
      <c r="K82" s="16" t="n">
        <f aca="false">(K42*Inputs!$C$38*Inputs!$C$39+K26*Inputs!$C$40)*Inputs!$C$130*K68</f>
        <v>0.75</v>
      </c>
      <c r="L82" s="16" t="n">
        <f aca="false">(L42*Inputs!$C$38*Inputs!$C$39+L26*Inputs!$C$40)*Inputs!$C$130*L68</f>
        <v>1.51875</v>
      </c>
      <c r="M82" s="16" t="n">
        <f aca="false">(M42*Inputs!$C$38*Inputs!$C$39+M26*Inputs!$C$40)*Inputs!$C$130*M68</f>
        <v>1.66875</v>
      </c>
      <c r="N82" s="16" t="n">
        <f aca="false">(N42*Inputs!$C$38*Inputs!$C$39+N26*Inputs!$C$40)*Inputs!$C$130*N68</f>
        <v>1.81875</v>
      </c>
      <c r="O82" s="16" t="n">
        <f aca="false">(O42*Inputs!$C$38*Inputs!$C$39+O26*Inputs!$C$40)*Inputs!$C$130*O68</f>
        <v>2.175</v>
      </c>
      <c r="P82" s="16" t="n">
        <f aca="false">(P42*Inputs!$C$38*Inputs!$C$39+P26*Inputs!$C$40)*Inputs!$C$130*P68</f>
        <v>2.5003125</v>
      </c>
      <c r="Q82" s="16" t="n">
        <f aca="false">(Q42*Inputs!$C$38*Inputs!$C$39+Q26*Inputs!$C$40)*Inputs!$C$130*Q68</f>
        <v>2.716875</v>
      </c>
      <c r="R82" s="16" t="n">
        <f aca="false">(R42*Inputs!$C$38*Inputs!$C$39+R26*Inputs!$C$40)*Inputs!$C$130*R68</f>
        <v>2.9334375</v>
      </c>
      <c r="S82" s="16" t="n">
        <f aca="false">(S42*Inputs!$C$38*Inputs!$C$39+S26*Inputs!$C$40)*Inputs!$C$130*S68</f>
        <v>6.71503308</v>
      </c>
      <c r="T82" s="16" t="n">
        <f aca="false">(T42*Inputs!$C$38*Inputs!$C$39+T26*Inputs!$C$40)*Inputs!$C$130*T68</f>
        <v>7.40409558</v>
      </c>
      <c r="U82" s="16" t="n">
        <f aca="false">(U42*Inputs!$C$38*Inputs!$C$39+U26*Inputs!$C$40)*Inputs!$C$130*U68</f>
        <v>7.87659558</v>
      </c>
      <c r="V82" s="16" t="n">
        <f aca="false">(V42*Inputs!$C$38*Inputs!$C$39+V26*Inputs!$C$40)*Inputs!$C$130*V68</f>
        <v>8.34909558</v>
      </c>
      <c r="W82" s="16" t="n">
        <f aca="false">(W42*Inputs!$C$38*Inputs!$C$39+W26*Inputs!$C$40)*Inputs!$C$130*W68</f>
        <v>8.82159558</v>
      </c>
      <c r="X82" s="16" t="n">
        <f aca="false">(X42*Inputs!$C$38*Inputs!$C$39+X26*Inputs!$C$40)*Inputs!$C$130*X68</f>
        <v>14.196016065</v>
      </c>
      <c r="Y82" s="16" t="n">
        <f aca="false">(Y42*Inputs!$C$38*Inputs!$C$39+Y26*Inputs!$C$40)*Inputs!$C$130*Y68</f>
        <v>14.845703565</v>
      </c>
      <c r="Z82" s="16" t="n">
        <f aca="false">(Z42*Inputs!$C$38*Inputs!$C$39+Z26*Inputs!$C$40)*Inputs!$C$130*Z68</f>
        <v>15.495391065</v>
      </c>
      <c r="AA82" s="16" t="n">
        <f aca="false">(AA42*Inputs!$C$38*Inputs!$C$39+AA26*Inputs!$C$40)*Inputs!$C$130*AA68</f>
        <v>16.145078565</v>
      </c>
      <c r="AB82" s="16" t="n">
        <f aca="false">(AB42*Inputs!$C$38*Inputs!$C$39+AB26*Inputs!$C$40)*Inputs!$C$130*AB68</f>
        <v>17.63450436825</v>
      </c>
      <c r="AC82" s="16" t="n">
        <f aca="false">(AC42*Inputs!$C$38*Inputs!$C$39+AC26*Inputs!$C$40)*Inputs!$C$130*AC68</f>
        <v>18.31667624325</v>
      </c>
      <c r="AD82" s="16" t="n">
        <f aca="false">(AD42*Inputs!$C$38*Inputs!$C$39+AD26*Inputs!$C$40)*Inputs!$C$130*AD68</f>
        <v>18.31667624325</v>
      </c>
      <c r="AE82" s="16" t="n">
        <f aca="false">(AE42*Inputs!$C$38*Inputs!$C$39+AE26*Inputs!$C$40)*Inputs!$C$130*AE68</f>
        <v>25.55518321125</v>
      </c>
      <c r="AF82" s="16" t="n">
        <f aca="false">(AF42*Inputs!$C$38*Inputs!$C$39+AF26*Inputs!$C$40)*Inputs!$C$130*AF68</f>
        <v>26.54743321125</v>
      </c>
      <c r="AG82" s="16" t="n">
        <f aca="false">(AG42*Inputs!$C$38*Inputs!$C$39+AG26*Inputs!$C$40)*Inputs!$C$130*AG68</f>
        <v>27.53968321125</v>
      </c>
      <c r="AH82" s="16" t="n">
        <f aca="false">(AH42*Inputs!$C$38*Inputs!$C$39+AH26*Inputs!$C$40)*Inputs!$C$130*AH68</f>
        <v>28.53193321125</v>
      </c>
      <c r="AI82" s="16" t="n">
        <f aca="false">(AI42*Inputs!$C$38*Inputs!$C$39+AI26*Inputs!$C$40)*Inputs!$C$130*AI68</f>
        <v>29.52418321125</v>
      </c>
      <c r="AJ82" s="16" t="n">
        <f aca="false">(AJ42*Inputs!$C$38*Inputs!$C$39+AJ26*Inputs!$C$40)*Inputs!$C$130*AJ68</f>
        <v>40.46938029225</v>
      </c>
      <c r="AK82" s="16" t="n">
        <f aca="false">(AK42*Inputs!$C$38*Inputs!$C$39+AK26*Inputs!$C$40)*Inputs!$C$130*AK68</f>
        <v>41.83372404225</v>
      </c>
      <c r="AL82" s="16" t="n">
        <f aca="false">(AL42*Inputs!$C$38*Inputs!$C$39+AL26*Inputs!$C$40)*Inputs!$C$130*AL68</f>
        <v>43.19806779225</v>
      </c>
      <c r="AM82" s="16" t="n">
        <f aca="false">(AM42*Inputs!$C$38*Inputs!$C$39+AM26*Inputs!$C$40)*Inputs!$C$130*AM68</f>
        <v>44.56241154225</v>
      </c>
      <c r="AN82" s="16" t="n">
        <f aca="false">(AN42*Inputs!$C$38*Inputs!$C$39+AN26*Inputs!$C$40)*Inputs!$C$130*AN68</f>
        <v>48.2230930568625</v>
      </c>
      <c r="AO82" s="16" t="n">
        <f aca="false">(AO42*Inputs!$C$38*Inputs!$C$39+AO26*Inputs!$C$40)*Inputs!$C$130*AO68</f>
        <v>49.6556539943625</v>
      </c>
      <c r="AP82" s="16" t="n">
        <f aca="false">(AP42*Inputs!$C$38*Inputs!$C$39+AP26*Inputs!$C$40)*Inputs!$C$130*AP68</f>
        <v>49.6556539943625</v>
      </c>
      <c r="AQ82" s="16" t="n">
        <f aca="false">(AQ42*Inputs!$C$38*Inputs!$C$39+AQ26*Inputs!$C$40)*Inputs!$C$130*AQ68</f>
        <v>57.8638394357625</v>
      </c>
      <c r="AR82" s="16" t="n">
        <f aca="false">(AR42*Inputs!$C$38*Inputs!$C$39+AR26*Inputs!$C$40)*Inputs!$C$130*AR68</f>
        <v>59.2529894357625</v>
      </c>
      <c r="AS82" s="16" t="n">
        <f aca="false">(AS42*Inputs!$C$38*Inputs!$C$39+AS26*Inputs!$C$40)*Inputs!$C$130*AS68</f>
        <v>60.6421394357625</v>
      </c>
      <c r="AT82" s="16" t="n">
        <f aca="false">(AT42*Inputs!$C$38*Inputs!$C$39+AT26*Inputs!$C$40)*Inputs!$C$130*AT68</f>
        <v>62.0312894357625</v>
      </c>
      <c r="AU82" s="16" t="n">
        <f aca="false">(AU42*Inputs!$C$38*Inputs!$C$39+AU26*Inputs!$C$40)*Inputs!$C$130*AU68</f>
        <v>63.4204394357625</v>
      </c>
      <c r="AV82" s="16" t="n">
        <f aca="false">(AV42*Inputs!$C$38*Inputs!$C$39+AV26*Inputs!$C$40)*Inputs!$C$130*AV68</f>
        <v>76.0958444176875</v>
      </c>
      <c r="AW82" s="16" t="n">
        <f aca="false">(AW42*Inputs!$C$38*Inputs!$C$39+AW26*Inputs!$C$40)*Inputs!$C$130*AW68</f>
        <v>78.0059256676875</v>
      </c>
      <c r="AX82" s="16" t="n">
        <f aca="false">(AX42*Inputs!$C$38*Inputs!$C$39+AX26*Inputs!$C$40)*Inputs!$C$130*AX68</f>
        <v>79.9160069176875</v>
      </c>
      <c r="AY82" s="16" t="n">
        <f aca="false">(AY42*Inputs!$C$38*Inputs!$C$39+AY26*Inputs!$C$40)*Inputs!$C$130*AY68</f>
        <v>81.8260881676875</v>
      </c>
      <c r="AZ82" s="16" t="n">
        <f aca="false">(AZ42*Inputs!$C$38*Inputs!$C$39+AZ26*Inputs!$C$40)*Inputs!$C$130*AZ68</f>
        <v>87.9229778885719</v>
      </c>
      <c r="BA82" s="16" t="n">
        <f aca="false">(BA42*Inputs!$C$38*Inputs!$C$39+BA26*Inputs!$C$40)*Inputs!$C$130*BA68</f>
        <v>89.9285632010719</v>
      </c>
      <c r="BB82" s="16" t="n">
        <f aca="false">(BB42*Inputs!$C$38*Inputs!$C$39+BB26*Inputs!$C$40)*Inputs!$C$130*BB68</f>
        <v>89.9285632010719</v>
      </c>
      <c r="BC82" s="16" t="n">
        <f aca="false">(BC42*Inputs!$C$38*Inputs!$C$39+BC26*Inputs!$C$40)*Inputs!$C$130*BC68</f>
        <v>98.3648319770419</v>
      </c>
      <c r="BD82" s="16" t="n">
        <f aca="false">(BD42*Inputs!$C$38*Inputs!$C$39+BD26*Inputs!$C$40)*Inputs!$C$130*BD68</f>
        <v>99.6411135395419</v>
      </c>
      <c r="BE82" s="16" t="n">
        <f aca="false">(BE42*Inputs!$C$38*Inputs!$C$39+BE26*Inputs!$C$40)*Inputs!$C$130*BE68</f>
        <v>100.917395102042</v>
      </c>
      <c r="BF82" s="16" t="n">
        <f aca="false">(BF42*Inputs!$C$38*Inputs!$C$39+BF26*Inputs!$C$40)*Inputs!$C$130*BF68</f>
        <v>102.193676664542</v>
      </c>
      <c r="BG82" s="16" t="n">
        <f aca="false">(BG42*Inputs!$C$38*Inputs!$C$39+BG26*Inputs!$C$40)*Inputs!$C$130*BG68</f>
        <v>103.469958227042</v>
      </c>
      <c r="BH82" s="16" t="n">
        <f aca="false">(BH42*Inputs!$C$38*Inputs!$C$39+BH26*Inputs!$C$40)*Inputs!$C$130*BH68</f>
        <v>116.346109356501</v>
      </c>
      <c r="BI82" s="16" t="n">
        <f aca="false">(BI42*Inputs!$C$38*Inputs!$C$39+BI26*Inputs!$C$40)*Inputs!$C$130*BI68</f>
        <v>118.100996504938</v>
      </c>
      <c r="BJ82" s="16" t="n">
        <f aca="false">(BJ42*Inputs!$C$38*Inputs!$C$39+BJ26*Inputs!$C$40)*Inputs!$C$130*BJ68</f>
        <v>119.855883653376</v>
      </c>
      <c r="BK82" s="16" t="n">
        <f aca="false">(BK42*Inputs!$C$38*Inputs!$C$39+BK26*Inputs!$C$40)*Inputs!$C$130*BK68</f>
        <v>121.610770801813</v>
      </c>
    </row>
    <row r="83" customFormat="false" ht="15" hidden="false" customHeight="true" outlineLevel="0" collapsed="false">
      <c r="A83" s="5" t="s">
        <v>1955</v>
      </c>
      <c r="B83" s="4" t="s">
        <v>44</v>
      </c>
      <c r="D83" s="52" t="n">
        <f aca="false">D81+D82</f>
        <v>0</v>
      </c>
      <c r="E83" s="52" t="n">
        <f aca="false">E81+E82</f>
        <v>0</v>
      </c>
      <c r="F83" s="52" t="n">
        <f aca="false">F81+F82</f>
        <v>0.933333333333333</v>
      </c>
      <c r="G83" s="52" t="n">
        <f aca="false">G81+G82</f>
        <v>1.38333333333333</v>
      </c>
      <c r="H83" s="52" t="n">
        <f aca="false">H81+H82</f>
        <v>1.38333333333333</v>
      </c>
      <c r="I83" s="52" t="n">
        <f aca="false">I81+I82</f>
        <v>1.38333333333333</v>
      </c>
      <c r="J83" s="52" t="n">
        <f aca="false">J81+J82</f>
        <v>1.53333333333333</v>
      </c>
      <c r="K83" s="52" t="n">
        <f aca="false">K81+K82</f>
        <v>1.68333333333333</v>
      </c>
      <c r="L83" s="52" t="n">
        <f aca="false">L81+L82</f>
        <v>2.45208333333333</v>
      </c>
      <c r="M83" s="52" t="n">
        <f aca="false">M81+M82</f>
        <v>2.60208333333333</v>
      </c>
      <c r="N83" s="52" t="n">
        <f aca="false">N81+N82</f>
        <v>2.75208333333333</v>
      </c>
      <c r="O83" s="52" t="n">
        <f aca="false">O81+O82</f>
        <v>3.10833333333333</v>
      </c>
      <c r="P83" s="52" t="n">
        <f aca="false">P81+P82</f>
        <v>3.5083125</v>
      </c>
      <c r="Q83" s="52" t="n">
        <f aca="false">Q81+Q82</f>
        <v>4.732875</v>
      </c>
      <c r="R83" s="52" t="n">
        <f aca="false">R81+R82</f>
        <v>4.9494375</v>
      </c>
      <c r="S83" s="52" t="n">
        <f aca="false">S81+S82</f>
        <v>8.73103308</v>
      </c>
      <c r="T83" s="52" t="n">
        <f aca="false">T81+T82</f>
        <v>10.42809558</v>
      </c>
      <c r="U83" s="52" t="n">
        <f aca="false">U81+U82</f>
        <v>11.90859558</v>
      </c>
      <c r="V83" s="52" t="n">
        <f aca="false">V81+V82</f>
        <v>12.38109558</v>
      </c>
      <c r="W83" s="52" t="n">
        <f aca="false">W81+W82</f>
        <v>13.86159558</v>
      </c>
      <c r="X83" s="52" t="n">
        <f aca="false">X81+X82</f>
        <v>20.244016065</v>
      </c>
      <c r="Y83" s="52" t="n">
        <f aca="false">Y81+Y82</f>
        <v>20.893703565</v>
      </c>
      <c r="Z83" s="52" t="n">
        <f aca="false">Z81+Z82</f>
        <v>21.543391065</v>
      </c>
      <c r="AA83" s="52" t="n">
        <f aca="false">AA81+AA82</f>
        <v>22.193078565</v>
      </c>
      <c r="AB83" s="52" t="n">
        <f aca="false">AB81+AB82</f>
        <v>24.16634436825</v>
      </c>
      <c r="AC83" s="52" t="n">
        <f aca="false">AC81+AC82</f>
        <v>25.93715624325</v>
      </c>
      <c r="AD83" s="52" t="n">
        <f aca="false">AD81+AD82</f>
        <v>25.93715624325</v>
      </c>
      <c r="AE83" s="52" t="n">
        <f aca="false">AE81+AE82</f>
        <v>34.26430321125</v>
      </c>
      <c r="AF83" s="52" t="n">
        <f aca="false">AF81+AF82</f>
        <v>36.34519321125</v>
      </c>
      <c r="AG83" s="52" t="n">
        <f aca="false">AG81+AG82</f>
        <v>38.42608321125</v>
      </c>
      <c r="AH83" s="52" t="n">
        <f aca="false">AH81+AH82</f>
        <v>40.50697321125</v>
      </c>
      <c r="AI83" s="52" t="n">
        <f aca="false">AI81+AI82</f>
        <v>42.58786321125</v>
      </c>
      <c r="AJ83" s="52" t="n">
        <f aca="false">AJ81+AJ82</f>
        <v>55.71034029225</v>
      </c>
      <c r="AK83" s="52" t="n">
        <f aca="false">AK81+AK82</f>
        <v>58.16332404225</v>
      </c>
      <c r="AL83" s="52" t="n">
        <f aca="false">AL81+AL82</f>
        <v>59.52766779225</v>
      </c>
      <c r="AM83" s="52" t="n">
        <f aca="false">AM81+AM82</f>
        <v>61.98065154225</v>
      </c>
      <c r="AN83" s="52" t="n">
        <f aca="false">AN81+AN82</f>
        <v>67.0347922568625</v>
      </c>
      <c r="AO83" s="52" t="n">
        <f aca="false">AO81+AO82</f>
        <v>68.4673531943625</v>
      </c>
      <c r="AP83" s="52" t="n">
        <f aca="false">AP81+AP82</f>
        <v>68.4673531943625</v>
      </c>
      <c r="AQ83" s="52" t="n">
        <f aca="false">AQ81+AQ82</f>
        <v>77.8512698357625</v>
      </c>
      <c r="AR83" s="52" t="n">
        <f aca="false">AR81+AR82</f>
        <v>81.5918822357625</v>
      </c>
      <c r="AS83" s="52" t="n">
        <f aca="false">AS81+AS82</f>
        <v>84.1567634357625</v>
      </c>
      <c r="AT83" s="52" t="n">
        <f aca="false">AT81+AT82</f>
        <v>86.7216446357625</v>
      </c>
      <c r="AU83" s="52" t="n">
        <f aca="false">AU81+AU82</f>
        <v>90.4622570357625</v>
      </c>
      <c r="AV83" s="52" t="n">
        <f aca="false">AV81+AV82</f>
        <v>105.489124417688</v>
      </c>
      <c r="AW83" s="52" t="n">
        <f aca="false">AW81+AW82</f>
        <v>108.574936867688</v>
      </c>
      <c r="AX83" s="52" t="n">
        <f aca="false">AX81+AX82</f>
        <v>110.485018117688</v>
      </c>
      <c r="AY83" s="52" t="n">
        <f aca="false">AY81+AY82</f>
        <v>113.570830567688</v>
      </c>
      <c r="AZ83" s="52" t="n">
        <f aca="false">AZ81+AZ82</f>
        <v>122.207299680572</v>
      </c>
      <c r="BA83" s="52" t="n">
        <f aca="false">BA81+BA82</f>
        <v>124.212884993072</v>
      </c>
      <c r="BB83" s="52" t="n">
        <f aca="false">BB81+BB82</f>
        <v>124.212884993072</v>
      </c>
      <c r="BC83" s="52" t="n">
        <f aca="false">BC81+BC82</f>
        <v>135.188733161042</v>
      </c>
      <c r="BD83" s="52" t="n">
        <f aca="false">BD81+BD82</f>
        <v>137.734804419542</v>
      </c>
      <c r="BE83" s="52" t="n">
        <f aca="false">BE81+BE82</f>
        <v>140.280875678042</v>
      </c>
      <c r="BF83" s="52" t="n">
        <f aca="false">BF81+BF82</f>
        <v>142.826946936542</v>
      </c>
      <c r="BG83" s="52" t="n">
        <f aca="false">BG81+BG82</f>
        <v>146.642807891042</v>
      </c>
      <c r="BH83" s="52" t="n">
        <f aca="false">BH81+BH82</f>
        <v>162.058538412501</v>
      </c>
      <c r="BI83" s="52" t="n">
        <f aca="false">BI81+BI82</f>
        <v>165.083215256938</v>
      </c>
      <c r="BJ83" s="52" t="n">
        <f aca="false">BJ81+BJ82</f>
        <v>166.838102405376</v>
      </c>
      <c r="BK83" s="52" t="n">
        <f aca="false">BK81+BK82</f>
        <v>168.592989553813</v>
      </c>
    </row>
    <row r="84" customFormat="false" ht="15" hidden="false" customHeight="true" outlineLevel="0" collapsed="false">
      <c r="A84" s="12" t="s">
        <v>1956</v>
      </c>
      <c r="B84" s="4" t="s">
        <v>44</v>
      </c>
      <c r="D84" s="16" t="n">
        <f aca="false">D42*Inputs!$C$41*Inputs!$C$43</f>
        <v>0</v>
      </c>
      <c r="E84" s="16" t="n">
        <f aca="false">E42*Inputs!$C$41*Inputs!$C$43</f>
        <v>0</v>
      </c>
      <c r="F84" s="16" t="n">
        <f aca="false">F42*Inputs!$C$41*Inputs!$C$43</f>
        <v>0</v>
      </c>
      <c r="G84" s="16" t="n">
        <f aca="false">G42*Inputs!$C$41*Inputs!$C$43</f>
        <v>0</v>
      </c>
      <c r="H84" s="16" t="n">
        <f aca="false">H42*Inputs!$C$41*Inputs!$C$43</f>
        <v>0</v>
      </c>
      <c r="I84" s="16" t="n">
        <f aca="false">I42*Inputs!$C$41*Inputs!$C$43</f>
        <v>0</v>
      </c>
      <c r="J84" s="16" t="n">
        <f aca="false">J42*Inputs!$C$41*Inputs!$C$43</f>
        <v>0</v>
      </c>
      <c r="K84" s="16" t="n">
        <f aca="false">K42*Inputs!$C$41*Inputs!$C$43</f>
        <v>0</v>
      </c>
      <c r="L84" s="16" t="n">
        <f aca="false">L42*Inputs!$C$41*Inputs!$C$43</f>
        <v>0.433125</v>
      </c>
      <c r="M84" s="16" t="n">
        <f aca="false">M42*Inputs!$C$41*Inputs!$C$43</f>
        <v>0.433125</v>
      </c>
      <c r="N84" s="16" t="n">
        <f aca="false">N42*Inputs!$C$41*Inputs!$C$43</f>
        <v>0.433125</v>
      </c>
      <c r="O84" s="16" t="n">
        <f aca="false">O42*Inputs!$C$41*Inputs!$C$43</f>
        <v>0.5775</v>
      </c>
      <c r="P84" s="16" t="n">
        <f aca="false">P42*Inputs!$C$41*Inputs!$C$43</f>
        <v>0.721875</v>
      </c>
      <c r="Q84" s="16" t="n">
        <f aca="false">Q42*Inputs!$C$41*Inputs!$C$43</f>
        <v>0.86625</v>
      </c>
      <c r="R84" s="16" t="n">
        <f aca="false">R42*Inputs!$C$41*Inputs!$C$43</f>
        <v>1.010625</v>
      </c>
      <c r="S84" s="16" t="n">
        <f aca="false">S42*Inputs!$C$41*Inputs!$C$43</f>
        <v>1.155</v>
      </c>
      <c r="T84" s="16" t="n">
        <f aca="false">T42*Inputs!$C$41*Inputs!$C$43</f>
        <v>1.299375</v>
      </c>
      <c r="U84" s="16" t="n">
        <f aca="false">U42*Inputs!$C$41*Inputs!$C$43</f>
        <v>1.299375</v>
      </c>
      <c r="V84" s="16" t="n">
        <f aca="false">V42*Inputs!$C$41*Inputs!$C$43</f>
        <v>1.299375</v>
      </c>
      <c r="W84" s="16" t="n">
        <f aca="false">W42*Inputs!$C$41*Inputs!$C$43</f>
        <v>1.299375</v>
      </c>
      <c r="X84" s="16" t="n">
        <f aca="false">X42*Inputs!$C$41*Inputs!$C$43</f>
        <v>4.56732199</v>
      </c>
      <c r="Y84" s="16" t="n">
        <f aca="false">Y42*Inputs!$C$41*Inputs!$C$43</f>
        <v>5.00044699</v>
      </c>
      <c r="Z84" s="16" t="n">
        <f aca="false">Z42*Inputs!$C$41*Inputs!$C$43</f>
        <v>5.43357199</v>
      </c>
      <c r="AA84" s="16" t="n">
        <f aca="false">AA42*Inputs!$C$41*Inputs!$C$43</f>
        <v>5.86669699</v>
      </c>
      <c r="AB84" s="16" t="n">
        <f aca="false">AB42*Inputs!$C$41*Inputs!$C$43</f>
        <v>6.29982199</v>
      </c>
      <c r="AC84" s="16" t="n">
        <f aca="false">AC42*Inputs!$C$41*Inputs!$C$43</f>
        <v>6.73294699</v>
      </c>
      <c r="AD84" s="16" t="n">
        <f aca="false">AD42*Inputs!$C$41*Inputs!$C$43</f>
        <v>6.73294699</v>
      </c>
      <c r="AE84" s="16" t="n">
        <f aca="false">AE42*Inputs!$C$41*Inputs!$C$43</f>
        <v>6.73294699</v>
      </c>
      <c r="AF84" s="16" t="n">
        <f aca="false">AF42*Inputs!$C$41*Inputs!$C$43</f>
        <v>6.73294699</v>
      </c>
      <c r="AG84" s="16" t="n">
        <f aca="false">AG42*Inputs!$C$41*Inputs!$C$43</f>
        <v>6.73294699</v>
      </c>
      <c r="AH84" s="16" t="n">
        <f aca="false">AH42*Inputs!$C$41*Inputs!$C$43</f>
        <v>6.73294699</v>
      </c>
      <c r="AI84" s="16" t="n">
        <f aca="false">AI42*Inputs!$C$41*Inputs!$C$43</f>
        <v>6.73294699</v>
      </c>
      <c r="AJ84" s="16" t="n">
        <f aca="false">AJ42*Inputs!$C$41*Inputs!$C$43</f>
        <v>13.05227847</v>
      </c>
      <c r="AK84" s="16" t="n">
        <f aca="false">AK42*Inputs!$C$41*Inputs!$C$43</f>
        <v>13.91852847</v>
      </c>
      <c r="AL84" s="16" t="n">
        <f aca="false">AL42*Inputs!$C$41*Inputs!$C$43</f>
        <v>14.78477847</v>
      </c>
      <c r="AM84" s="16" t="n">
        <f aca="false">AM42*Inputs!$C$41*Inputs!$C$43</f>
        <v>15.65102847</v>
      </c>
      <c r="AN84" s="16" t="n">
        <f aca="false">AN42*Inputs!$C$41*Inputs!$C$43</f>
        <v>16.51727847</v>
      </c>
      <c r="AO84" s="16" t="n">
        <f aca="false">AO42*Inputs!$C$41*Inputs!$C$43</f>
        <v>17.38352847</v>
      </c>
      <c r="AP84" s="16" t="n">
        <f aca="false">AP42*Inputs!$C$41*Inputs!$C$43</f>
        <v>17.38352847</v>
      </c>
      <c r="AQ84" s="16" t="n">
        <f aca="false">AQ42*Inputs!$C$41*Inputs!$C$43</f>
        <v>17.38352847</v>
      </c>
      <c r="AR84" s="16" t="n">
        <f aca="false">AR42*Inputs!$C$41*Inputs!$C$43</f>
        <v>17.38352847</v>
      </c>
      <c r="AS84" s="16" t="n">
        <f aca="false">AS42*Inputs!$C$41*Inputs!$C$43</f>
        <v>17.38352847</v>
      </c>
      <c r="AT84" s="16" t="n">
        <f aca="false">AT42*Inputs!$C$41*Inputs!$C$43</f>
        <v>17.38352847</v>
      </c>
      <c r="AU84" s="16" t="n">
        <f aca="false">AU42*Inputs!$C$41*Inputs!$C$43</f>
        <v>17.38352847</v>
      </c>
      <c r="AV84" s="16" t="n">
        <f aca="false">AV42*Inputs!$C$41*Inputs!$C$43</f>
        <v>24.20817245</v>
      </c>
      <c r="AW84" s="16" t="n">
        <f aca="false">AW42*Inputs!$C$41*Inputs!$C$43</f>
        <v>25.36317245</v>
      </c>
      <c r="AX84" s="16" t="n">
        <f aca="false">AX42*Inputs!$C$41*Inputs!$C$43</f>
        <v>26.51817245</v>
      </c>
      <c r="AY84" s="16" t="n">
        <f aca="false">AY42*Inputs!$C$41*Inputs!$C$43</f>
        <v>27.67317245</v>
      </c>
      <c r="AZ84" s="16" t="n">
        <f aca="false">AZ42*Inputs!$C$41*Inputs!$C$43</f>
        <v>28.82817245</v>
      </c>
      <c r="BA84" s="16" t="n">
        <f aca="false">BA42*Inputs!$C$41*Inputs!$C$43</f>
        <v>29.98317245</v>
      </c>
      <c r="BB84" s="16" t="n">
        <f aca="false">BB42*Inputs!$C$41*Inputs!$C$43</f>
        <v>29.98317245</v>
      </c>
      <c r="BC84" s="16" t="n">
        <f aca="false">BC42*Inputs!$C$41*Inputs!$C$43</f>
        <v>29.98317245</v>
      </c>
      <c r="BD84" s="16" t="n">
        <f aca="false">BD42*Inputs!$C$41*Inputs!$C$43</f>
        <v>29.98317245</v>
      </c>
      <c r="BE84" s="16" t="n">
        <f aca="false">BE42*Inputs!$C$41*Inputs!$C$43</f>
        <v>29.98317245</v>
      </c>
      <c r="BF84" s="16" t="n">
        <f aca="false">BF42*Inputs!$C$41*Inputs!$C$43</f>
        <v>29.98317245</v>
      </c>
      <c r="BG84" s="16" t="n">
        <f aca="false">BG42*Inputs!$C$41*Inputs!$C$43</f>
        <v>29.98317245</v>
      </c>
      <c r="BH84" s="16" t="n">
        <f aca="false">BH42*Inputs!$C$41*Inputs!$C$43</f>
        <v>36.66344143</v>
      </c>
      <c r="BI84" s="16" t="n">
        <f aca="false">BI42*Inputs!$C$41*Inputs!$C$43</f>
        <v>37.67406643</v>
      </c>
      <c r="BJ84" s="16" t="n">
        <f aca="false">BJ42*Inputs!$C$41*Inputs!$C$43</f>
        <v>38.68469143</v>
      </c>
      <c r="BK84" s="16" t="n">
        <f aca="false">BK42*Inputs!$C$41*Inputs!$C$43</f>
        <v>39.69531643</v>
      </c>
    </row>
    <row r="85" customFormat="false" ht="15" hidden="false" customHeight="true" outlineLevel="0" collapsed="false">
      <c r="A85" s="5" t="s">
        <v>1957</v>
      </c>
      <c r="B85" s="4" t="s">
        <v>44</v>
      </c>
      <c r="D85" s="54" t="n">
        <f aca="false">D80+D83+D84</f>
        <v>0</v>
      </c>
      <c r="E85" s="54" t="n">
        <f aca="false">E80+E83+E84</f>
        <v>0</v>
      </c>
      <c r="F85" s="54" t="n">
        <f aca="false">F80+F83+F84</f>
        <v>2.43333333333333</v>
      </c>
      <c r="G85" s="54" t="n">
        <f aca="false">G80+G83+G84</f>
        <v>2.95983333333333</v>
      </c>
      <c r="H85" s="54" t="n">
        <f aca="false">H80+H83+H84</f>
        <v>3.03633333333333</v>
      </c>
      <c r="I85" s="54" t="n">
        <f aca="false">I80+I83+I84</f>
        <v>3.11283333333333</v>
      </c>
      <c r="J85" s="54" t="n">
        <f aca="false">J80+J83+J84</f>
        <v>3.28833333333333</v>
      </c>
      <c r="K85" s="54" t="n">
        <f aca="false">K80+K83+K84</f>
        <v>3.48933333333333</v>
      </c>
      <c r="L85" s="54" t="n">
        <f aca="false">L80+L83+L84</f>
        <v>6.20978333333333</v>
      </c>
      <c r="M85" s="54" t="n">
        <f aca="false">M80+M83+M84</f>
        <v>6.47802895254742</v>
      </c>
      <c r="N85" s="54" t="n">
        <f aca="false">N80+N83+N84</f>
        <v>6.74594776950685</v>
      </c>
      <c r="O85" s="54" t="n">
        <f aca="false">O80+O83+O84</f>
        <v>7.37819234255703</v>
      </c>
      <c r="P85" s="54" t="n">
        <f aca="false">P80+P83+P84</f>
        <v>8.18365597893259</v>
      </c>
      <c r="Q85" s="54" t="n">
        <f aca="false">Q80+Q83+Q84</f>
        <v>9.65490863001871</v>
      </c>
      <c r="R85" s="54" t="n">
        <f aca="false">R80+R83+R84</f>
        <v>10.1066487085775</v>
      </c>
      <c r="S85" s="54" t="n">
        <f aca="false">S80+S83+S84</f>
        <v>14.6843708167832</v>
      </c>
      <c r="T85" s="54" t="n">
        <f aca="false">T80+T83+T84</f>
        <v>17.2627490150804</v>
      </c>
      <c r="U85" s="54" t="n">
        <f aca="false">U80+U83+U84</f>
        <v>19.5519571672854</v>
      </c>
      <c r="V85" s="54" t="n">
        <f aca="false">V80+V83+V84</f>
        <v>20.3566038376505</v>
      </c>
      <c r="W85" s="54" t="n">
        <f aca="false">W80+W83+W84</f>
        <v>22.1683571156099</v>
      </c>
      <c r="X85" s="54" t="n">
        <f aca="false">X80+X83+X84</f>
        <v>32.4506762922347</v>
      </c>
      <c r="Y85" s="54" t="n">
        <f aca="false">Y80+Y83+Y84</f>
        <v>34.1294963516482</v>
      </c>
      <c r="Z85" s="54" t="n">
        <f aca="false">Z80+Z83+Z84</f>
        <v>35.7720847242561</v>
      </c>
      <c r="AA85" s="54" t="n">
        <f aca="false">AA80+AA83+AA84</f>
        <v>37.378156116484</v>
      </c>
      <c r="AB85" s="54" t="n">
        <f aca="false">AB80+AB83+AB84</f>
        <v>40.2038650507479</v>
      </c>
      <c r="AC85" s="54" t="n">
        <f aca="false">AC80+AC83+AC84</f>
        <v>42.9727934942583</v>
      </c>
      <c r="AD85" s="54" t="n">
        <f aca="false">AD80+AD83+AD84</f>
        <v>44.5131380712804</v>
      </c>
      <c r="AE85" s="54" t="n">
        <f aca="false">AE80+AE83+AE84</f>
        <v>55.0569671016108</v>
      </c>
      <c r="AF85" s="54" t="n">
        <f aca="false">AF80+AF83+AF84</f>
        <v>58.8350836514667</v>
      </c>
      <c r="AG85" s="54" t="n">
        <f aca="false">AG80+AG83+AG84</f>
        <v>62.7469627738879</v>
      </c>
      <c r="AH85" s="54" t="n">
        <f aca="false">AH80+AH83+AH84</f>
        <v>65.7853204353222</v>
      </c>
      <c r="AI85" s="54" t="n">
        <f aca="false">AI80+AI83+AI84</f>
        <v>68.8194255409943</v>
      </c>
      <c r="AJ85" s="54" t="n">
        <f aca="false">AJ80+AJ83+AJ84</f>
        <v>90.7440307611663</v>
      </c>
      <c r="AK85" s="54" t="n">
        <f aca="false">AK80+AK83+AK84</f>
        <v>96.1488086713906</v>
      </c>
      <c r="AL85" s="54" t="n">
        <f aca="false">AL80+AL83+AL84</f>
        <v>99.7405742749027</v>
      </c>
      <c r="AM85" s="54" t="n">
        <f aca="false">AM80+AM83+AM84</f>
        <v>105.329043895839</v>
      </c>
      <c r="AN85" s="54" t="n">
        <f aca="false">AN80+AN83+AN84</f>
        <v>112.081711967722</v>
      </c>
      <c r="AO85" s="54" t="n">
        <f aca="false">AO80+AO83+AO84</f>
        <v>116.435575557326</v>
      </c>
      <c r="AP85" s="54" t="n">
        <f aca="false">AP80+AP83+AP84</f>
        <v>118.83278222427</v>
      </c>
      <c r="AQ85" s="54" t="n">
        <f aca="false">AQ80+AQ83+AQ84</f>
        <v>130.578737495338</v>
      </c>
      <c r="AR85" s="54" t="n">
        <f aca="false">AR80+AR83+AR84</f>
        <v>137.551331172284</v>
      </c>
      <c r="AS85" s="54" t="n">
        <f aca="false">AS80+AS83+AS84</f>
        <v>143.865498356561</v>
      </c>
      <c r="AT85" s="54" t="n">
        <f aca="false">AT80+AT83+AT84</f>
        <v>148.252700912913</v>
      </c>
      <c r="AU85" s="54" t="n">
        <f aca="false">AU80+AU83+AU84</f>
        <v>153.805476449526</v>
      </c>
      <c r="AV85" s="54" t="n">
        <f aca="false">AV80+AV83+AV84</f>
        <v>179.791079023996</v>
      </c>
      <c r="AW85" s="54" t="n">
        <f aca="false">AW80+AW83+AW84</f>
        <v>187.367387392697</v>
      </c>
      <c r="AX85" s="54" t="n">
        <f aca="false">AX80+AX83+AX84</f>
        <v>193.321448670427</v>
      </c>
      <c r="AY85" s="54" t="n">
        <f aca="false">AY80+AY83+AY84</f>
        <v>200.70952902991</v>
      </c>
      <c r="AZ85" s="54" t="n">
        <f aca="false">AZ80+AZ83+AZ84</f>
        <v>212.40373882945</v>
      </c>
      <c r="BA85" s="54" t="n">
        <f aca="false">BA80+BA83+BA84</f>
        <v>218.842897199402</v>
      </c>
      <c r="BB85" s="54" t="n">
        <f aca="false">BB80+BB83+BB84</f>
        <v>221.723813702775</v>
      </c>
      <c r="BC85" s="54" t="n">
        <f aca="false">BC80+BC83+BC84</f>
        <v>236.9059556607</v>
      </c>
      <c r="BD85" s="54" t="n">
        <f aca="false">BD80+BD83+BD84</f>
        <v>244.549124999275</v>
      </c>
      <c r="BE85" s="54" t="n">
        <f aca="false">BE80+BE83+BE84</f>
        <v>250.416669113501</v>
      </c>
      <c r="BF85" s="54" t="n">
        <f aca="false">BF80+BF83+BF84</f>
        <v>257.357055795194</v>
      </c>
      <c r="BG85" s="54" t="n">
        <f aca="false">BG80+BG83+BG84</f>
        <v>263.646472259069</v>
      </c>
      <c r="BH85" s="54" t="n">
        <f aca="false">BH80+BH83+BH84</f>
        <v>290.633328312895</v>
      </c>
      <c r="BI85" s="54" t="n">
        <f aca="false">BI80+BI83+BI84</f>
        <v>299.474098992674</v>
      </c>
      <c r="BJ85" s="54" t="n">
        <f aca="false">BJ80+BJ83+BJ84</f>
        <v>306.197348723702</v>
      </c>
      <c r="BK85" s="54" t="n">
        <f aca="false">BK80+BK83+BK84</f>
        <v>313.596148796202</v>
      </c>
    </row>
    <row r="86" customFormat="false" ht="15" hidden="false" customHeight="true" outlineLevel="0" collapsed="false">
      <c r="A86" s="5" t="s">
        <v>1958</v>
      </c>
      <c r="B86" s="4" t="s">
        <v>44</v>
      </c>
      <c r="D86" s="54" t="n">
        <f aca="false">D65-D85</f>
        <v>0</v>
      </c>
      <c r="E86" s="54" t="n">
        <f aca="false">E65-E85</f>
        <v>0</v>
      </c>
      <c r="F86" s="54" t="n">
        <f aca="false">F65-F85</f>
        <v>-2.43333333333333</v>
      </c>
      <c r="G86" s="54" t="n">
        <f aca="false">G65-G85</f>
        <v>-2.58483333333333</v>
      </c>
      <c r="H86" s="54" t="n">
        <f aca="false">H65-H85</f>
        <v>-2.28633333333333</v>
      </c>
      <c r="I86" s="54" t="n">
        <f aca="false">I65-I85</f>
        <v>-1.98783333333333</v>
      </c>
      <c r="J86" s="54" t="n">
        <f aca="false">J65-J85</f>
        <v>-2.03833333333333</v>
      </c>
      <c r="K86" s="54" t="n">
        <f aca="false">K65-K85</f>
        <v>-1.98933333333333</v>
      </c>
      <c r="L86" s="54" t="n">
        <f aca="false">L65-L85</f>
        <v>-2.00377161458333</v>
      </c>
      <c r="M86" s="54" t="n">
        <f aca="false">M65-M85</f>
        <v>-1.26724009282586</v>
      </c>
      <c r="N86" s="54" t="n">
        <f aca="false">N65-N85</f>
        <v>-0.528406652884034</v>
      </c>
      <c r="O86" s="54" t="n">
        <f aca="false">O65-O85</f>
        <v>0.625090795162982</v>
      </c>
      <c r="P86" s="54" t="n">
        <f aca="false">P65-P85</f>
        <v>1.84384229009979</v>
      </c>
      <c r="Q86" s="54" t="n">
        <f aca="false">Q65-Q85</f>
        <v>2.41266343966083</v>
      </c>
      <c r="R86" s="54" t="n">
        <f aca="false">R65-R85</f>
        <v>4.09935081286231</v>
      </c>
      <c r="S86" s="54" t="n">
        <f aca="false">S65-S85</f>
        <v>4.71351577150219</v>
      </c>
      <c r="T86" s="54" t="n">
        <f aca="false">T65-T85</f>
        <v>7.92681130509287</v>
      </c>
      <c r="U86" s="54" t="n">
        <f aca="false">U65-U85</f>
        <v>11.2224716293529</v>
      </c>
      <c r="V86" s="54" t="n">
        <f aca="false">V65-V85</f>
        <v>13.5547095384127</v>
      </c>
      <c r="W86" s="54" t="n">
        <f aca="false">W65-W85</f>
        <v>14.8862820080153</v>
      </c>
      <c r="X86" s="54" t="n">
        <f aca="false">X65-X85</f>
        <v>26.0274228269431</v>
      </c>
      <c r="Y86" s="54" t="n">
        <f aca="false">Y65-Y85</f>
        <v>34.5276736081251</v>
      </c>
      <c r="Z86" s="54" t="n">
        <f aca="false">Z65-Z85</f>
        <v>43.3709334374243</v>
      </c>
      <c r="AA86" s="54" t="n">
        <f aca="false">AA65-AA85</f>
        <v>52.5596936774559</v>
      </c>
      <c r="AB86" s="54" t="n">
        <f aca="false">AB65-AB85</f>
        <v>62.6037342399823</v>
      </c>
      <c r="AC86" s="54" t="n">
        <f aca="false">AC65-AC85</f>
        <v>72.5534037741601</v>
      </c>
      <c r="AD86" s="54" t="n">
        <f aca="false">AD65-AD85</f>
        <v>81.9378193087896</v>
      </c>
      <c r="AE86" s="54" t="n">
        <f aca="false">AE65-AE85</f>
        <v>87.8253191116796</v>
      </c>
      <c r="AF86" s="54" t="n">
        <f aca="false">AF65-AF85</f>
        <v>101.263999662873</v>
      </c>
      <c r="AG86" s="54" t="n">
        <f aca="false">AG65-AG85</f>
        <v>115.354568435525</v>
      </c>
      <c r="AH86" s="54" t="n">
        <f aca="false">AH65-AH85</f>
        <v>125.633209640136</v>
      </c>
      <c r="AI86" s="54" t="n">
        <f aca="false">AI65-AI85</f>
        <v>135.952120203325</v>
      </c>
      <c r="AJ86" s="54" t="n">
        <f aca="false">AJ65-AJ85</f>
        <v>164.146096072522</v>
      </c>
      <c r="AK86" s="54" t="n">
        <f aca="false">AK65-AK85</f>
        <v>186.528717743613</v>
      </c>
      <c r="AL86" s="54" t="n">
        <f aca="false">AL65-AL85</f>
        <v>211.424452132452</v>
      </c>
      <c r="AM86" s="54" t="n">
        <f aca="false">AM65-AM85</f>
        <v>235.028349324819</v>
      </c>
      <c r="AN86" s="54" t="n">
        <f aca="false">AN65-AN85</f>
        <v>262.750784100938</v>
      </c>
      <c r="AO86" s="54" t="n">
        <f aca="false">AO65-AO85</f>
        <v>291.962820868603</v>
      </c>
      <c r="AP86" s="54" t="n">
        <f aca="false">AP65-AP85</f>
        <v>319.435722033161</v>
      </c>
      <c r="AQ86" s="54" t="n">
        <f aca="false">AQ65-AQ85</f>
        <v>343.566491043918</v>
      </c>
      <c r="AR86" s="54" t="n">
        <f aca="false">AR65-AR85</f>
        <v>373.56894816384</v>
      </c>
      <c r="AS86" s="54" t="n">
        <f aca="false">AS65-AS85</f>
        <v>405.328651941722</v>
      </c>
      <c r="AT86" s="54" t="n">
        <f aca="false">AT65-AT85</f>
        <v>434.20585242621</v>
      </c>
      <c r="AU86" s="54" t="n">
        <f aca="false">AU65-AU85</f>
        <v>462.017290196553</v>
      </c>
      <c r="AV86" s="54" t="n">
        <f aca="false">AV65-AV85</f>
        <v>510.742189667534</v>
      </c>
      <c r="AW86" s="54" t="n">
        <f aca="false">AW65-AW85</f>
        <v>554.110428371345</v>
      </c>
      <c r="AX86" s="54" t="n">
        <f aca="false">AX65-AX85</f>
        <v>600.168060626369</v>
      </c>
      <c r="AY86" s="54" t="n">
        <f aca="false">AY65-AY85</f>
        <v>645.865724760222</v>
      </c>
      <c r="AZ86" s="54" t="n">
        <f aca="false">AZ65-AZ85</f>
        <v>696.344426790384</v>
      </c>
      <c r="BA86" s="54" t="n">
        <f aca="false">BA65-BA85</f>
        <v>749.729406865028</v>
      </c>
      <c r="BB86" s="54" t="n">
        <f aca="false">BB65-BB85</f>
        <v>801.606822826787</v>
      </c>
      <c r="BC86" s="54" t="n">
        <f aca="false">BC65-BC85</f>
        <v>847.148744320308</v>
      </c>
      <c r="BD86" s="54" t="n">
        <f aca="false">BD65-BD85</f>
        <v>901.287479556256</v>
      </c>
      <c r="BE86" s="54" t="n">
        <f aca="false">BE65-BE85</f>
        <v>958.260575746987</v>
      </c>
      <c r="BF86" s="54" t="n">
        <f aca="false">BF65-BF85</f>
        <v>1009.43667886456</v>
      </c>
      <c r="BG86" s="54" t="n">
        <f aca="false">BG65-BG85</f>
        <v>1061.44928263386</v>
      </c>
      <c r="BH86" s="54" t="n">
        <f aca="false">BH65-BH85</f>
        <v>1134.94782413492</v>
      </c>
      <c r="BI86" s="54" t="n">
        <f aca="false">BI65-BI85</f>
        <v>1201.94934071805</v>
      </c>
      <c r="BJ86" s="54" t="n">
        <f aca="false">BJ65-BJ85</f>
        <v>1272.18779011174</v>
      </c>
      <c r="BK86" s="54" t="n">
        <f aca="false">BK65-BK85</f>
        <v>1342.87694322905</v>
      </c>
    </row>
    <row r="88" customFormat="false" ht="15" hidden="false" customHeight="true" outlineLevel="0" collapsed="false">
      <c r="A88" s="10" t="s">
        <v>1959</v>
      </c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customFormat="false" ht="15" hidden="false" customHeight="true" outlineLevel="0" collapsed="false">
      <c r="A89" s="12" t="s">
        <v>1960</v>
      </c>
      <c r="B89" s="4" t="s">
        <v>725</v>
      </c>
      <c r="D89" s="20" t="n">
        <f aca="false">INDEX(Inputs!$C$137:$G$137,1,D7)</f>
        <v>1</v>
      </c>
      <c r="E89" s="20" t="n">
        <f aca="false">INDEX(Inputs!$C$137:$G$137,1,E7)</f>
        <v>1</v>
      </c>
      <c r="F89" s="20" t="n">
        <f aca="false">INDEX(Inputs!$C$137:$G$137,1,F7)</f>
        <v>1</v>
      </c>
      <c r="G89" s="20" t="n">
        <f aca="false">INDEX(Inputs!$C$137:$G$137,1,G7)</f>
        <v>1</v>
      </c>
      <c r="H89" s="20" t="n">
        <f aca="false">INDEX(Inputs!$C$137:$G$137,1,H7)</f>
        <v>1</v>
      </c>
      <c r="I89" s="20" t="n">
        <f aca="false">INDEX(Inputs!$C$137:$G$137,1,I7)</f>
        <v>1</v>
      </c>
      <c r="J89" s="20" t="n">
        <f aca="false">INDEX(Inputs!$C$137:$G$137,1,J7)</f>
        <v>1</v>
      </c>
      <c r="K89" s="20" t="n">
        <f aca="false">INDEX(Inputs!$C$137:$G$137,1,K7)</f>
        <v>1</v>
      </c>
      <c r="L89" s="20" t="n">
        <f aca="false">INDEX(Inputs!$C$137:$G$137,1,L7)</f>
        <v>1</v>
      </c>
      <c r="M89" s="20" t="n">
        <f aca="false">INDEX(Inputs!$C$137:$G$137,1,M7)</f>
        <v>1</v>
      </c>
      <c r="N89" s="20" t="n">
        <f aca="false">INDEX(Inputs!$C$137:$G$137,1,N7)</f>
        <v>1</v>
      </c>
      <c r="O89" s="20" t="n">
        <f aca="false">INDEX(Inputs!$C$137:$G$137,1,O7)</f>
        <v>1</v>
      </c>
      <c r="P89" s="20" t="n">
        <f aca="false">INDEX(Inputs!$C$137:$G$137,1,P7)</f>
        <v>1</v>
      </c>
      <c r="Q89" s="20" t="n">
        <f aca="false">INDEX(Inputs!$C$137:$G$137,1,Q7)</f>
        <v>1</v>
      </c>
      <c r="R89" s="20" t="n">
        <f aca="false">INDEX(Inputs!$C$137:$G$137,1,R7)</f>
        <v>1</v>
      </c>
      <c r="S89" s="20" t="n">
        <f aca="false">INDEX(Inputs!$C$137:$G$137,1,S7)</f>
        <v>1</v>
      </c>
      <c r="T89" s="20" t="n">
        <f aca="false">INDEX(Inputs!$C$137:$G$137,1,T7)</f>
        <v>1</v>
      </c>
      <c r="U89" s="20" t="n">
        <f aca="false">INDEX(Inputs!$C$137:$G$137,1,U7)</f>
        <v>1</v>
      </c>
      <c r="V89" s="20" t="n">
        <f aca="false">INDEX(Inputs!$C$137:$G$137,1,V7)</f>
        <v>1</v>
      </c>
      <c r="W89" s="20" t="n">
        <f aca="false">INDEX(Inputs!$C$137:$G$137,1,W7)</f>
        <v>1</v>
      </c>
      <c r="X89" s="20" t="n">
        <f aca="false">INDEX(Inputs!$C$137:$G$137,1,X7)</f>
        <v>1</v>
      </c>
      <c r="Y89" s="20" t="n">
        <f aca="false">INDEX(Inputs!$C$137:$G$137,1,Y7)</f>
        <v>1</v>
      </c>
      <c r="Z89" s="20" t="n">
        <f aca="false">INDEX(Inputs!$C$137:$G$137,1,Z7)</f>
        <v>1</v>
      </c>
      <c r="AA89" s="20" t="n">
        <f aca="false">INDEX(Inputs!$C$137:$G$137,1,AA7)</f>
        <v>1</v>
      </c>
      <c r="AB89" s="20" t="n">
        <f aca="false">INDEX(Inputs!$C$137:$G$137,1,AB7)</f>
        <v>1</v>
      </c>
      <c r="AC89" s="20" t="n">
        <f aca="false">INDEX(Inputs!$C$137:$G$137,1,AC7)</f>
        <v>1</v>
      </c>
      <c r="AD89" s="20" t="n">
        <f aca="false">INDEX(Inputs!$C$137:$G$137,1,AD7)</f>
        <v>1</v>
      </c>
      <c r="AE89" s="20" t="n">
        <f aca="false">INDEX(Inputs!$C$137:$G$137,1,AE7)</f>
        <v>1</v>
      </c>
      <c r="AF89" s="20" t="n">
        <f aca="false">INDEX(Inputs!$C$137:$G$137,1,AF7)</f>
        <v>1</v>
      </c>
      <c r="AG89" s="20" t="n">
        <f aca="false">INDEX(Inputs!$C$137:$G$137,1,AG7)</f>
        <v>1</v>
      </c>
      <c r="AH89" s="20" t="n">
        <f aca="false">INDEX(Inputs!$C$137:$G$137,1,AH7)</f>
        <v>1</v>
      </c>
      <c r="AI89" s="20" t="n">
        <f aca="false">INDEX(Inputs!$C$137:$G$137,1,AI7)</f>
        <v>1</v>
      </c>
      <c r="AJ89" s="20" t="n">
        <f aca="false">INDEX(Inputs!$C$137:$G$137,1,AJ7)</f>
        <v>1</v>
      </c>
      <c r="AK89" s="20" t="n">
        <f aca="false">INDEX(Inputs!$C$137:$G$137,1,AK7)</f>
        <v>1</v>
      </c>
      <c r="AL89" s="20" t="n">
        <f aca="false">INDEX(Inputs!$C$137:$G$137,1,AL7)</f>
        <v>1</v>
      </c>
      <c r="AM89" s="20" t="n">
        <f aca="false">INDEX(Inputs!$C$137:$G$137,1,AM7)</f>
        <v>1</v>
      </c>
      <c r="AN89" s="20" t="n">
        <f aca="false">INDEX(Inputs!$C$137:$G$137,1,AN7)</f>
        <v>1</v>
      </c>
      <c r="AO89" s="20" t="n">
        <f aca="false">INDEX(Inputs!$C$137:$G$137,1,AO7)</f>
        <v>1</v>
      </c>
      <c r="AP89" s="20" t="n">
        <f aca="false">INDEX(Inputs!$C$137:$G$137,1,AP7)</f>
        <v>1</v>
      </c>
      <c r="AQ89" s="20" t="n">
        <f aca="false">INDEX(Inputs!$C$137:$G$137,1,AQ7)</f>
        <v>1</v>
      </c>
      <c r="AR89" s="20" t="n">
        <f aca="false">INDEX(Inputs!$C$137:$G$137,1,AR7)</f>
        <v>1</v>
      </c>
      <c r="AS89" s="20" t="n">
        <f aca="false">INDEX(Inputs!$C$137:$G$137,1,AS7)</f>
        <v>1</v>
      </c>
      <c r="AT89" s="20" t="n">
        <f aca="false">INDEX(Inputs!$C$137:$G$137,1,AT7)</f>
        <v>1</v>
      </c>
      <c r="AU89" s="20" t="n">
        <f aca="false">INDEX(Inputs!$C$137:$G$137,1,AU7)</f>
        <v>1</v>
      </c>
      <c r="AV89" s="20" t="n">
        <f aca="false">INDEX(Inputs!$C$137:$G$137,1,AV7)</f>
        <v>1</v>
      </c>
      <c r="AW89" s="20" t="n">
        <f aca="false">INDEX(Inputs!$C$137:$G$137,1,AW7)</f>
        <v>1</v>
      </c>
      <c r="AX89" s="20" t="n">
        <f aca="false">INDEX(Inputs!$C$137:$G$137,1,AX7)</f>
        <v>1</v>
      </c>
      <c r="AY89" s="20" t="n">
        <f aca="false">INDEX(Inputs!$C$137:$G$137,1,AY7)</f>
        <v>1</v>
      </c>
      <c r="AZ89" s="20" t="n">
        <f aca="false">INDEX(Inputs!$C$137:$G$137,1,AZ7)</f>
        <v>1</v>
      </c>
      <c r="BA89" s="20" t="n">
        <f aca="false">INDEX(Inputs!$C$137:$G$137,1,BA7)</f>
        <v>1</v>
      </c>
      <c r="BB89" s="20" t="n">
        <f aca="false">INDEX(Inputs!$C$137:$G$137,1,BB7)</f>
        <v>1</v>
      </c>
      <c r="BC89" s="20" t="n">
        <f aca="false">INDEX(Inputs!$C$137:$G$137,1,BC7)</f>
        <v>1</v>
      </c>
      <c r="BD89" s="20" t="n">
        <f aca="false">INDEX(Inputs!$C$137:$G$137,1,BD7)</f>
        <v>1</v>
      </c>
      <c r="BE89" s="20" t="n">
        <f aca="false">INDEX(Inputs!$C$137:$G$137,1,BE7)</f>
        <v>1</v>
      </c>
      <c r="BF89" s="20" t="n">
        <f aca="false">INDEX(Inputs!$C$137:$G$137,1,BF7)</f>
        <v>1</v>
      </c>
      <c r="BG89" s="20" t="n">
        <f aca="false">INDEX(Inputs!$C$137:$G$137,1,BG7)</f>
        <v>1</v>
      </c>
      <c r="BH89" s="20" t="n">
        <f aca="false">INDEX(Inputs!$C$137:$G$137,1,BH7)</f>
        <v>1</v>
      </c>
      <c r="BI89" s="20" t="n">
        <f aca="false">INDEX(Inputs!$C$137:$G$137,1,BI7)</f>
        <v>1</v>
      </c>
      <c r="BJ89" s="20" t="n">
        <f aca="false">INDEX(Inputs!$C$137:$G$137,1,BJ7)</f>
        <v>1</v>
      </c>
      <c r="BK89" s="20" t="n">
        <f aca="false">INDEX(Inputs!$C$137:$G$137,1,BK7)</f>
        <v>1</v>
      </c>
    </row>
    <row r="90" customFormat="false" ht="15" hidden="false" customHeight="true" outlineLevel="0" collapsed="false">
      <c r="A90" s="12" t="s">
        <v>1961</v>
      </c>
      <c r="B90" s="4" t="s">
        <v>725</v>
      </c>
      <c r="D90" s="20" t="n">
        <f aca="false">INDEX(Inputs!$C$138:$G$138,1,D7)</f>
        <v>1</v>
      </c>
      <c r="E90" s="20" t="n">
        <f aca="false">INDEX(Inputs!$C$138:$G$138,1,E7)</f>
        <v>1</v>
      </c>
      <c r="F90" s="20" t="n">
        <f aca="false">INDEX(Inputs!$C$138:$G$138,1,F7)</f>
        <v>1</v>
      </c>
      <c r="G90" s="20" t="n">
        <f aca="false">INDEX(Inputs!$C$138:$G$138,1,G7)</f>
        <v>1</v>
      </c>
      <c r="H90" s="20" t="n">
        <f aca="false">INDEX(Inputs!$C$138:$G$138,1,H7)</f>
        <v>1</v>
      </c>
      <c r="I90" s="20" t="n">
        <f aca="false">INDEX(Inputs!$C$138:$G$138,1,I7)</f>
        <v>1</v>
      </c>
      <c r="J90" s="20" t="n">
        <f aca="false">INDEX(Inputs!$C$138:$G$138,1,J7)</f>
        <v>1</v>
      </c>
      <c r="K90" s="20" t="n">
        <f aca="false">INDEX(Inputs!$C$138:$G$138,1,K7)</f>
        <v>1</v>
      </c>
      <c r="L90" s="20" t="n">
        <f aca="false">INDEX(Inputs!$C$138:$G$138,1,L7)</f>
        <v>1</v>
      </c>
      <c r="M90" s="20" t="n">
        <f aca="false">INDEX(Inputs!$C$138:$G$138,1,M7)</f>
        <v>1</v>
      </c>
      <c r="N90" s="20" t="n">
        <f aca="false">INDEX(Inputs!$C$138:$G$138,1,N7)</f>
        <v>1</v>
      </c>
      <c r="O90" s="20" t="n">
        <f aca="false">INDEX(Inputs!$C$138:$G$138,1,O7)</f>
        <v>1</v>
      </c>
      <c r="P90" s="20" t="n">
        <f aca="false">INDEX(Inputs!$C$138:$G$138,1,P7)</f>
        <v>1</v>
      </c>
      <c r="Q90" s="20" t="n">
        <f aca="false">INDEX(Inputs!$C$138:$G$138,1,Q7)</f>
        <v>1</v>
      </c>
      <c r="R90" s="20" t="n">
        <f aca="false">INDEX(Inputs!$C$138:$G$138,1,R7)</f>
        <v>1</v>
      </c>
      <c r="S90" s="20" t="n">
        <f aca="false">INDEX(Inputs!$C$138:$G$138,1,S7)</f>
        <v>1</v>
      </c>
      <c r="T90" s="20" t="n">
        <f aca="false">INDEX(Inputs!$C$138:$G$138,1,T7)</f>
        <v>1</v>
      </c>
      <c r="U90" s="20" t="n">
        <f aca="false">INDEX(Inputs!$C$138:$G$138,1,U7)</f>
        <v>1</v>
      </c>
      <c r="V90" s="20" t="n">
        <f aca="false">INDEX(Inputs!$C$138:$G$138,1,V7)</f>
        <v>1</v>
      </c>
      <c r="W90" s="20" t="n">
        <f aca="false">INDEX(Inputs!$C$138:$G$138,1,W7)</f>
        <v>1</v>
      </c>
      <c r="X90" s="20" t="n">
        <f aca="false">INDEX(Inputs!$C$138:$G$138,1,X7)</f>
        <v>1</v>
      </c>
      <c r="Y90" s="20" t="n">
        <f aca="false">INDEX(Inputs!$C$138:$G$138,1,Y7)</f>
        <v>1</v>
      </c>
      <c r="Z90" s="20" t="n">
        <f aca="false">INDEX(Inputs!$C$138:$G$138,1,Z7)</f>
        <v>1</v>
      </c>
      <c r="AA90" s="20" t="n">
        <f aca="false">INDEX(Inputs!$C$138:$G$138,1,AA7)</f>
        <v>1</v>
      </c>
      <c r="AB90" s="20" t="n">
        <f aca="false">INDEX(Inputs!$C$138:$G$138,1,AB7)</f>
        <v>1</v>
      </c>
      <c r="AC90" s="20" t="n">
        <f aca="false">INDEX(Inputs!$C$138:$G$138,1,AC7)</f>
        <v>1</v>
      </c>
      <c r="AD90" s="20" t="n">
        <f aca="false">INDEX(Inputs!$C$138:$G$138,1,AD7)</f>
        <v>1</v>
      </c>
      <c r="AE90" s="20" t="n">
        <f aca="false">INDEX(Inputs!$C$138:$G$138,1,AE7)</f>
        <v>1</v>
      </c>
      <c r="AF90" s="20" t="n">
        <f aca="false">INDEX(Inputs!$C$138:$G$138,1,AF7)</f>
        <v>1</v>
      </c>
      <c r="AG90" s="20" t="n">
        <f aca="false">INDEX(Inputs!$C$138:$G$138,1,AG7)</f>
        <v>1</v>
      </c>
      <c r="AH90" s="20" t="n">
        <f aca="false">INDEX(Inputs!$C$138:$G$138,1,AH7)</f>
        <v>1</v>
      </c>
      <c r="AI90" s="20" t="n">
        <f aca="false">INDEX(Inputs!$C$138:$G$138,1,AI7)</f>
        <v>1</v>
      </c>
      <c r="AJ90" s="20" t="n">
        <f aca="false">INDEX(Inputs!$C$138:$G$138,1,AJ7)</f>
        <v>1</v>
      </c>
      <c r="AK90" s="20" t="n">
        <f aca="false">INDEX(Inputs!$C$138:$G$138,1,AK7)</f>
        <v>1</v>
      </c>
      <c r="AL90" s="20" t="n">
        <f aca="false">INDEX(Inputs!$C$138:$G$138,1,AL7)</f>
        <v>1</v>
      </c>
      <c r="AM90" s="20" t="n">
        <f aca="false">INDEX(Inputs!$C$138:$G$138,1,AM7)</f>
        <v>1</v>
      </c>
      <c r="AN90" s="20" t="n">
        <f aca="false">INDEX(Inputs!$C$138:$G$138,1,AN7)</f>
        <v>1</v>
      </c>
      <c r="AO90" s="20" t="n">
        <f aca="false">INDEX(Inputs!$C$138:$G$138,1,AO7)</f>
        <v>1</v>
      </c>
      <c r="AP90" s="20" t="n">
        <f aca="false">INDEX(Inputs!$C$138:$G$138,1,AP7)</f>
        <v>1</v>
      </c>
      <c r="AQ90" s="20" t="n">
        <f aca="false">INDEX(Inputs!$C$138:$G$138,1,AQ7)</f>
        <v>1</v>
      </c>
      <c r="AR90" s="20" t="n">
        <f aca="false">INDEX(Inputs!$C$138:$G$138,1,AR7)</f>
        <v>1</v>
      </c>
      <c r="AS90" s="20" t="n">
        <f aca="false">INDEX(Inputs!$C$138:$G$138,1,AS7)</f>
        <v>1</v>
      </c>
      <c r="AT90" s="20" t="n">
        <f aca="false">INDEX(Inputs!$C$138:$G$138,1,AT7)</f>
        <v>1</v>
      </c>
      <c r="AU90" s="20" t="n">
        <f aca="false">INDEX(Inputs!$C$138:$G$138,1,AU7)</f>
        <v>1</v>
      </c>
      <c r="AV90" s="20" t="n">
        <f aca="false">INDEX(Inputs!$C$138:$G$138,1,AV7)</f>
        <v>1</v>
      </c>
      <c r="AW90" s="20" t="n">
        <f aca="false">INDEX(Inputs!$C$138:$G$138,1,AW7)</f>
        <v>1</v>
      </c>
      <c r="AX90" s="20" t="n">
        <f aca="false">INDEX(Inputs!$C$138:$G$138,1,AX7)</f>
        <v>1</v>
      </c>
      <c r="AY90" s="20" t="n">
        <f aca="false">INDEX(Inputs!$C$138:$G$138,1,AY7)</f>
        <v>1</v>
      </c>
      <c r="AZ90" s="20" t="n">
        <f aca="false">INDEX(Inputs!$C$138:$G$138,1,AZ7)</f>
        <v>1</v>
      </c>
      <c r="BA90" s="20" t="n">
        <f aca="false">INDEX(Inputs!$C$138:$G$138,1,BA7)</f>
        <v>1</v>
      </c>
      <c r="BB90" s="20" t="n">
        <f aca="false">INDEX(Inputs!$C$138:$G$138,1,BB7)</f>
        <v>1</v>
      </c>
      <c r="BC90" s="20" t="n">
        <f aca="false">INDEX(Inputs!$C$138:$G$138,1,BC7)</f>
        <v>1</v>
      </c>
      <c r="BD90" s="20" t="n">
        <f aca="false">INDEX(Inputs!$C$138:$G$138,1,BD7)</f>
        <v>1</v>
      </c>
      <c r="BE90" s="20" t="n">
        <f aca="false">INDEX(Inputs!$C$138:$G$138,1,BE7)</f>
        <v>1</v>
      </c>
      <c r="BF90" s="20" t="n">
        <f aca="false">INDEX(Inputs!$C$138:$G$138,1,BF7)</f>
        <v>1</v>
      </c>
      <c r="BG90" s="20" t="n">
        <f aca="false">INDEX(Inputs!$C$138:$G$138,1,BG7)</f>
        <v>1</v>
      </c>
      <c r="BH90" s="20" t="n">
        <f aca="false">INDEX(Inputs!$C$138:$G$138,1,BH7)</f>
        <v>1</v>
      </c>
      <c r="BI90" s="20" t="n">
        <f aca="false">INDEX(Inputs!$C$138:$G$138,1,BI7)</f>
        <v>1</v>
      </c>
      <c r="BJ90" s="20" t="n">
        <f aca="false">INDEX(Inputs!$C$138:$G$138,1,BJ7)</f>
        <v>1</v>
      </c>
      <c r="BK90" s="20" t="n">
        <f aca="false">INDEX(Inputs!$C$138:$G$138,1,BK7)</f>
        <v>1</v>
      </c>
    </row>
    <row r="91" customFormat="false" ht="15" hidden="false" customHeight="true" outlineLevel="0" collapsed="false">
      <c r="A91" s="12" t="s">
        <v>1962</v>
      </c>
      <c r="B91" s="4" t="s">
        <v>725</v>
      </c>
      <c r="D91" s="20" t="n">
        <f aca="false">INDEX(Inputs!$C$139:$G$139,1,D7)</f>
        <v>1</v>
      </c>
      <c r="E91" s="20" t="n">
        <f aca="false">INDEX(Inputs!$C$139:$G$139,1,E7)</f>
        <v>1</v>
      </c>
      <c r="F91" s="20" t="n">
        <f aca="false">INDEX(Inputs!$C$139:$G$139,1,F7)</f>
        <v>1</v>
      </c>
      <c r="G91" s="20" t="n">
        <f aca="false">INDEX(Inputs!$C$139:$G$139,1,G7)</f>
        <v>1</v>
      </c>
      <c r="H91" s="20" t="n">
        <f aca="false">INDEX(Inputs!$C$139:$G$139,1,H7)</f>
        <v>1</v>
      </c>
      <c r="I91" s="20" t="n">
        <f aca="false">INDEX(Inputs!$C$139:$G$139,1,I7)</f>
        <v>1</v>
      </c>
      <c r="J91" s="20" t="n">
        <f aca="false">INDEX(Inputs!$C$139:$G$139,1,J7)</f>
        <v>1</v>
      </c>
      <c r="K91" s="20" t="n">
        <f aca="false">INDEX(Inputs!$C$139:$G$139,1,K7)</f>
        <v>1</v>
      </c>
      <c r="L91" s="20" t="n">
        <f aca="false">INDEX(Inputs!$C$139:$G$139,1,L7)</f>
        <v>1</v>
      </c>
      <c r="M91" s="20" t="n">
        <f aca="false">INDEX(Inputs!$C$139:$G$139,1,M7)</f>
        <v>1</v>
      </c>
      <c r="N91" s="20" t="n">
        <f aca="false">INDEX(Inputs!$C$139:$G$139,1,N7)</f>
        <v>1</v>
      </c>
      <c r="O91" s="20" t="n">
        <f aca="false">INDEX(Inputs!$C$139:$G$139,1,O7)</f>
        <v>1</v>
      </c>
      <c r="P91" s="20" t="n">
        <f aca="false">INDEX(Inputs!$C$139:$G$139,1,P7)</f>
        <v>1</v>
      </c>
      <c r="Q91" s="20" t="n">
        <f aca="false">INDEX(Inputs!$C$139:$G$139,1,Q7)</f>
        <v>1</v>
      </c>
      <c r="R91" s="20" t="n">
        <f aca="false">INDEX(Inputs!$C$139:$G$139,1,R7)</f>
        <v>1</v>
      </c>
      <c r="S91" s="20" t="n">
        <f aca="false">INDEX(Inputs!$C$139:$G$139,1,S7)</f>
        <v>1</v>
      </c>
      <c r="T91" s="20" t="n">
        <f aca="false">INDEX(Inputs!$C$139:$G$139,1,T7)</f>
        <v>1</v>
      </c>
      <c r="U91" s="20" t="n">
        <f aca="false">INDEX(Inputs!$C$139:$G$139,1,U7)</f>
        <v>1</v>
      </c>
      <c r="V91" s="20" t="n">
        <f aca="false">INDEX(Inputs!$C$139:$G$139,1,V7)</f>
        <v>1</v>
      </c>
      <c r="W91" s="20" t="n">
        <f aca="false">INDEX(Inputs!$C$139:$G$139,1,W7)</f>
        <v>1</v>
      </c>
      <c r="X91" s="20" t="n">
        <f aca="false">INDEX(Inputs!$C$139:$G$139,1,X7)</f>
        <v>1</v>
      </c>
      <c r="Y91" s="20" t="n">
        <f aca="false">INDEX(Inputs!$C$139:$G$139,1,Y7)</f>
        <v>1</v>
      </c>
      <c r="Z91" s="20" t="n">
        <f aca="false">INDEX(Inputs!$C$139:$G$139,1,Z7)</f>
        <v>1</v>
      </c>
      <c r="AA91" s="20" t="n">
        <f aca="false">INDEX(Inputs!$C$139:$G$139,1,AA7)</f>
        <v>1</v>
      </c>
      <c r="AB91" s="20" t="n">
        <f aca="false">INDEX(Inputs!$C$139:$G$139,1,AB7)</f>
        <v>1</v>
      </c>
      <c r="AC91" s="20" t="n">
        <f aca="false">INDEX(Inputs!$C$139:$G$139,1,AC7)</f>
        <v>1</v>
      </c>
      <c r="AD91" s="20" t="n">
        <f aca="false">INDEX(Inputs!$C$139:$G$139,1,AD7)</f>
        <v>1</v>
      </c>
      <c r="AE91" s="20" t="n">
        <f aca="false">INDEX(Inputs!$C$139:$G$139,1,AE7)</f>
        <v>1</v>
      </c>
      <c r="AF91" s="20" t="n">
        <f aca="false">INDEX(Inputs!$C$139:$G$139,1,AF7)</f>
        <v>1</v>
      </c>
      <c r="AG91" s="20" t="n">
        <f aca="false">INDEX(Inputs!$C$139:$G$139,1,AG7)</f>
        <v>1</v>
      </c>
      <c r="AH91" s="20" t="n">
        <f aca="false">INDEX(Inputs!$C$139:$G$139,1,AH7)</f>
        <v>1</v>
      </c>
      <c r="AI91" s="20" t="n">
        <f aca="false">INDEX(Inputs!$C$139:$G$139,1,AI7)</f>
        <v>1</v>
      </c>
      <c r="AJ91" s="20" t="n">
        <f aca="false">INDEX(Inputs!$C$139:$G$139,1,AJ7)</f>
        <v>1</v>
      </c>
      <c r="AK91" s="20" t="n">
        <f aca="false">INDEX(Inputs!$C$139:$G$139,1,AK7)</f>
        <v>1</v>
      </c>
      <c r="AL91" s="20" t="n">
        <f aca="false">INDEX(Inputs!$C$139:$G$139,1,AL7)</f>
        <v>1</v>
      </c>
      <c r="AM91" s="20" t="n">
        <f aca="false">INDEX(Inputs!$C$139:$G$139,1,AM7)</f>
        <v>1</v>
      </c>
      <c r="AN91" s="20" t="n">
        <f aca="false">INDEX(Inputs!$C$139:$G$139,1,AN7)</f>
        <v>1</v>
      </c>
      <c r="AO91" s="20" t="n">
        <f aca="false">INDEX(Inputs!$C$139:$G$139,1,AO7)</f>
        <v>1</v>
      </c>
      <c r="AP91" s="20" t="n">
        <f aca="false">INDEX(Inputs!$C$139:$G$139,1,AP7)</f>
        <v>1</v>
      </c>
      <c r="AQ91" s="20" t="n">
        <f aca="false">INDEX(Inputs!$C$139:$G$139,1,AQ7)</f>
        <v>1</v>
      </c>
      <c r="AR91" s="20" t="n">
        <f aca="false">INDEX(Inputs!$C$139:$G$139,1,AR7)</f>
        <v>1</v>
      </c>
      <c r="AS91" s="20" t="n">
        <f aca="false">INDEX(Inputs!$C$139:$G$139,1,AS7)</f>
        <v>1</v>
      </c>
      <c r="AT91" s="20" t="n">
        <f aca="false">INDEX(Inputs!$C$139:$G$139,1,AT7)</f>
        <v>1</v>
      </c>
      <c r="AU91" s="20" t="n">
        <f aca="false">INDEX(Inputs!$C$139:$G$139,1,AU7)</f>
        <v>1</v>
      </c>
      <c r="AV91" s="20" t="n">
        <f aca="false">INDEX(Inputs!$C$139:$G$139,1,AV7)</f>
        <v>1</v>
      </c>
      <c r="AW91" s="20" t="n">
        <f aca="false">INDEX(Inputs!$C$139:$G$139,1,AW7)</f>
        <v>1</v>
      </c>
      <c r="AX91" s="20" t="n">
        <f aca="false">INDEX(Inputs!$C$139:$G$139,1,AX7)</f>
        <v>1</v>
      </c>
      <c r="AY91" s="20" t="n">
        <f aca="false">INDEX(Inputs!$C$139:$G$139,1,AY7)</f>
        <v>1</v>
      </c>
      <c r="AZ91" s="20" t="n">
        <f aca="false">INDEX(Inputs!$C$139:$G$139,1,AZ7)</f>
        <v>1</v>
      </c>
      <c r="BA91" s="20" t="n">
        <f aca="false">INDEX(Inputs!$C$139:$G$139,1,BA7)</f>
        <v>1</v>
      </c>
      <c r="BB91" s="20" t="n">
        <f aca="false">INDEX(Inputs!$C$139:$G$139,1,BB7)</f>
        <v>1</v>
      </c>
      <c r="BC91" s="20" t="n">
        <f aca="false">INDEX(Inputs!$C$139:$G$139,1,BC7)</f>
        <v>1</v>
      </c>
      <c r="BD91" s="20" t="n">
        <f aca="false">INDEX(Inputs!$C$139:$G$139,1,BD7)</f>
        <v>1</v>
      </c>
      <c r="BE91" s="20" t="n">
        <f aca="false">INDEX(Inputs!$C$139:$G$139,1,BE7)</f>
        <v>1</v>
      </c>
      <c r="BF91" s="20" t="n">
        <f aca="false">INDEX(Inputs!$C$139:$G$139,1,BF7)</f>
        <v>1</v>
      </c>
      <c r="BG91" s="20" t="n">
        <f aca="false">INDEX(Inputs!$C$139:$G$139,1,BG7)</f>
        <v>1</v>
      </c>
      <c r="BH91" s="20" t="n">
        <f aca="false">INDEX(Inputs!$C$139:$G$139,1,BH7)</f>
        <v>1</v>
      </c>
      <c r="BI91" s="20" t="n">
        <f aca="false">INDEX(Inputs!$C$139:$G$139,1,BI7)</f>
        <v>1</v>
      </c>
      <c r="BJ91" s="20" t="n">
        <f aca="false">INDEX(Inputs!$C$139:$G$139,1,BJ7)</f>
        <v>1</v>
      </c>
      <c r="BK91" s="20" t="n">
        <f aca="false">INDEX(Inputs!$C$139:$G$139,1,BK7)</f>
        <v>1</v>
      </c>
    </row>
    <row r="92" customFormat="false" ht="15" hidden="false" customHeight="true" outlineLevel="0" collapsed="false">
      <c r="A92" s="12" t="s">
        <v>1963</v>
      </c>
      <c r="B92" s="4" t="s">
        <v>725</v>
      </c>
      <c r="D92" s="20" t="n">
        <f aca="false">IF(AND(D7=1,D8&lt;Inputs!$C$84),0,INDEX(Inputs!$C$140:$G$140,1,D7))</f>
        <v>0</v>
      </c>
      <c r="E92" s="20" t="n">
        <f aca="false">IF(AND(E7=1,E8&lt;Inputs!$C$84),0,INDEX(Inputs!$C$140:$G$140,1,E7))</f>
        <v>0</v>
      </c>
      <c r="F92" s="20" t="n">
        <f aca="false">IF(AND(F7=1,F8&lt;Inputs!$C$84),0,INDEX(Inputs!$C$140:$G$140,1,F7))</f>
        <v>1</v>
      </c>
      <c r="G92" s="20" t="n">
        <f aca="false">IF(AND(G7=1,G8&lt;Inputs!$C$84),0,INDEX(Inputs!$C$140:$G$140,1,G7))</f>
        <v>1</v>
      </c>
      <c r="H92" s="20" t="n">
        <f aca="false">IF(AND(H7=1,H8&lt;Inputs!$C$84),0,INDEX(Inputs!$C$140:$G$140,1,H7))</f>
        <v>1</v>
      </c>
      <c r="I92" s="20" t="n">
        <f aca="false">IF(AND(I7=1,I8&lt;Inputs!$C$84),0,INDEX(Inputs!$C$140:$G$140,1,I7))</f>
        <v>1</v>
      </c>
      <c r="J92" s="20" t="n">
        <f aca="false">IF(AND(J7=1,J8&lt;Inputs!$C$84),0,INDEX(Inputs!$C$140:$G$140,1,J7))</f>
        <v>1</v>
      </c>
      <c r="K92" s="20" t="n">
        <f aca="false">IF(AND(K7=1,K8&lt;Inputs!$C$84),0,INDEX(Inputs!$C$140:$G$140,1,K7))</f>
        <v>1</v>
      </c>
      <c r="L92" s="20" t="n">
        <f aca="false">IF(AND(L7=1,L8&lt;Inputs!$C$84),0,INDEX(Inputs!$C$140:$G$140,1,L7))</f>
        <v>1</v>
      </c>
      <c r="M92" s="20" t="n">
        <f aca="false">IF(AND(M7=1,M8&lt;Inputs!$C$84),0,INDEX(Inputs!$C$140:$G$140,1,M7))</f>
        <v>1</v>
      </c>
      <c r="N92" s="20" t="n">
        <f aca="false">IF(AND(N7=1,N8&lt;Inputs!$C$84),0,INDEX(Inputs!$C$140:$G$140,1,N7))</f>
        <v>1</v>
      </c>
      <c r="O92" s="20" t="n">
        <f aca="false">IF(AND(O7=1,O8&lt;Inputs!$C$84),0,INDEX(Inputs!$C$140:$G$140,1,O7))</f>
        <v>1</v>
      </c>
      <c r="P92" s="20" t="n">
        <f aca="false">IF(AND(P7=1,P8&lt;Inputs!$C$84),0,INDEX(Inputs!$C$140:$G$140,1,P7))</f>
        <v>2</v>
      </c>
      <c r="Q92" s="20" t="n">
        <f aca="false">IF(AND(Q7=1,Q8&lt;Inputs!$C$84),0,INDEX(Inputs!$C$140:$G$140,1,Q7))</f>
        <v>2</v>
      </c>
      <c r="R92" s="20" t="n">
        <f aca="false">IF(AND(R7=1,R8&lt;Inputs!$C$84),0,INDEX(Inputs!$C$140:$G$140,1,R7))</f>
        <v>2</v>
      </c>
      <c r="S92" s="20" t="n">
        <f aca="false">IF(AND(S7=1,S8&lt;Inputs!$C$84),0,INDEX(Inputs!$C$140:$G$140,1,S7))</f>
        <v>2</v>
      </c>
      <c r="T92" s="20" t="n">
        <f aca="false">IF(AND(T7=1,T8&lt;Inputs!$C$84),0,INDEX(Inputs!$C$140:$G$140,1,T7))</f>
        <v>2</v>
      </c>
      <c r="U92" s="20" t="n">
        <f aca="false">IF(AND(U7=1,U8&lt;Inputs!$C$84),0,INDEX(Inputs!$C$140:$G$140,1,U7))</f>
        <v>2</v>
      </c>
      <c r="V92" s="20" t="n">
        <f aca="false">IF(AND(V7=1,V8&lt;Inputs!$C$84),0,INDEX(Inputs!$C$140:$G$140,1,V7))</f>
        <v>2</v>
      </c>
      <c r="W92" s="20" t="n">
        <f aca="false">IF(AND(W7=1,W8&lt;Inputs!$C$84),0,INDEX(Inputs!$C$140:$G$140,1,W7))</f>
        <v>2</v>
      </c>
      <c r="X92" s="20" t="n">
        <f aca="false">IF(AND(X7=1,X8&lt;Inputs!$C$84),0,INDEX(Inputs!$C$140:$G$140,1,X7))</f>
        <v>2</v>
      </c>
      <c r="Y92" s="20" t="n">
        <f aca="false">IF(AND(Y7=1,Y8&lt;Inputs!$C$84),0,INDEX(Inputs!$C$140:$G$140,1,Y7))</f>
        <v>2</v>
      </c>
      <c r="Z92" s="20" t="n">
        <f aca="false">IF(AND(Z7=1,Z8&lt;Inputs!$C$84),0,INDEX(Inputs!$C$140:$G$140,1,Z7))</f>
        <v>2</v>
      </c>
      <c r="AA92" s="20" t="n">
        <f aca="false">IF(AND(AA7=1,AA8&lt;Inputs!$C$84),0,INDEX(Inputs!$C$140:$G$140,1,AA7))</f>
        <v>2</v>
      </c>
      <c r="AB92" s="20" t="n">
        <f aca="false">IF(AND(AB7=1,AB8&lt;Inputs!$C$84),0,INDEX(Inputs!$C$140:$G$140,1,AB7))</f>
        <v>3</v>
      </c>
      <c r="AC92" s="20" t="n">
        <f aca="false">IF(AND(AC7=1,AC8&lt;Inputs!$C$84),0,INDEX(Inputs!$C$140:$G$140,1,AC7))</f>
        <v>3</v>
      </c>
      <c r="AD92" s="20" t="n">
        <f aca="false">IF(AND(AD7=1,AD8&lt;Inputs!$C$84),0,INDEX(Inputs!$C$140:$G$140,1,AD7))</f>
        <v>3</v>
      </c>
      <c r="AE92" s="20" t="n">
        <f aca="false">IF(AND(AE7=1,AE8&lt;Inputs!$C$84),0,INDEX(Inputs!$C$140:$G$140,1,AE7))</f>
        <v>3</v>
      </c>
      <c r="AF92" s="20" t="n">
        <f aca="false">IF(AND(AF7=1,AF8&lt;Inputs!$C$84),0,INDEX(Inputs!$C$140:$G$140,1,AF7))</f>
        <v>3</v>
      </c>
      <c r="AG92" s="20" t="n">
        <f aca="false">IF(AND(AG7=1,AG8&lt;Inputs!$C$84),0,INDEX(Inputs!$C$140:$G$140,1,AG7))</f>
        <v>3</v>
      </c>
      <c r="AH92" s="20" t="n">
        <f aca="false">IF(AND(AH7=1,AH8&lt;Inputs!$C$84),0,INDEX(Inputs!$C$140:$G$140,1,AH7))</f>
        <v>3</v>
      </c>
      <c r="AI92" s="20" t="n">
        <f aca="false">IF(AND(AI7=1,AI8&lt;Inputs!$C$84),0,INDEX(Inputs!$C$140:$G$140,1,AI7))</f>
        <v>3</v>
      </c>
      <c r="AJ92" s="20" t="n">
        <f aca="false">IF(AND(AJ7=1,AJ8&lt;Inputs!$C$84),0,INDEX(Inputs!$C$140:$G$140,1,AJ7))</f>
        <v>3</v>
      </c>
      <c r="AK92" s="20" t="n">
        <f aca="false">IF(AND(AK7=1,AK8&lt;Inputs!$C$84),0,INDEX(Inputs!$C$140:$G$140,1,AK7))</f>
        <v>3</v>
      </c>
      <c r="AL92" s="20" t="n">
        <f aca="false">IF(AND(AL7=1,AL8&lt;Inputs!$C$84),0,INDEX(Inputs!$C$140:$G$140,1,AL7))</f>
        <v>3</v>
      </c>
      <c r="AM92" s="20" t="n">
        <f aca="false">IF(AND(AM7=1,AM8&lt;Inputs!$C$84),0,INDEX(Inputs!$C$140:$G$140,1,AM7))</f>
        <v>3</v>
      </c>
      <c r="AN92" s="20" t="n">
        <f aca="false">IF(AND(AN7=1,AN8&lt;Inputs!$C$84),0,INDEX(Inputs!$C$140:$G$140,1,AN7))</f>
        <v>4</v>
      </c>
      <c r="AO92" s="20" t="n">
        <f aca="false">IF(AND(AO7=1,AO8&lt;Inputs!$C$84),0,INDEX(Inputs!$C$140:$G$140,1,AO7))</f>
        <v>4</v>
      </c>
      <c r="AP92" s="20" t="n">
        <f aca="false">IF(AND(AP7=1,AP8&lt;Inputs!$C$84),0,INDEX(Inputs!$C$140:$G$140,1,AP7))</f>
        <v>4</v>
      </c>
      <c r="AQ92" s="20" t="n">
        <f aca="false">IF(AND(AQ7=1,AQ8&lt;Inputs!$C$84),0,INDEX(Inputs!$C$140:$G$140,1,AQ7))</f>
        <v>4</v>
      </c>
      <c r="AR92" s="20" t="n">
        <f aca="false">IF(AND(AR7=1,AR8&lt;Inputs!$C$84),0,INDEX(Inputs!$C$140:$G$140,1,AR7))</f>
        <v>4</v>
      </c>
      <c r="AS92" s="20" t="n">
        <f aca="false">IF(AND(AS7=1,AS8&lt;Inputs!$C$84),0,INDEX(Inputs!$C$140:$G$140,1,AS7))</f>
        <v>4</v>
      </c>
      <c r="AT92" s="20" t="n">
        <f aca="false">IF(AND(AT7=1,AT8&lt;Inputs!$C$84),0,INDEX(Inputs!$C$140:$G$140,1,AT7))</f>
        <v>4</v>
      </c>
      <c r="AU92" s="20" t="n">
        <f aca="false">IF(AND(AU7=1,AU8&lt;Inputs!$C$84),0,INDEX(Inputs!$C$140:$G$140,1,AU7))</f>
        <v>4</v>
      </c>
      <c r="AV92" s="20" t="n">
        <f aca="false">IF(AND(AV7=1,AV8&lt;Inputs!$C$84),0,INDEX(Inputs!$C$140:$G$140,1,AV7))</f>
        <v>4</v>
      </c>
      <c r="AW92" s="20" t="n">
        <f aca="false">IF(AND(AW7=1,AW8&lt;Inputs!$C$84),0,INDEX(Inputs!$C$140:$G$140,1,AW7))</f>
        <v>4</v>
      </c>
      <c r="AX92" s="20" t="n">
        <f aca="false">IF(AND(AX7=1,AX8&lt;Inputs!$C$84),0,INDEX(Inputs!$C$140:$G$140,1,AX7))</f>
        <v>4</v>
      </c>
      <c r="AY92" s="20" t="n">
        <f aca="false">IF(AND(AY7=1,AY8&lt;Inputs!$C$84),0,INDEX(Inputs!$C$140:$G$140,1,AY7))</f>
        <v>4</v>
      </c>
      <c r="AZ92" s="20" t="n">
        <f aca="false">IF(AND(AZ7=1,AZ8&lt;Inputs!$C$84),0,INDEX(Inputs!$C$140:$G$140,1,AZ7))</f>
        <v>5</v>
      </c>
      <c r="BA92" s="20" t="n">
        <f aca="false">IF(AND(BA7=1,BA8&lt;Inputs!$C$84),0,INDEX(Inputs!$C$140:$G$140,1,BA7))</f>
        <v>5</v>
      </c>
      <c r="BB92" s="20" t="n">
        <f aca="false">IF(AND(BB7=1,BB8&lt;Inputs!$C$84),0,INDEX(Inputs!$C$140:$G$140,1,BB7))</f>
        <v>5</v>
      </c>
      <c r="BC92" s="20" t="n">
        <f aca="false">IF(AND(BC7=1,BC8&lt;Inputs!$C$84),0,INDEX(Inputs!$C$140:$G$140,1,BC7))</f>
        <v>5</v>
      </c>
      <c r="BD92" s="20" t="n">
        <f aca="false">IF(AND(BD7=1,BD8&lt;Inputs!$C$84),0,INDEX(Inputs!$C$140:$G$140,1,BD7))</f>
        <v>5</v>
      </c>
      <c r="BE92" s="20" t="n">
        <f aca="false">IF(AND(BE7=1,BE8&lt;Inputs!$C$84),0,INDEX(Inputs!$C$140:$G$140,1,BE7))</f>
        <v>5</v>
      </c>
      <c r="BF92" s="20" t="n">
        <f aca="false">IF(AND(BF7=1,BF8&lt;Inputs!$C$84),0,INDEX(Inputs!$C$140:$G$140,1,BF7))</f>
        <v>5</v>
      </c>
      <c r="BG92" s="20" t="n">
        <f aca="false">IF(AND(BG7=1,BG8&lt;Inputs!$C$84),0,INDEX(Inputs!$C$140:$G$140,1,BG7))</f>
        <v>5</v>
      </c>
      <c r="BH92" s="20" t="n">
        <f aca="false">IF(AND(BH7=1,BH8&lt;Inputs!$C$84),0,INDEX(Inputs!$C$140:$G$140,1,BH7))</f>
        <v>5</v>
      </c>
      <c r="BI92" s="20" t="n">
        <f aca="false">IF(AND(BI7=1,BI8&lt;Inputs!$C$84),0,INDEX(Inputs!$C$140:$G$140,1,BI7))</f>
        <v>5</v>
      </c>
      <c r="BJ92" s="20" t="n">
        <f aca="false">IF(AND(BJ7=1,BJ8&lt;Inputs!$C$84),0,INDEX(Inputs!$C$140:$G$140,1,BJ7))</f>
        <v>5</v>
      </c>
      <c r="BK92" s="20" t="n">
        <f aca="false">IF(AND(BK7=1,BK8&lt;Inputs!$C$84),0,INDEX(Inputs!$C$140:$G$140,1,BK7))</f>
        <v>5</v>
      </c>
    </row>
    <row r="93" customFormat="false" ht="15" hidden="false" customHeight="true" outlineLevel="0" collapsed="false">
      <c r="A93" s="12" t="s">
        <v>1964</v>
      </c>
      <c r="B93" s="4" t="s">
        <v>725</v>
      </c>
      <c r="D93" s="20" t="n">
        <f aca="false">IF(AND(D7=1,D8&lt;Inputs!$C$84),0,INDEX(Inputs!$C$141:$G$141,1,D7))</f>
        <v>0</v>
      </c>
      <c r="E93" s="20" t="n">
        <f aca="false">IF(AND(E7=1,E8&lt;Inputs!$C$84),0,INDEX(Inputs!$C$141:$G$141,1,E7))</f>
        <v>0</v>
      </c>
      <c r="F93" s="20" t="n">
        <f aca="false">IF(AND(F7=1,F8&lt;Inputs!$C$84),0,INDEX(Inputs!$C$141:$G$141,1,F7))</f>
        <v>1</v>
      </c>
      <c r="G93" s="20" t="n">
        <f aca="false">IF(AND(G7=1,G8&lt;Inputs!$C$84),0,INDEX(Inputs!$C$141:$G$141,1,G7))</f>
        <v>1</v>
      </c>
      <c r="H93" s="20" t="n">
        <f aca="false">IF(AND(H7=1,H8&lt;Inputs!$C$84),0,INDEX(Inputs!$C$141:$G$141,1,H7))</f>
        <v>1</v>
      </c>
      <c r="I93" s="20" t="n">
        <f aca="false">IF(AND(I7=1,I8&lt;Inputs!$C$84),0,INDEX(Inputs!$C$141:$G$141,1,I7))</f>
        <v>1</v>
      </c>
      <c r="J93" s="20" t="n">
        <f aca="false">IF(AND(J7=1,J8&lt;Inputs!$C$84),0,INDEX(Inputs!$C$141:$G$141,1,J7))</f>
        <v>1</v>
      </c>
      <c r="K93" s="20" t="n">
        <f aca="false">IF(AND(K7=1,K8&lt;Inputs!$C$84),0,INDEX(Inputs!$C$141:$G$141,1,K7))</f>
        <v>1</v>
      </c>
      <c r="L93" s="20" t="n">
        <f aca="false">IF(AND(L7=1,L8&lt;Inputs!$C$84),0,INDEX(Inputs!$C$141:$G$141,1,L7))</f>
        <v>1</v>
      </c>
      <c r="M93" s="20" t="n">
        <f aca="false">IF(AND(M7=1,M8&lt;Inputs!$C$84),0,INDEX(Inputs!$C$141:$G$141,1,M7))</f>
        <v>1</v>
      </c>
      <c r="N93" s="20" t="n">
        <f aca="false">IF(AND(N7=1,N8&lt;Inputs!$C$84),0,INDEX(Inputs!$C$141:$G$141,1,N7))</f>
        <v>1</v>
      </c>
      <c r="O93" s="20" t="n">
        <f aca="false">IF(AND(O7=1,O8&lt;Inputs!$C$84),0,INDEX(Inputs!$C$141:$G$141,1,O7))</f>
        <v>1</v>
      </c>
      <c r="P93" s="20" t="n">
        <f aca="false">IF(AND(P7=1,P8&lt;Inputs!$C$84),0,INDEX(Inputs!$C$141:$G$141,1,P7))</f>
        <v>2</v>
      </c>
      <c r="Q93" s="20" t="n">
        <f aca="false">IF(AND(Q7=1,Q8&lt;Inputs!$C$84),0,INDEX(Inputs!$C$141:$G$141,1,Q7))</f>
        <v>2</v>
      </c>
      <c r="R93" s="20" t="n">
        <f aca="false">IF(AND(R7=1,R8&lt;Inputs!$C$84),0,INDEX(Inputs!$C$141:$G$141,1,R7))</f>
        <v>2</v>
      </c>
      <c r="S93" s="20" t="n">
        <f aca="false">IF(AND(S7=1,S8&lt;Inputs!$C$84),0,INDEX(Inputs!$C$141:$G$141,1,S7))</f>
        <v>2</v>
      </c>
      <c r="T93" s="20" t="n">
        <f aca="false">IF(AND(T7=1,T8&lt;Inputs!$C$84),0,INDEX(Inputs!$C$141:$G$141,1,T7))</f>
        <v>2</v>
      </c>
      <c r="U93" s="20" t="n">
        <f aca="false">IF(AND(U7=1,U8&lt;Inputs!$C$84),0,INDEX(Inputs!$C$141:$G$141,1,U7))</f>
        <v>2</v>
      </c>
      <c r="V93" s="20" t="n">
        <f aca="false">IF(AND(V7=1,V8&lt;Inputs!$C$84),0,INDEX(Inputs!$C$141:$G$141,1,V7))</f>
        <v>2</v>
      </c>
      <c r="W93" s="20" t="n">
        <f aca="false">IF(AND(W7=1,W8&lt;Inputs!$C$84),0,INDEX(Inputs!$C$141:$G$141,1,W7))</f>
        <v>2</v>
      </c>
      <c r="X93" s="20" t="n">
        <f aca="false">IF(AND(X7=1,X8&lt;Inputs!$C$84),0,INDEX(Inputs!$C$141:$G$141,1,X7))</f>
        <v>2</v>
      </c>
      <c r="Y93" s="20" t="n">
        <f aca="false">IF(AND(Y7=1,Y8&lt;Inputs!$C$84),0,INDEX(Inputs!$C$141:$G$141,1,Y7))</f>
        <v>2</v>
      </c>
      <c r="Z93" s="20" t="n">
        <f aca="false">IF(AND(Z7=1,Z8&lt;Inputs!$C$84),0,INDEX(Inputs!$C$141:$G$141,1,Z7))</f>
        <v>2</v>
      </c>
      <c r="AA93" s="20" t="n">
        <f aca="false">IF(AND(AA7=1,AA8&lt;Inputs!$C$84),0,INDEX(Inputs!$C$141:$G$141,1,AA7))</f>
        <v>2</v>
      </c>
      <c r="AB93" s="20" t="n">
        <f aca="false">IF(AND(AB7=1,AB8&lt;Inputs!$C$84),0,INDEX(Inputs!$C$141:$G$141,1,AB7))</f>
        <v>3</v>
      </c>
      <c r="AC93" s="20" t="n">
        <f aca="false">IF(AND(AC7=1,AC8&lt;Inputs!$C$84),0,INDEX(Inputs!$C$141:$G$141,1,AC7))</f>
        <v>3</v>
      </c>
      <c r="AD93" s="20" t="n">
        <f aca="false">IF(AND(AD7=1,AD8&lt;Inputs!$C$84),0,INDEX(Inputs!$C$141:$G$141,1,AD7))</f>
        <v>3</v>
      </c>
      <c r="AE93" s="20" t="n">
        <f aca="false">IF(AND(AE7=1,AE8&lt;Inputs!$C$84),0,INDEX(Inputs!$C$141:$G$141,1,AE7))</f>
        <v>3</v>
      </c>
      <c r="AF93" s="20" t="n">
        <f aca="false">IF(AND(AF7=1,AF8&lt;Inputs!$C$84),0,INDEX(Inputs!$C$141:$G$141,1,AF7))</f>
        <v>3</v>
      </c>
      <c r="AG93" s="20" t="n">
        <f aca="false">IF(AND(AG7=1,AG8&lt;Inputs!$C$84),0,INDEX(Inputs!$C$141:$G$141,1,AG7))</f>
        <v>3</v>
      </c>
      <c r="AH93" s="20" t="n">
        <f aca="false">IF(AND(AH7=1,AH8&lt;Inputs!$C$84),0,INDEX(Inputs!$C$141:$G$141,1,AH7))</f>
        <v>3</v>
      </c>
      <c r="AI93" s="20" t="n">
        <f aca="false">IF(AND(AI7=1,AI8&lt;Inputs!$C$84),0,INDEX(Inputs!$C$141:$G$141,1,AI7))</f>
        <v>3</v>
      </c>
      <c r="AJ93" s="20" t="n">
        <f aca="false">IF(AND(AJ7=1,AJ8&lt;Inputs!$C$84),0,INDEX(Inputs!$C$141:$G$141,1,AJ7))</f>
        <v>3</v>
      </c>
      <c r="AK93" s="20" t="n">
        <f aca="false">IF(AND(AK7=1,AK8&lt;Inputs!$C$84),0,INDEX(Inputs!$C$141:$G$141,1,AK7))</f>
        <v>3</v>
      </c>
      <c r="AL93" s="20" t="n">
        <f aca="false">IF(AND(AL7=1,AL8&lt;Inputs!$C$84),0,INDEX(Inputs!$C$141:$G$141,1,AL7))</f>
        <v>3</v>
      </c>
      <c r="AM93" s="20" t="n">
        <f aca="false">IF(AND(AM7=1,AM8&lt;Inputs!$C$84),0,INDEX(Inputs!$C$141:$G$141,1,AM7))</f>
        <v>3</v>
      </c>
      <c r="AN93" s="20" t="n">
        <f aca="false">IF(AND(AN7=1,AN8&lt;Inputs!$C$84),0,INDEX(Inputs!$C$141:$G$141,1,AN7))</f>
        <v>4</v>
      </c>
      <c r="AO93" s="20" t="n">
        <f aca="false">IF(AND(AO7=1,AO8&lt;Inputs!$C$84),0,INDEX(Inputs!$C$141:$G$141,1,AO7))</f>
        <v>4</v>
      </c>
      <c r="AP93" s="20" t="n">
        <f aca="false">IF(AND(AP7=1,AP8&lt;Inputs!$C$84),0,INDEX(Inputs!$C$141:$G$141,1,AP7))</f>
        <v>4</v>
      </c>
      <c r="AQ93" s="20" t="n">
        <f aca="false">IF(AND(AQ7=1,AQ8&lt;Inputs!$C$84),0,INDEX(Inputs!$C$141:$G$141,1,AQ7))</f>
        <v>4</v>
      </c>
      <c r="AR93" s="20" t="n">
        <f aca="false">IF(AND(AR7=1,AR8&lt;Inputs!$C$84),0,INDEX(Inputs!$C$141:$G$141,1,AR7))</f>
        <v>4</v>
      </c>
      <c r="AS93" s="20" t="n">
        <f aca="false">IF(AND(AS7=1,AS8&lt;Inputs!$C$84),0,INDEX(Inputs!$C$141:$G$141,1,AS7))</f>
        <v>4</v>
      </c>
      <c r="AT93" s="20" t="n">
        <f aca="false">IF(AND(AT7=1,AT8&lt;Inputs!$C$84),0,INDEX(Inputs!$C$141:$G$141,1,AT7))</f>
        <v>4</v>
      </c>
      <c r="AU93" s="20" t="n">
        <f aca="false">IF(AND(AU7=1,AU8&lt;Inputs!$C$84),0,INDEX(Inputs!$C$141:$G$141,1,AU7))</f>
        <v>4</v>
      </c>
      <c r="AV93" s="20" t="n">
        <f aca="false">IF(AND(AV7=1,AV8&lt;Inputs!$C$84),0,INDEX(Inputs!$C$141:$G$141,1,AV7))</f>
        <v>4</v>
      </c>
      <c r="AW93" s="20" t="n">
        <f aca="false">IF(AND(AW7=1,AW8&lt;Inputs!$C$84),0,INDEX(Inputs!$C$141:$G$141,1,AW7))</f>
        <v>4</v>
      </c>
      <c r="AX93" s="20" t="n">
        <f aca="false">IF(AND(AX7=1,AX8&lt;Inputs!$C$84),0,INDEX(Inputs!$C$141:$G$141,1,AX7))</f>
        <v>4</v>
      </c>
      <c r="AY93" s="20" t="n">
        <f aca="false">IF(AND(AY7=1,AY8&lt;Inputs!$C$84),0,INDEX(Inputs!$C$141:$G$141,1,AY7))</f>
        <v>4</v>
      </c>
      <c r="AZ93" s="20" t="n">
        <f aca="false">IF(AND(AZ7=1,AZ8&lt;Inputs!$C$84),0,INDEX(Inputs!$C$141:$G$141,1,AZ7))</f>
        <v>5</v>
      </c>
      <c r="BA93" s="20" t="n">
        <f aca="false">IF(AND(BA7=1,BA8&lt;Inputs!$C$84),0,INDEX(Inputs!$C$141:$G$141,1,BA7))</f>
        <v>5</v>
      </c>
      <c r="BB93" s="20" t="n">
        <f aca="false">IF(AND(BB7=1,BB8&lt;Inputs!$C$84),0,INDEX(Inputs!$C$141:$G$141,1,BB7))</f>
        <v>5</v>
      </c>
      <c r="BC93" s="20" t="n">
        <f aca="false">IF(AND(BC7=1,BC8&lt;Inputs!$C$84),0,INDEX(Inputs!$C$141:$G$141,1,BC7))</f>
        <v>5</v>
      </c>
      <c r="BD93" s="20" t="n">
        <f aca="false">IF(AND(BD7=1,BD8&lt;Inputs!$C$84),0,INDEX(Inputs!$C$141:$G$141,1,BD7))</f>
        <v>5</v>
      </c>
      <c r="BE93" s="20" t="n">
        <f aca="false">IF(AND(BE7=1,BE8&lt;Inputs!$C$84),0,INDEX(Inputs!$C$141:$G$141,1,BE7))</f>
        <v>5</v>
      </c>
      <c r="BF93" s="20" t="n">
        <f aca="false">IF(AND(BF7=1,BF8&lt;Inputs!$C$84),0,INDEX(Inputs!$C$141:$G$141,1,BF7))</f>
        <v>5</v>
      </c>
      <c r="BG93" s="20" t="n">
        <f aca="false">IF(AND(BG7=1,BG8&lt;Inputs!$C$84),0,INDEX(Inputs!$C$141:$G$141,1,BG7))</f>
        <v>5</v>
      </c>
      <c r="BH93" s="20" t="n">
        <f aca="false">IF(AND(BH7=1,BH8&lt;Inputs!$C$84),0,INDEX(Inputs!$C$141:$G$141,1,BH7))</f>
        <v>5</v>
      </c>
      <c r="BI93" s="20" t="n">
        <f aca="false">IF(AND(BI7=1,BI8&lt;Inputs!$C$84),0,INDEX(Inputs!$C$141:$G$141,1,BI7))</f>
        <v>5</v>
      </c>
      <c r="BJ93" s="20" t="n">
        <f aca="false">IF(AND(BJ7=1,BJ8&lt;Inputs!$C$84),0,INDEX(Inputs!$C$141:$G$141,1,BJ7))</f>
        <v>5</v>
      </c>
      <c r="BK93" s="20" t="n">
        <f aca="false">IF(AND(BK7=1,BK8&lt;Inputs!$C$84),0,INDEX(Inputs!$C$141:$G$141,1,BK7))</f>
        <v>5</v>
      </c>
    </row>
    <row r="94" customFormat="false" ht="15" hidden="false" customHeight="true" outlineLevel="0" collapsed="false">
      <c r="A94" s="12" t="s">
        <v>1965</v>
      </c>
      <c r="B94" s="4" t="s">
        <v>725</v>
      </c>
      <c r="D94" s="20" t="n">
        <f aca="false">IF(AND(D7=1,D8&lt;Inputs!$C$84),0,INDEX(Inputs!$C$142:$G$142,1,D7))</f>
        <v>0</v>
      </c>
      <c r="E94" s="20" t="n">
        <f aca="false">IF(AND(E7=1,E8&lt;Inputs!$C$84),0,INDEX(Inputs!$C$142:$G$142,1,E7))</f>
        <v>0</v>
      </c>
      <c r="F94" s="20" t="n">
        <f aca="false">IF(AND(F7=1,F8&lt;Inputs!$C$84),0,INDEX(Inputs!$C$142:$G$142,1,F7))</f>
        <v>0</v>
      </c>
      <c r="G94" s="20" t="n">
        <f aca="false">IF(AND(G7=1,G8&lt;Inputs!$C$84),0,INDEX(Inputs!$C$142:$G$142,1,G7))</f>
        <v>0</v>
      </c>
      <c r="H94" s="20" t="n">
        <f aca="false">IF(AND(H7=1,H8&lt;Inputs!$C$84),0,INDEX(Inputs!$C$142:$G$142,1,H7))</f>
        <v>0</v>
      </c>
      <c r="I94" s="20" t="n">
        <f aca="false">IF(AND(I7=1,I8&lt;Inputs!$C$84),0,INDEX(Inputs!$C$142:$G$142,1,I7))</f>
        <v>0</v>
      </c>
      <c r="J94" s="20" t="n">
        <f aca="false">IF(AND(J7=1,J8&lt;Inputs!$C$84),0,INDEX(Inputs!$C$142:$G$142,1,J7))</f>
        <v>0</v>
      </c>
      <c r="K94" s="20" t="n">
        <f aca="false">IF(AND(K7=1,K8&lt;Inputs!$C$84),0,INDEX(Inputs!$C$142:$G$142,1,K7))</f>
        <v>0</v>
      </c>
      <c r="L94" s="20" t="n">
        <f aca="false">IF(AND(L7=1,L8&lt;Inputs!$C$84),0,INDEX(Inputs!$C$142:$G$142,1,L7))</f>
        <v>0</v>
      </c>
      <c r="M94" s="20" t="n">
        <f aca="false">IF(AND(M7=1,M8&lt;Inputs!$C$84),0,INDEX(Inputs!$C$142:$G$142,1,M7))</f>
        <v>0</v>
      </c>
      <c r="N94" s="20" t="n">
        <f aca="false">IF(AND(N7=1,N8&lt;Inputs!$C$84),0,INDEX(Inputs!$C$142:$G$142,1,N7))</f>
        <v>0</v>
      </c>
      <c r="O94" s="20" t="n">
        <f aca="false">IF(AND(O7=1,O8&lt;Inputs!$C$84),0,INDEX(Inputs!$C$142:$G$142,1,O7))</f>
        <v>0</v>
      </c>
      <c r="P94" s="20" t="n">
        <f aca="false">IF(AND(P7=1,P8&lt;Inputs!$C$84),0,INDEX(Inputs!$C$142:$G$142,1,P7))</f>
        <v>1</v>
      </c>
      <c r="Q94" s="20" t="n">
        <f aca="false">IF(AND(Q7=1,Q8&lt;Inputs!$C$84),0,INDEX(Inputs!$C$142:$G$142,1,Q7))</f>
        <v>1</v>
      </c>
      <c r="R94" s="20" t="n">
        <f aca="false">IF(AND(R7=1,R8&lt;Inputs!$C$84),0,INDEX(Inputs!$C$142:$G$142,1,R7))</f>
        <v>1</v>
      </c>
      <c r="S94" s="20" t="n">
        <f aca="false">IF(AND(S7=1,S8&lt;Inputs!$C$84),0,INDEX(Inputs!$C$142:$G$142,1,S7))</f>
        <v>1</v>
      </c>
      <c r="T94" s="20" t="n">
        <f aca="false">IF(AND(T7=1,T8&lt;Inputs!$C$84),0,INDEX(Inputs!$C$142:$G$142,1,T7))</f>
        <v>1</v>
      </c>
      <c r="U94" s="20" t="n">
        <f aca="false">IF(AND(U7=1,U8&lt;Inputs!$C$84),0,INDEX(Inputs!$C$142:$G$142,1,U7))</f>
        <v>1</v>
      </c>
      <c r="V94" s="20" t="n">
        <f aca="false">IF(AND(V7=1,V8&lt;Inputs!$C$84),0,INDEX(Inputs!$C$142:$G$142,1,V7))</f>
        <v>1</v>
      </c>
      <c r="W94" s="20" t="n">
        <f aca="false">IF(AND(W7=1,W8&lt;Inputs!$C$84),0,INDEX(Inputs!$C$142:$G$142,1,W7))</f>
        <v>1</v>
      </c>
      <c r="X94" s="20" t="n">
        <f aca="false">IF(AND(X7=1,X8&lt;Inputs!$C$84),0,INDEX(Inputs!$C$142:$G$142,1,X7))</f>
        <v>1</v>
      </c>
      <c r="Y94" s="20" t="n">
        <f aca="false">IF(AND(Y7=1,Y8&lt;Inputs!$C$84),0,INDEX(Inputs!$C$142:$G$142,1,Y7))</f>
        <v>1</v>
      </c>
      <c r="Z94" s="20" t="n">
        <f aca="false">IF(AND(Z7=1,Z8&lt;Inputs!$C$84),0,INDEX(Inputs!$C$142:$G$142,1,Z7))</f>
        <v>1</v>
      </c>
      <c r="AA94" s="20" t="n">
        <f aca="false">IF(AND(AA7=1,AA8&lt;Inputs!$C$84),0,INDEX(Inputs!$C$142:$G$142,1,AA7))</f>
        <v>1</v>
      </c>
      <c r="AB94" s="20" t="n">
        <f aca="false">IF(AND(AB7=1,AB8&lt;Inputs!$C$84),0,INDEX(Inputs!$C$142:$G$142,1,AB7))</f>
        <v>1</v>
      </c>
      <c r="AC94" s="20" t="n">
        <f aca="false">IF(AND(AC7=1,AC8&lt;Inputs!$C$84),0,INDEX(Inputs!$C$142:$G$142,1,AC7))</f>
        <v>1</v>
      </c>
      <c r="AD94" s="20" t="n">
        <f aca="false">IF(AND(AD7=1,AD8&lt;Inputs!$C$84),0,INDEX(Inputs!$C$142:$G$142,1,AD7))</f>
        <v>1</v>
      </c>
      <c r="AE94" s="20" t="n">
        <f aca="false">IF(AND(AE7=1,AE8&lt;Inputs!$C$84),0,INDEX(Inputs!$C$142:$G$142,1,AE7))</f>
        <v>1</v>
      </c>
      <c r="AF94" s="20" t="n">
        <f aca="false">IF(AND(AF7=1,AF8&lt;Inputs!$C$84),0,INDEX(Inputs!$C$142:$G$142,1,AF7))</f>
        <v>1</v>
      </c>
      <c r="AG94" s="20" t="n">
        <f aca="false">IF(AND(AG7=1,AG8&lt;Inputs!$C$84),0,INDEX(Inputs!$C$142:$G$142,1,AG7))</f>
        <v>1</v>
      </c>
      <c r="AH94" s="20" t="n">
        <f aca="false">IF(AND(AH7=1,AH8&lt;Inputs!$C$84),0,INDEX(Inputs!$C$142:$G$142,1,AH7))</f>
        <v>1</v>
      </c>
      <c r="AI94" s="20" t="n">
        <f aca="false">IF(AND(AI7=1,AI8&lt;Inputs!$C$84),0,INDEX(Inputs!$C$142:$G$142,1,AI7))</f>
        <v>1</v>
      </c>
      <c r="AJ94" s="20" t="n">
        <f aca="false">IF(AND(AJ7=1,AJ8&lt;Inputs!$C$84),0,INDEX(Inputs!$C$142:$G$142,1,AJ7))</f>
        <v>1</v>
      </c>
      <c r="AK94" s="20" t="n">
        <f aca="false">IF(AND(AK7=1,AK8&lt;Inputs!$C$84),0,INDEX(Inputs!$C$142:$G$142,1,AK7))</f>
        <v>1</v>
      </c>
      <c r="AL94" s="20" t="n">
        <f aca="false">IF(AND(AL7=1,AL8&lt;Inputs!$C$84),0,INDEX(Inputs!$C$142:$G$142,1,AL7))</f>
        <v>1</v>
      </c>
      <c r="AM94" s="20" t="n">
        <f aca="false">IF(AND(AM7=1,AM8&lt;Inputs!$C$84),0,INDEX(Inputs!$C$142:$G$142,1,AM7))</f>
        <v>1</v>
      </c>
      <c r="AN94" s="20" t="n">
        <f aca="false">IF(AND(AN7=1,AN8&lt;Inputs!$C$84),0,INDEX(Inputs!$C$142:$G$142,1,AN7))</f>
        <v>2</v>
      </c>
      <c r="AO94" s="20" t="n">
        <f aca="false">IF(AND(AO7=1,AO8&lt;Inputs!$C$84),0,INDEX(Inputs!$C$142:$G$142,1,AO7))</f>
        <v>2</v>
      </c>
      <c r="AP94" s="20" t="n">
        <f aca="false">IF(AND(AP7=1,AP8&lt;Inputs!$C$84),0,INDEX(Inputs!$C$142:$G$142,1,AP7))</f>
        <v>2</v>
      </c>
      <c r="AQ94" s="20" t="n">
        <f aca="false">IF(AND(AQ7=1,AQ8&lt;Inputs!$C$84),0,INDEX(Inputs!$C$142:$G$142,1,AQ7))</f>
        <v>2</v>
      </c>
      <c r="AR94" s="20" t="n">
        <f aca="false">IF(AND(AR7=1,AR8&lt;Inputs!$C$84),0,INDEX(Inputs!$C$142:$G$142,1,AR7))</f>
        <v>2</v>
      </c>
      <c r="AS94" s="20" t="n">
        <f aca="false">IF(AND(AS7=1,AS8&lt;Inputs!$C$84),0,INDEX(Inputs!$C$142:$G$142,1,AS7))</f>
        <v>2</v>
      </c>
      <c r="AT94" s="20" t="n">
        <f aca="false">IF(AND(AT7=1,AT8&lt;Inputs!$C$84),0,INDEX(Inputs!$C$142:$G$142,1,AT7))</f>
        <v>2</v>
      </c>
      <c r="AU94" s="20" t="n">
        <f aca="false">IF(AND(AU7=1,AU8&lt;Inputs!$C$84),0,INDEX(Inputs!$C$142:$G$142,1,AU7))</f>
        <v>2</v>
      </c>
      <c r="AV94" s="20" t="n">
        <f aca="false">IF(AND(AV7=1,AV8&lt;Inputs!$C$84),0,INDEX(Inputs!$C$142:$G$142,1,AV7))</f>
        <v>2</v>
      </c>
      <c r="AW94" s="20" t="n">
        <f aca="false">IF(AND(AW7=1,AW8&lt;Inputs!$C$84),0,INDEX(Inputs!$C$142:$G$142,1,AW7))</f>
        <v>2</v>
      </c>
      <c r="AX94" s="20" t="n">
        <f aca="false">IF(AND(AX7=1,AX8&lt;Inputs!$C$84),0,INDEX(Inputs!$C$142:$G$142,1,AX7))</f>
        <v>2</v>
      </c>
      <c r="AY94" s="20" t="n">
        <f aca="false">IF(AND(AY7=1,AY8&lt;Inputs!$C$84),0,INDEX(Inputs!$C$142:$G$142,1,AY7))</f>
        <v>2</v>
      </c>
      <c r="AZ94" s="20" t="n">
        <f aca="false">IF(AND(AZ7=1,AZ8&lt;Inputs!$C$84),0,INDEX(Inputs!$C$142:$G$142,1,AZ7))</f>
        <v>2</v>
      </c>
      <c r="BA94" s="20" t="n">
        <f aca="false">IF(AND(BA7=1,BA8&lt;Inputs!$C$84),0,INDEX(Inputs!$C$142:$G$142,1,BA7))</f>
        <v>2</v>
      </c>
      <c r="BB94" s="20" t="n">
        <f aca="false">IF(AND(BB7=1,BB8&lt;Inputs!$C$84),0,INDEX(Inputs!$C$142:$G$142,1,BB7))</f>
        <v>2</v>
      </c>
      <c r="BC94" s="20" t="n">
        <f aca="false">IF(AND(BC7=1,BC8&lt;Inputs!$C$84),0,INDEX(Inputs!$C$142:$G$142,1,BC7))</f>
        <v>2</v>
      </c>
      <c r="BD94" s="20" t="n">
        <f aca="false">IF(AND(BD7=1,BD8&lt;Inputs!$C$84),0,INDEX(Inputs!$C$142:$G$142,1,BD7))</f>
        <v>2</v>
      </c>
      <c r="BE94" s="20" t="n">
        <f aca="false">IF(AND(BE7=1,BE8&lt;Inputs!$C$84),0,INDEX(Inputs!$C$142:$G$142,1,BE7))</f>
        <v>2</v>
      </c>
      <c r="BF94" s="20" t="n">
        <f aca="false">IF(AND(BF7=1,BF8&lt;Inputs!$C$84),0,INDEX(Inputs!$C$142:$G$142,1,BF7))</f>
        <v>2</v>
      </c>
      <c r="BG94" s="20" t="n">
        <f aca="false">IF(AND(BG7=1,BG8&lt;Inputs!$C$84),0,INDEX(Inputs!$C$142:$G$142,1,BG7))</f>
        <v>2</v>
      </c>
      <c r="BH94" s="20" t="n">
        <f aca="false">IF(AND(BH7=1,BH8&lt;Inputs!$C$84),0,INDEX(Inputs!$C$142:$G$142,1,BH7))</f>
        <v>2</v>
      </c>
      <c r="BI94" s="20" t="n">
        <f aca="false">IF(AND(BI7=1,BI8&lt;Inputs!$C$84),0,INDEX(Inputs!$C$142:$G$142,1,BI7))</f>
        <v>2</v>
      </c>
      <c r="BJ94" s="20" t="n">
        <f aca="false">IF(AND(BJ7=1,BJ8&lt;Inputs!$C$84),0,INDEX(Inputs!$C$142:$G$142,1,BJ7))</f>
        <v>2</v>
      </c>
      <c r="BK94" s="20" t="n">
        <f aca="false">IF(AND(BK7=1,BK8&lt;Inputs!$C$84),0,INDEX(Inputs!$C$142:$G$142,1,BK7))</f>
        <v>2</v>
      </c>
    </row>
    <row r="95" customFormat="false" ht="15" hidden="false" customHeight="true" outlineLevel="0" collapsed="false">
      <c r="A95" s="12" t="s">
        <v>1966</v>
      </c>
      <c r="B95" s="4" t="s">
        <v>725</v>
      </c>
      <c r="D95" s="20" t="n">
        <f aca="false">IF(AND(D7=1,D8&lt;Inputs!$C$84),0,INDEX(Inputs!$C$143:$G$143,1,D7))</f>
        <v>0</v>
      </c>
      <c r="E95" s="20" t="n">
        <f aca="false">IF(AND(E7=1,E8&lt;Inputs!$C$84),0,INDEX(Inputs!$C$143:$G$143,1,E7))</f>
        <v>0</v>
      </c>
      <c r="F95" s="20" t="n">
        <f aca="false">IF(AND(F7=1,F8&lt;Inputs!$C$84),0,INDEX(Inputs!$C$143:$G$143,1,F7))</f>
        <v>1</v>
      </c>
      <c r="G95" s="20" t="n">
        <f aca="false">IF(AND(G7=1,G8&lt;Inputs!$C$84),0,INDEX(Inputs!$C$143:$G$143,1,G7))</f>
        <v>1</v>
      </c>
      <c r="H95" s="20" t="n">
        <f aca="false">IF(AND(H7=1,H8&lt;Inputs!$C$84),0,INDEX(Inputs!$C$143:$G$143,1,H7))</f>
        <v>1</v>
      </c>
      <c r="I95" s="20" t="n">
        <f aca="false">IF(AND(I7=1,I8&lt;Inputs!$C$84),0,INDEX(Inputs!$C$143:$G$143,1,I7))</f>
        <v>1</v>
      </c>
      <c r="J95" s="20" t="n">
        <f aca="false">IF(AND(J7=1,J8&lt;Inputs!$C$84),0,INDEX(Inputs!$C$143:$G$143,1,J7))</f>
        <v>1</v>
      </c>
      <c r="K95" s="20" t="n">
        <f aca="false">IF(AND(K7=1,K8&lt;Inputs!$C$84),0,INDEX(Inputs!$C$143:$G$143,1,K7))</f>
        <v>1</v>
      </c>
      <c r="L95" s="20" t="n">
        <f aca="false">IF(AND(L7=1,L8&lt;Inputs!$C$84),0,INDEX(Inputs!$C$143:$G$143,1,L7))</f>
        <v>1</v>
      </c>
      <c r="M95" s="20" t="n">
        <f aca="false">IF(AND(M7=1,M8&lt;Inputs!$C$84),0,INDEX(Inputs!$C$143:$G$143,1,M7))</f>
        <v>1</v>
      </c>
      <c r="N95" s="20" t="n">
        <f aca="false">IF(AND(N7=1,N8&lt;Inputs!$C$84),0,INDEX(Inputs!$C$143:$G$143,1,N7))</f>
        <v>1</v>
      </c>
      <c r="O95" s="20" t="n">
        <f aca="false">IF(AND(O7=1,O8&lt;Inputs!$C$84),0,INDEX(Inputs!$C$143:$G$143,1,O7))</f>
        <v>1</v>
      </c>
      <c r="P95" s="20" t="n">
        <f aca="false">IF(AND(P7=1,P8&lt;Inputs!$C$84),0,INDEX(Inputs!$C$143:$G$143,1,P7))</f>
        <v>1</v>
      </c>
      <c r="Q95" s="20" t="n">
        <f aca="false">IF(AND(Q7=1,Q8&lt;Inputs!$C$84),0,INDEX(Inputs!$C$143:$G$143,1,Q7))</f>
        <v>1</v>
      </c>
      <c r="R95" s="20" t="n">
        <f aca="false">IF(AND(R7=1,R8&lt;Inputs!$C$84),0,INDEX(Inputs!$C$143:$G$143,1,R7))</f>
        <v>1</v>
      </c>
      <c r="S95" s="20" t="n">
        <f aca="false">IF(AND(S7=1,S8&lt;Inputs!$C$84),0,INDEX(Inputs!$C$143:$G$143,1,S7))</f>
        <v>1</v>
      </c>
      <c r="T95" s="20" t="n">
        <f aca="false">IF(AND(T7=1,T8&lt;Inputs!$C$84),0,INDEX(Inputs!$C$143:$G$143,1,T7))</f>
        <v>1</v>
      </c>
      <c r="U95" s="20" t="n">
        <f aca="false">IF(AND(U7=1,U8&lt;Inputs!$C$84),0,INDEX(Inputs!$C$143:$G$143,1,U7))</f>
        <v>1</v>
      </c>
      <c r="V95" s="20" t="n">
        <f aca="false">IF(AND(V7=1,V8&lt;Inputs!$C$84),0,INDEX(Inputs!$C$143:$G$143,1,V7))</f>
        <v>1</v>
      </c>
      <c r="W95" s="20" t="n">
        <f aca="false">IF(AND(W7=1,W8&lt;Inputs!$C$84),0,INDEX(Inputs!$C$143:$G$143,1,W7))</f>
        <v>1</v>
      </c>
      <c r="X95" s="20" t="n">
        <f aca="false">IF(AND(X7=1,X8&lt;Inputs!$C$84),0,INDEX(Inputs!$C$143:$G$143,1,X7))</f>
        <v>1</v>
      </c>
      <c r="Y95" s="20" t="n">
        <f aca="false">IF(AND(Y7=1,Y8&lt;Inputs!$C$84),0,INDEX(Inputs!$C$143:$G$143,1,Y7))</f>
        <v>1</v>
      </c>
      <c r="Z95" s="20" t="n">
        <f aca="false">IF(AND(Z7=1,Z8&lt;Inputs!$C$84),0,INDEX(Inputs!$C$143:$G$143,1,Z7))</f>
        <v>1</v>
      </c>
      <c r="AA95" s="20" t="n">
        <f aca="false">IF(AND(AA7=1,AA8&lt;Inputs!$C$84),0,INDEX(Inputs!$C$143:$G$143,1,AA7))</f>
        <v>1</v>
      </c>
      <c r="AB95" s="20" t="n">
        <f aca="false">IF(AND(AB7=1,AB8&lt;Inputs!$C$84),0,INDEX(Inputs!$C$143:$G$143,1,AB7))</f>
        <v>2</v>
      </c>
      <c r="AC95" s="20" t="n">
        <f aca="false">IF(AND(AC7=1,AC8&lt;Inputs!$C$84),0,INDEX(Inputs!$C$143:$G$143,1,AC7))</f>
        <v>2</v>
      </c>
      <c r="AD95" s="20" t="n">
        <f aca="false">IF(AND(AD7=1,AD8&lt;Inputs!$C$84),0,INDEX(Inputs!$C$143:$G$143,1,AD7))</f>
        <v>2</v>
      </c>
      <c r="AE95" s="20" t="n">
        <f aca="false">IF(AND(AE7=1,AE8&lt;Inputs!$C$84),0,INDEX(Inputs!$C$143:$G$143,1,AE7))</f>
        <v>2</v>
      </c>
      <c r="AF95" s="20" t="n">
        <f aca="false">IF(AND(AF7=1,AF8&lt;Inputs!$C$84),0,INDEX(Inputs!$C$143:$G$143,1,AF7))</f>
        <v>2</v>
      </c>
      <c r="AG95" s="20" t="n">
        <f aca="false">IF(AND(AG7=1,AG8&lt;Inputs!$C$84),0,INDEX(Inputs!$C$143:$G$143,1,AG7))</f>
        <v>2</v>
      </c>
      <c r="AH95" s="20" t="n">
        <f aca="false">IF(AND(AH7=1,AH8&lt;Inputs!$C$84),0,INDEX(Inputs!$C$143:$G$143,1,AH7))</f>
        <v>2</v>
      </c>
      <c r="AI95" s="20" t="n">
        <f aca="false">IF(AND(AI7=1,AI8&lt;Inputs!$C$84),0,INDEX(Inputs!$C$143:$G$143,1,AI7))</f>
        <v>2</v>
      </c>
      <c r="AJ95" s="20" t="n">
        <f aca="false">IF(AND(AJ7=1,AJ8&lt;Inputs!$C$84),0,INDEX(Inputs!$C$143:$G$143,1,AJ7))</f>
        <v>2</v>
      </c>
      <c r="AK95" s="20" t="n">
        <f aca="false">IF(AND(AK7=1,AK8&lt;Inputs!$C$84),0,INDEX(Inputs!$C$143:$G$143,1,AK7))</f>
        <v>2</v>
      </c>
      <c r="AL95" s="20" t="n">
        <f aca="false">IF(AND(AL7=1,AL8&lt;Inputs!$C$84),0,INDEX(Inputs!$C$143:$G$143,1,AL7))</f>
        <v>2</v>
      </c>
      <c r="AM95" s="20" t="n">
        <f aca="false">IF(AND(AM7=1,AM8&lt;Inputs!$C$84),0,INDEX(Inputs!$C$143:$G$143,1,AM7))</f>
        <v>2</v>
      </c>
      <c r="AN95" s="20" t="n">
        <f aca="false">IF(AND(AN7=1,AN8&lt;Inputs!$C$84),0,INDEX(Inputs!$C$143:$G$143,1,AN7))</f>
        <v>2</v>
      </c>
      <c r="AO95" s="20" t="n">
        <f aca="false">IF(AND(AO7=1,AO8&lt;Inputs!$C$84),0,INDEX(Inputs!$C$143:$G$143,1,AO7))</f>
        <v>2</v>
      </c>
      <c r="AP95" s="20" t="n">
        <f aca="false">IF(AND(AP7=1,AP8&lt;Inputs!$C$84),0,INDEX(Inputs!$C$143:$G$143,1,AP7))</f>
        <v>2</v>
      </c>
      <c r="AQ95" s="20" t="n">
        <f aca="false">IF(AND(AQ7=1,AQ8&lt;Inputs!$C$84),0,INDEX(Inputs!$C$143:$G$143,1,AQ7))</f>
        <v>2</v>
      </c>
      <c r="AR95" s="20" t="n">
        <f aca="false">IF(AND(AR7=1,AR8&lt;Inputs!$C$84),0,INDEX(Inputs!$C$143:$G$143,1,AR7))</f>
        <v>2</v>
      </c>
      <c r="AS95" s="20" t="n">
        <f aca="false">IF(AND(AS7=1,AS8&lt;Inputs!$C$84),0,INDEX(Inputs!$C$143:$G$143,1,AS7))</f>
        <v>2</v>
      </c>
      <c r="AT95" s="20" t="n">
        <f aca="false">IF(AND(AT7=1,AT8&lt;Inputs!$C$84),0,INDEX(Inputs!$C$143:$G$143,1,AT7))</f>
        <v>2</v>
      </c>
      <c r="AU95" s="20" t="n">
        <f aca="false">IF(AND(AU7=1,AU8&lt;Inputs!$C$84),0,INDEX(Inputs!$C$143:$G$143,1,AU7))</f>
        <v>2</v>
      </c>
      <c r="AV95" s="20" t="n">
        <f aca="false">IF(AND(AV7=1,AV8&lt;Inputs!$C$84),0,INDEX(Inputs!$C$143:$G$143,1,AV7))</f>
        <v>2</v>
      </c>
      <c r="AW95" s="20" t="n">
        <f aca="false">IF(AND(AW7=1,AW8&lt;Inputs!$C$84),0,INDEX(Inputs!$C$143:$G$143,1,AW7))</f>
        <v>2</v>
      </c>
      <c r="AX95" s="20" t="n">
        <f aca="false">IF(AND(AX7=1,AX8&lt;Inputs!$C$84),0,INDEX(Inputs!$C$143:$G$143,1,AX7))</f>
        <v>2</v>
      </c>
      <c r="AY95" s="20" t="n">
        <f aca="false">IF(AND(AY7=1,AY8&lt;Inputs!$C$84),0,INDEX(Inputs!$C$143:$G$143,1,AY7))</f>
        <v>2</v>
      </c>
      <c r="AZ95" s="20" t="n">
        <f aca="false">IF(AND(AZ7=1,AZ8&lt;Inputs!$C$84),0,INDEX(Inputs!$C$143:$G$143,1,AZ7))</f>
        <v>3</v>
      </c>
      <c r="BA95" s="20" t="n">
        <f aca="false">IF(AND(BA7=1,BA8&lt;Inputs!$C$84),0,INDEX(Inputs!$C$143:$G$143,1,BA7))</f>
        <v>3</v>
      </c>
      <c r="BB95" s="20" t="n">
        <f aca="false">IF(AND(BB7=1,BB8&lt;Inputs!$C$84),0,INDEX(Inputs!$C$143:$G$143,1,BB7))</f>
        <v>3</v>
      </c>
      <c r="BC95" s="20" t="n">
        <f aca="false">IF(AND(BC7=1,BC8&lt;Inputs!$C$84),0,INDEX(Inputs!$C$143:$G$143,1,BC7))</f>
        <v>3</v>
      </c>
      <c r="BD95" s="20" t="n">
        <f aca="false">IF(AND(BD7=1,BD8&lt;Inputs!$C$84),0,INDEX(Inputs!$C$143:$G$143,1,BD7))</f>
        <v>3</v>
      </c>
      <c r="BE95" s="20" t="n">
        <f aca="false">IF(AND(BE7=1,BE8&lt;Inputs!$C$84),0,INDEX(Inputs!$C$143:$G$143,1,BE7))</f>
        <v>3</v>
      </c>
      <c r="BF95" s="20" t="n">
        <f aca="false">IF(AND(BF7=1,BF8&lt;Inputs!$C$84),0,INDEX(Inputs!$C$143:$G$143,1,BF7))</f>
        <v>3</v>
      </c>
      <c r="BG95" s="20" t="n">
        <f aca="false">IF(AND(BG7=1,BG8&lt;Inputs!$C$84),0,INDEX(Inputs!$C$143:$G$143,1,BG7))</f>
        <v>3</v>
      </c>
      <c r="BH95" s="20" t="n">
        <f aca="false">IF(AND(BH7=1,BH8&lt;Inputs!$C$84),0,INDEX(Inputs!$C$143:$G$143,1,BH7))</f>
        <v>3</v>
      </c>
      <c r="BI95" s="20" t="n">
        <f aca="false">IF(AND(BI7=1,BI8&lt;Inputs!$C$84),0,INDEX(Inputs!$C$143:$G$143,1,BI7))</f>
        <v>3</v>
      </c>
      <c r="BJ95" s="20" t="n">
        <f aca="false">IF(AND(BJ7=1,BJ8&lt;Inputs!$C$84),0,INDEX(Inputs!$C$143:$G$143,1,BJ7))</f>
        <v>3</v>
      </c>
      <c r="BK95" s="20" t="n">
        <f aca="false">IF(AND(BK7=1,BK8&lt;Inputs!$C$84),0,INDEX(Inputs!$C$143:$G$143,1,BK7))</f>
        <v>3</v>
      </c>
    </row>
    <row r="96" customFormat="false" ht="15" hidden="false" customHeight="true" outlineLevel="0" collapsed="false">
      <c r="A96" s="12" t="s">
        <v>1967</v>
      </c>
      <c r="B96" s="4" t="s">
        <v>725</v>
      </c>
      <c r="D96" s="20" t="n">
        <f aca="false">IF(AND(D7=1,D8&lt;Inputs!$C$84),0,INDEX(Inputs!$C$144:$G$144,1,D7))</f>
        <v>0</v>
      </c>
      <c r="E96" s="20" t="n">
        <f aca="false">IF(AND(E7=1,E8&lt;Inputs!$C$84),0,INDEX(Inputs!$C$144:$G$144,1,E7))</f>
        <v>0</v>
      </c>
      <c r="F96" s="20" t="n">
        <f aca="false">IF(AND(F7=1,F8&lt;Inputs!$C$84),0,INDEX(Inputs!$C$144:$G$144,1,F7))</f>
        <v>0</v>
      </c>
      <c r="G96" s="20" t="n">
        <f aca="false">IF(AND(G7=1,G8&lt;Inputs!$C$84),0,INDEX(Inputs!$C$144:$G$144,1,G7))</f>
        <v>0</v>
      </c>
      <c r="H96" s="20" t="n">
        <f aca="false">IF(AND(H7=1,H8&lt;Inputs!$C$84),0,INDEX(Inputs!$C$144:$G$144,1,H7))</f>
        <v>0</v>
      </c>
      <c r="I96" s="20" t="n">
        <f aca="false">IF(AND(I7=1,I8&lt;Inputs!$C$84),0,INDEX(Inputs!$C$144:$G$144,1,I7))</f>
        <v>0</v>
      </c>
      <c r="J96" s="20" t="n">
        <f aca="false">IF(AND(J7=1,J8&lt;Inputs!$C$84),0,INDEX(Inputs!$C$144:$G$144,1,J7))</f>
        <v>0</v>
      </c>
      <c r="K96" s="20" t="n">
        <f aca="false">IF(AND(K7=1,K8&lt;Inputs!$C$84),0,INDEX(Inputs!$C$144:$G$144,1,K7))</f>
        <v>0</v>
      </c>
      <c r="L96" s="20" t="n">
        <f aca="false">IF(AND(L7=1,L8&lt;Inputs!$C$84),0,INDEX(Inputs!$C$144:$G$144,1,L7))</f>
        <v>0</v>
      </c>
      <c r="M96" s="20" t="n">
        <f aca="false">IF(AND(M7=1,M8&lt;Inputs!$C$84),0,INDEX(Inputs!$C$144:$G$144,1,M7))</f>
        <v>0</v>
      </c>
      <c r="N96" s="20" t="n">
        <f aca="false">IF(AND(N7=1,N8&lt;Inputs!$C$84),0,INDEX(Inputs!$C$144:$G$144,1,N7))</f>
        <v>0</v>
      </c>
      <c r="O96" s="20" t="n">
        <f aca="false">IF(AND(O7=1,O8&lt;Inputs!$C$84),0,INDEX(Inputs!$C$144:$G$144,1,O7))</f>
        <v>0</v>
      </c>
      <c r="P96" s="20" t="n">
        <f aca="false">IF(AND(P7=1,P8&lt;Inputs!$C$84),0,INDEX(Inputs!$C$144:$G$144,1,P7))</f>
        <v>1</v>
      </c>
      <c r="Q96" s="20" t="n">
        <f aca="false">IF(AND(Q7=1,Q8&lt;Inputs!$C$84),0,INDEX(Inputs!$C$144:$G$144,1,Q7))</f>
        <v>1</v>
      </c>
      <c r="R96" s="20" t="n">
        <f aca="false">IF(AND(R7=1,R8&lt;Inputs!$C$84),0,INDEX(Inputs!$C$144:$G$144,1,R7))</f>
        <v>1</v>
      </c>
      <c r="S96" s="20" t="n">
        <f aca="false">IF(AND(S7=1,S8&lt;Inputs!$C$84),0,INDEX(Inputs!$C$144:$G$144,1,S7))</f>
        <v>1</v>
      </c>
      <c r="T96" s="20" t="n">
        <f aca="false">IF(AND(T7=1,T8&lt;Inputs!$C$84),0,INDEX(Inputs!$C$144:$G$144,1,T7))</f>
        <v>1</v>
      </c>
      <c r="U96" s="20" t="n">
        <f aca="false">IF(AND(U7=1,U8&lt;Inputs!$C$84),0,INDEX(Inputs!$C$144:$G$144,1,U7))</f>
        <v>1</v>
      </c>
      <c r="V96" s="20" t="n">
        <f aca="false">IF(AND(V7=1,V8&lt;Inputs!$C$84),0,INDEX(Inputs!$C$144:$G$144,1,V7))</f>
        <v>1</v>
      </c>
      <c r="W96" s="20" t="n">
        <f aca="false">IF(AND(W7=1,W8&lt;Inputs!$C$84),0,INDEX(Inputs!$C$144:$G$144,1,W7))</f>
        <v>1</v>
      </c>
      <c r="X96" s="20" t="n">
        <f aca="false">IF(AND(X7=1,X8&lt;Inputs!$C$84),0,INDEX(Inputs!$C$144:$G$144,1,X7))</f>
        <v>1</v>
      </c>
      <c r="Y96" s="20" t="n">
        <f aca="false">IF(AND(Y7=1,Y8&lt;Inputs!$C$84),0,INDEX(Inputs!$C$144:$G$144,1,Y7))</f>
        <v>1</v>
      </c>
      <c r="Z96" s="20" t="n">
        <f aca="false">IF(AND(Z7=1,Z8&lt;Inputs!$C$84),0,INDEX(Inputs!$C$144:$G$144,1,Z7))</f>
        <v>1</v>
      </c>
      <c r="AA96" s="20" t="n">
        <f aca="false">IF(AND(AA7=1,AA8&lt;Inputs!$C$84),0,INDEX(Inputs!$C$144:$G$144,1,AA7))</f>
        <v>1</v>
      </c>
      <c r="AB96" s="20" t="n">
        <f aca="false">IF(AND(AB7=1,AB8&lt;Inputs!$C$84),0,INDEX(Inputs!$C$144:$G$144,1,AB7))</f>
        <v>1</v>
      </c>
      <c r="AC96" s="20" t="n">
        <f aca="false">IF(AND(AC7=1,AC8&lt;Inputs!$C$84),0,INDEX(Inputs!$C$144:$G$144,1,AC7))</f>
        <v>1</v>
      </c>
      <c r="AD96" s="20" t="n">
        <f aca="false">IF(AND(AD7=1,AD8&lt;Inputs!$C$84),0,INDEX(Inputs!$C$144:$G$144,1,AD7))</f>
        <v>1</v>
      </c>
      <c r="AE96" s="20" t="n">
        <f aca="false">IF(AND(AE7=1,AE8&lt;Inputs!$C$84),0,INDEX(Inputs!$C$144:$G$144,1,AE7))</f>
        <v>1</v>
      </c>
      <c r="AF96" s="20" t="n">
        <f aca="false">IF(AND(AF7=1,AF8&lt;Inputs!$C$84),0,INDEX(Inputs!$C$144:$G$144,1,AF7))</f>
        <v>1</v>
      </c>
      <c r="AG96" s="20" t="n">
        <f aca="false">IF(AND(AG7=1,AG8&lt;Inputs!$C$84),0,INDEX(Inputs!$C$144:$G$144,1,AG7))</f>
        <v>1</v>
      </c>
      <c r="AH96" s="20" t="n">
        <f aca="false">IF(AND(AH7=1,AH8&lt;Inputs!$C$84),0,INDEX(Inputs!$C$144:$G$144,1,AH7))</f>
        <v>1</v>
      </c>
      <c r="AI96" s="20" t="n">
        <f aca="false">IF(AND(AI7=1,AI8&lt;Inputs!$C$84),0,INDEX(Inputs!$C$144:$G$144,1,AI7))</f>
        <v>1</v>
      </c>
      <c r="AJ96" s="20" t="n">
        <f aca="false">IF(AND(AJ7=1,AJ8&lt;Inputs!$C$84),0,INDEX(Inputs!$C$144:$G$144,1,AJ7))</f>
        <v>1</v>
      </c>
      <c r="AK96" s="20" t="n">
        <f aca="false">IF(AND(AK7=1,AK8&lt;Inputs!$C$84),0,INDEX(Inputs!$C$144:$G$144,1,AK7))</f>
        <v>1</v>
      </c>
      <c r="AL96" s="20" t="n">
        <f aca="false">IF(AND(AL7=1,AL8&lt;Inputs!$C$84),0,INDEX(Inputs!$C$144:$G$144,1,AL7))</f>
        <v>1</v>
      </c>
      <c r="AM96" s="20" t="n">
        <f aca="false">IF(AND(AM7=1,AM8&lt;Inputs!$C$84),0,INDEX(Inputs!$C$144:$G$144,1,AM7))</f>
        <v>1</v>
      </c>
      <c r="AN96" s="20" t="n">
        <f aca="false">IF(AND(AN7=1,AN8&lt;Inputs!$C$84),0,INDEX(Inputs!$C$144:$G$144,1,AN7))</f>
        <v>1</v>
      </c>
      <c r="AO96" s="20" t="n">
        <f aca="false">IF(AND(AO7=1,AO8&lt;Inputs!$C$84),0,INDEX(Inputs!$C$144:$G$144,1,AO7))</f>
        <v>1</v>
      </c>
      <c r="AP96" s="20" t="n">
        <f aca="false">IF(AND(AP7=1,AP8&lt;Inputs!$C$84),0,INDEX(Inputs!$C$144:$G$144,1,AP7))</f>
        <v>1</v>
      </c>
      <c r="AQ96" s="20" t="n">
        <f aca="false">IF(AND(AQ7=1,AQ8&lt;Inputs!$C$84),0,INDEX(Inputs!$C$144:$G$144,1,AQ7))</f>
        <v>1</v>
      </c>
      <c r="AR96" s="20" t="n">
        <f aca="false">IF(AND(AR7=1,AR8&lt;Inputs!$C$84),0,INDEX(Inputs!$C$144:$G$144,1,AR7))</f>
        <v>1</v>
      </c>
      <c r="AS96" s="20" t="n">
        <f aca="false">IF(AND(AS7=1,AS8&lt;Inputs!$C$84),0,INDEX(Inputs!$C$144:$G$144,1,AS7))</f>
        <v>1</v>
      </c>
      <c r="AT96" s="20" t="n">
        <f aca="false">IF(AND(AT7=1,AT8&lt;Inputs!$C$84),0,INDEX(Inputs!$C$144:$G$144,1,AT7))</f>
        <v>1</v>
      </c>
      <c r="AU96" s="20" t="n">
        <f aca="false">IF(AND(AU7=1,AU8&lt;Inputs!$C$84),0,INDEX(Inputs!$C$144:$G$144,1,AU7))</f>
        <v>1</v>
      </c>
      <c r="AV96" s="20" t="n">
        <f aca="false">IF(AND(AV7=1,AV8&lt;Inputs!$C$84),0,INDEX(Inputs!$C$144:$G$144,1,AV7))</f>
        <v>1</v>
      </c>
      <c r="AW96" s="20" t="n">
        <f aca="false">IF(AND(AW7=1,AW8&lt;Inputs!$C$84),0,INDEX(Inputs!$C$144:$G$144,1,AW7))</f>
        <v>1</v>
      </c>
      <c r="AX96" s="20" t="n">
        <f aca="false">IF(AND(AX7=1,AX8&lt;Inputs!$C$84),0,INDEX(Inputs!$C$144:$G$144,1,AX7))</f>
        <v>1</v>
      </c>
      <c r="AY96" s="20" t="n">
        <f aca="false">IF(AND(AY7=1,AY8&lt;Inputs!$C$84),0,INDEX(Inputs!$C$144:$G$144,1,AY7))</f>
        <v>1</v>
      </c>
      <c r="AZ96" s="20" t="n">
        <f aca="false">IF(AND(AZ7=1,AZ8&lt;Inputs!$C$84),0,INDEX(Inputs!$C$144:$G$144,1,AZ7))</f>
        <v>2</v>
      </c>
      <c r="BA96" s="20" t="n">
        <f aca="false">IF(AND(BA7=1,BA8&lt;Inputs!$C$84),0,INDEX(Inputs!$C$144:$G$144,1,BA7))</f>
        <v>2</v>
      </c>
      <c r="BB96" s="20" t="n">
        <f aca="false">IF(AND(BB7=1,BB8&lt;Inputs!$C$84),0,INDEX(Inputs!$C$144:$G$144,1,BB7))</f>
        <v>2</v>
      </c>
      <c r="BC96" s="20" t="n">
        <f aca="false">IF(AND(BC7=1,BC8&lt;Inputs!$C$84),0,INDEX(Inputs!$C$144:$G$144,1,BC7))</f>
        <v>2</v>
      </c>
      <c r="BD96" s="20" t="n">
        <f aca="false">IF(AND(BD7=1,BD8&lt;Inputs!$C$84),0,INDEX(Inputs!$C$144:$G$144,1,BD7))</f>
        <v>2</v>
      </c>
      <c r="BE96" s="20" t="n">
        <f aca="false">IF(AND(BE7=1,BE8&lt;Inputs!$C$84),0,INDEX(Inputs!$C$144:$G$144,1,BE7))</f>
        <v>2</v>
      </c>
      <c r="BF96" s="20" t="n">
        <f aca="false">IF(AND(BF7=1,BF8&lt;Inputs!$C$84),0,INDEX(Inputs!$C$144:$G$144,1,BF7))</f>
        <v>2</v>
      </c>
      <c r="BG96" s="20" t="n">
        <f aca="false">IF(AND(BG7=1,BG8&lt;Inputs!$C$84),0,INDEX(Inputs!$C$144:$G$144,1,BG7))</f>
        <v>2</v>
      </c>
      <c r="BH96" s="20" t="n">
        <f aca="false">IF(AND(BH7=1,BH8&lt;Inputs!$C$84),0,INDEX(Inputs!$C$144:$G$144,1,BH7))</f>
        <v>2</v>
      </c>
      <c r="BI96" s="20" t="n">
        <f aca="false">IF(AND(BI7=1,BI8&lt;Inputs!$C$84),0,INDEX(Inputs!$C$144:$G$144,1,BI7))</f>
        <v>2</v>
      </c>
      <c r="BJ96" s="20" t="n">
        <f aca="false">IF(AND(BJ7=1,BJ8&lt;Inputs!$C$84),0,INDEX(Inputs!$C$144:$G$144,1,BJ7))</f>
        <v>2</v>
      </c>
      <c r="BK96" s="20" t="n">
        <f aca="false">IF(AND(BK7=1,BK8&lt;Inputs!$C$84),0,INDEX(Inputs!$C$144:$G$144,1,BK7))</f>
        <v>2</v>
      </c>
    </row>
    <row r="97" customFormat="false" ht="15" hidden="false" customHeight="true" outlineLevel="0" collapsed="false">
      <c r="A97" s="12" t="s">
        <v>1968</v>
      </c>
      <c r="B97" s="4" t="s">
        <v>725</v>
      </c>
      <c r="D97" s="20" t="n">
        <f aca="false">D13</f>
        <v>0</v>
      </c>
      <c r="E97" s="20" t="n">
        <f aca="false">E13</f>
        <v>0</v>
      </c>
      <c r="F97" s="20" t="n">
        <f aca="false">F13</f>
        <v>0</v>
      </c>
      <c r="G97" s="20" t="n">
        <f aca="false">G13</f>
        <v>1</v>
      </c>
      <c r="H97" s="20" t="n">
        <f aca="false">H13</f>
        <v>1</v>
      </c>
      <c r="I97" s="20" t="n">
        <f aca="false">I13</f>
        <v>1</v>
      </c>
      <c r="J97" s="20" t="n">
        <f aca="false">J13</f>
        <v>1</v>
      </c>
      <c r="K97" s="20" t="n">
        <f aca="false">K13</f>
        <v>1</v>
      </c>
      <c r="L97" s="20" t="n">
        <f aca="false">L13</f>
        <v>1</v>
      </c>
      <c r="M97" s="20" t="n">
        <f aca="false">M13</f>
        <v>1</v>
      </c>
      <c r="N97" s="20" t="n">
        <f aca="false">N13</f>
        <v>1</v>
      </c>
      <c r="O97" s="20" t="n">
        <f aca="false">O13</f>
        <v>1</v>
      </c>
      <c r="P97" s="20" t="n">
        <f aca="false">P13</f>
        <v>4</v>
      </c>
      <c r="Q97" s="20" t="n">
        <f aca="false">Q13</f>
        <v>4</v>
      </c>
      <c r="R97" s="20" t="n">
        <f aca="false">R13</f>
        <v>4</v>
      </c>
      <c r="S97" s="20" t="n">
        <f aca="false">S13</f>
        <v>4</v>
      </c>
      <c r="T97" s="20" t="n">
        <f aca="false">T13</f>
        <v>4</v>
      </c>
      <c r="U97" s="20" t="n">
        <f aca="false">U13</f>
        <v>4</v>
      </c>
      <c r="V97" s="20" t="n">
        <f aca="false">V13</f>
        <v>4</v>
      </c>
      <c r="W97" s="20" t="n">
        <f aca="false">W13</f>
        <v>4</v>
      </c>
      <c r="X97" s="20" t="n">
        <f aca="false">X13</f>
        <v>4</v>
      </c>
      <c r="Y97" s="20" t="n">
        <f aca="false">Y13</f>
        <v>4</v>
      </c>
      <c r="Z97" s="20" t="n">
        <f aca="false">Z13</f>
        <v>4</v>
      </c>
      <c r="AA97" s="20" t="n">
        <f aca="false">AA13</f>
        <v>4</v>
      </c>
      <c r="AB97" s="20" t="n">
        <f aca="false">AB13</f>
        <v>10</v>
      </c>
      <c r="AC97" s="20" t="n">
        <f aca="false">AC13</f>
        <v>10</v>
      </c>
      <c r="AD97" s="20" t="n">
        <f aca="false">AD13</f>
        <v>10</v>
      </c>
      <c r="AE97" s="20" t="n">
        <f aca="false">AE13</f>
        <v>10</v>
      </c>
      <c r="AF97" s="20" t="n">
        <f aca="false">AF13</f>
        <v>10</v>
      </c>
      <c r="AG97" s="20" t="n">
        <f aca="false">AG13</f>
        <v>10</v>
      </c>
      <c r="AH97" s="20" t="n">
        <f aca="false">AH13</f>
        <v>10</v>
      </c>
      <c r="AI97" s="20" t="n">
        <f aca="false">AI13</f>
        <v>10</v>
      </c>
      <c r="AJ97" s="20" t="n">
        <f aca="false">AJ13</f>
        <v>10</v>
      </c>
      <c r="AK97" s="20" t="n">
        <f aca="false">AK13</f>
        <v>10</v>
      </c>
      <c r="AL97" s="20" t="n">
        <f aca="false">AL13</f>
        <v>10</v>
      </c>
      <c r="AM97" s="20" t="n">
        <f aca="false">AM13</f>
        <v>10</v>
      </c>
      <c r="AN97" s="20" t="n">
        <f aca="false">AN13</f>
        <v>18</v>
      </c>
      <c r="AO97" s="20" t="n">
        <f aca="false">AO13</f>
        <v>18</v>
      </c>
      <c r="AP97" s="20" t="n">
        <f aca="false">AP13</f>
        <v>18</v>
      </c>
      <c r="AQ97" s="20" t="n">
        <f aca="false">AQ13</f>
        <v>18</v>
      </c>
      <c r="AR97" s="20" t="n">
        <f aca="false">AR13</f>
        <v>18</v>
      </c>
      <c r="AS97" s="20" t="n">
        <f aca="false">AS13</f>
        <v>18</v>
      </c>
      <c r="AT97" s="20" t="n">
        <f aca="false">AT13</f>
        <v>18</v>
      </c>
      <c r="AU97" s="20" t="n">
        <f aca="false">AU13</f>
        <v>18</v>
      </c>
      <c r="AV97" s="20" t="n">
        <f aca="false">AV13</f>
        <v>18</v>
      </c>
      <c r="AW97" s="20" t="n">
        <f aca="false">AW13</f>
        <v>18</v>
      </c>
      <c r="AX97" s="20" t="n">
        <f aca="false">AX13</f>
        <v>18</v>
      </c>
      <c r="AY97" s="20" t="n">
        <f aca="false">AY13</f>
        <v>18</v>
      </c>
      <c r="AZ97" s="20" t="n">
        <f aca="false">AZ13</f>
        <v>25</v>
      </c>
      <c r="BA97" s="20" t="n">
        <f aca="false">BA13</f>
        <v>25</v>
      </c>
      <c r="BB97" s="20" t="n">
        <f aca="false">BB13</f>
        <v>25</v>
      </c>
      <c r="BC97" s="20" t="n">
        <f aca="false">BC13</f>
        <v>25</v>
      </c>
      <c r="BD97" s="20" t="n">
        <f aca="false">BD13</f>
        <v>25</v>
      </c>
      <c r="BE97" s="20" t="n">
        <f aca="false">BE13</f>
        <v>25</v>
      </c>
      <c r="BF97" s="20" t="n">
        <f aca="false">BF13</f>
        <v>25</v>
      </c>
      <c r="BG97" s="20" t="n">
        <f aca="false">BG13</f>
        <v>25</v>
      </c>
      <c r="BH97" s="20" t="n">
        <f aca="false">BH13</f>
        <v>25</v>
      </c>
      <c r="BI97" s="20" t="n">
        <f aca="false">BI13</f>
        <v>25</v>
      </c>
      <c r="BJ97" s="20" t="n">
        <f aca="false">BJ13</f>
        <v>25</v>
      </c>
      <c r="BK97" s="20" t="n">
        <f aca="false">BK13</f>
        <v>25</v>
      </c>
    </row>
    <row r="98" customFormat="false" ht="15" hidden="false" customHeight="true" outlineLevel="0" collapsed="false">
      <c r="A98" s="12" t="s">
        <v>1969</v>
      </c>
      <c r="B98" s="4" t="s">
        <v>725</v>
      </c>
      <c r="D98" s="20" t="n">
        <f aca="false">IF(D13&gt;0,ROUNDUP(D13/Inputs!$C$83,0),0)</f>
        <v>0</v>
      </c>
      <c r="E98" s="20" t="n">
        <f aca="false">IF(E13&gt;0,ROUNDUP(E13/Inputs!$C$83,0),0)</f>
        <v>0</v>
      </c>
      <c r="F98" s="20" t="n">
        <f aca="false">IF(F13&gt;0,ROUNDUP(F13/Inputs!$C$83,0),0)</f>
        <v>0</v>
      </c>
      <c r="G98" s="20" t="n">
        <f aca="false">IF(G13&gt;0,ROUNDUP(G13/Inputs!$C$83,0),0)</f>
        <v>1</v>
      </c>
      <c r="H98" s="20" t="n">
        <f aca="false">IF(H13&gt;0,ROUNDUP(H13/Inputs!$C$83,0),0)</f>
        <v>1</v>
      </c>
      <c r="I98" s="20" t="n">
        <f aca="false">IF(I13&gt;0,ROUNDUP(I13/Inputs!$C$83,0),0)</f>
        <v>1</v>
      </c>
      <c r="J98" s="20" t="n">
        <f aca="false">IF(J13&gt;0,ROUNDUP(J13/Inputs!$C$83,0),0)</f>
        <v>1</v>
      </c>
      <c r="K98" s="20" t="n">
        <f aca="false">IF(K13&gt;0,ROUNDUP(K13/Inputs!$C$83,0),0)</f>
        <v>1</v>
      </c>
      <c r="L98" s="20" t="n">
        <f aca="false">IF(L13&gt;0,ROUNDUP(L13/Inputs!$C$83,0),0)</f>
        <v>1</v>
      </c>
      <c r="M98" s="20" t="n">
        <f aca="false">IF(M13&gt;0,ROUNDUP(M13/Inputs!$C$83,0),0)</f>
        <v>1</v>
      </c>
      <c r="N98" s="20" t="n">
        <f aca="false">IF(N13&gt;0,ROUNDUP(N13/Inputs!$C$83,0),0)</f>
        <v>1</v>
      </c>
      <c r="O98" s="20" t="n">
        <f aca="false">IF(O13&gt;0,ROUNDUP(O13/Inputs!$C$83,0),0)</f>
        <v>1</v>
      </c>
      <c r="P98" s="20" t="n">
        <f aca="false">IF(P13&gt;0,ROUNDUP(P13/Inputs!$C$83,0),0)</f>
        <v>2</v>
      </c>
      <c r="Q98" s="20" t="n">
        <f aca="false">IF(Q13&gt;0,ROUNDUP(Q13/Inputs!$C$83,0),0)</f>
        <v>2</v>
      </c>
      <c r="R98" s="20" t="n">
        <f aca="false">IF(R13&gt;0,ROUNDUP(R13/Inputs!$C$83,0),0)</f>
        <v>2</v>
      </c>
      <c r="S98" s="20" t="n">
        <f aca="false">IF(S13&gt;0,ROUNDUP(S13/Inputs!$C$83,0),0)</f>
        <v>2</v>
      </c>
      <c r="T98" s="20" t="n">
        <f aca="false">IF(T13&gt;0,ROUNDUP(T13/Inputs!$C$83,0),0)</f>
        <v>2</v>
      </c>
      <c r="U98" s="20" t="n">
        <f aca="false">IF(U13&gt;0,ROUNDUP(U13/Inputs!$C$83,0),0)</f>
        <v>2</v>
      </c>
      <c r="V98" s="20" t="n">
        <f aca="false">IF(V13&gt;0,ROUNDUP(V13/Inputs!$C$83,0),0)</f>
        <v>2</v>
      </c>
      <c r="W98" s="20" t="n">
        <f aca="false">IF(W13&gt;0,ROUNDUP(W13/Inputs!$C$83,0),0)</f>
        <v>2</v>
      </c>
      <c r="X98" s="20" t="n">
        <f aca="false">IF(X13&gt;0,ROUNDUP(X13/Inputs!$C$83,0),0)</f>
        <v>2</v>
      </c>
      <c r="Y98" s="20" t="n">
        <f aca="false">IF(Y13&gt;0,ROUNDUP(Y13/Inputs!$C$83,0),0)</f>
        <v>2</v>
      </c>
      <c r="Z98" s="20" t="n">
        <f aca="false">IF(Z13&gt;0,ROUNDUP(Z13/Inputs!$C$83,0),0)</f>
        <v>2</v>
      </c>
      <c r="AA98" s="20" t="n">
        <f aca="false">IF(AA13&gt;0,ROUNDUP(AA13/Inputs!$C$83,0),0)</f>
        <v>2</v>
      </c>
      <c r="AB98" s="20" t="n">
        <f aca="false">IF(AB13&gt;0,ROUNDUP(AB13/Inputs!$C$83,0),0)</f>
        <v>4</v>
      </c>
      <c r="AC98" s="20" t="n">
        <f aca="false">IF(AC13&gt;0,ROUNDUP(AC13/Inputs!$C$83,0),0)</f>
        <v>4</v>
      </c>
      <c r="AD98" s="20" t="n">
        <f aca="false">IF(AD13&gt;0,ROUNDUP(AD13/Inputs!$C$83,0),0)</f>
        <v>4</v>
      </c>
      <c r="AE98" s="20" t="n">
        <f aca="false">IF(AE13&gt;0,ROUNDUP(AE13/Inputs!$C$83,0),0)</f>
        <v>4</v>
      </c>
      <c r="AF98" s="20" t="n">
        <f aca="false">IF(AF13&gt;0,ROUNDUP(AF13/Inputs!$C$83,0),0)</f>
        <v>4</v>
      </c>
      <c r="AG98" s="20" t="n">
        <f aca="false">IF(AG13&gt;0,ROUNDUP(AG13/Inputs!$C$83,0),0)</f>
        <v>4</v>
      </c>
      <c r="AH98" s="20" t="n">
        <f aca="false">IF(AH13&gt;0,ROUNDUP(AH13/Inputs!$C$83,0),0)</f>
        <v>4</v>
      </c>
      <c r="AI98" s="20" t="n">
        <f aca="false">IF(AI13&gt;0,ROUNDUP(AI13/Inputs!$C$83,0),0)</f>
        <v>4</v>
      </c>
      <c r="AJ98" s="20" t="n">
        <f aca="false">IF(AJ13&gt;0,ROUNDUP(AJ13/Inputs!$C$83,0),0)</f>
        <v>4</v>
      </c>
      <c r="AK98" s="20" t="n">
        <f aca="false">IF(AK13&gt;0,ROUNDUP(AK13/Inputs!$C$83,0),0)</f>
        <v>4</v>
      </c>
      <c r="AL98" s="20" t="n">
        <f aca="false">IF(AL13&gt;0,ROUNDUP(AL13/Inputs!$C$83,0),0)</f>
        <v>4</v>
      </c>
      <c r="AM98" s="20" t="n">
        <f aca="false">IF(AM13&gt;0,ROUNDUP(AM13/Inputs!$C$83,0),0)</f>
        <v>4</v>
      </c>
      <c r="AN98" s="20" t="n">
        <f aca="false">IF(AN13&gt;0,ROUNDUP(AN13/Inputs!$C$83,0),0)</f>
        <v>6</v>
      </c>
      <c r="AO98" s="20" t="n">
        <f aca="false">IF(AO13&gt;0,ROUNDUP(AO13/Inputs!$C$83,0),0)</f>
        <v>6</v>
      </c>
      <c r="AP98" s="20" t="n">
        <f aca="false">IF(AP13&gt;0,ROUNDUP(AP13/Inputs!$C$83,0),0)</f>
        <v>6</v>
      </c>
      <c r="AQ98" s="20" t="n">
        <f aca="false">IF(AQ13&gt;0,ROUNDUP(AQ13/Inputs!$C$83,0),0)</f>
        <v>6</v>
      </c>
      <c r="AR98" s="20" t="n">
        <f aca="false">IF(AR13&gt;0,ROUNDUP(AR13/Inputs!$C$83,0),0)</f>
        <v>6</v>
      </c>
      <c r="AS98" s="20" t="n">
        <f aca="false">IF(AS13&gt;0,ROUNDUP(AS13/Inputs!$C$83,0),0)</f>
        <v>6</v>
      </c>
      <c r="AT98" s="20" t="n">
        <f aca="false">IF(AT13&gt;0,ROUNDUP(AT13/Inputs!$C$83,0),0)</f>
        <v>6</v>
      </c>
      <c r="AU98" s="20" t="n">
        <f aca="false">IF(AU13&gt;0,ROUNDUP(AU13/Inputs!$C$83,0),0)</f>
        <v>6</v>
      </c>
      <c r="AV98" s="20" t="n">
        <f aca="false">IF(AV13&gt;0,ROUNDUP(AV13/Inputs!$C$83,0),0)</f>
        <v>6</v>
      </c>
      <c r="AW98" s="20" t="n">
        <f aca="false">IF(AW13&gt;0,ROUNDUP(AW13/Inputs!$C$83,0),0)</f>
        <v>6</v>
      </c>
      <c r="AX98" s="20" t="n">
        <f aca="false">IF(AX13&gt;0,ROUNDUP(AX13/Inputs!$C$83,0),0)</f>
        <v>6</v>
      </c>
      <c r="AY98" s="20" t="n">
        <f aca="false">IF(AY13&gt;0,ROUNDUP(AY13/Inputs!$C$83,0),0)</f>
        <v>6</v>
      </c>
      <c r="AZ98" s="20" t="n">
        <f aca="false">IF(AZ13&gt;0,ROUNDUP(AZ13/Inputs!$C$83,0),0)</f>
        <v>9</v>
      </c>
      <c r="BA98" s="20" t="n">
        <f aca="false">IF(BA13&gt;0,ROUNDUP(BA13/Inputs!$C$83,0),0)</f>
        <v>9</v>
      </c>
      <c r="BB98" s="20" t="n">
        <f aca="false">IF(BB13&gt;0,ROUNDUP(BB13/Inputs!$C$83,0),0)</f>
        <v>9</v>
      </c>
      <c r="BC98" s="20" t="n">
        <f aca="false">IF(BC13&gt;0,ROUNDUP(BC13/Inputs!$C$83,0),0)</f>
        <v>9</v>
      </c>
      <c r="BD98" s="20" t="n">
        <f aca="false">IF(BD13&gt;0,ROUNDUP(BD13/Inputs!$C$83,0),0)</f>
        <v>9</v>
      </c>
      <c r="BE98" s="20" t="n">
        <f aca="false">IF(BE13&gt;0,ROUNDUP(BE13/Inputs!$C$83,0),0)</f>
        <v>9</v>
      </c>
      <c r="BF98" s="20" t="n">
        <f aca="false">IF(BF13&gt;0,ROUNDUP(BF13/Inputs!$C$83,0),0)</f>
        <v>9</v>
      </c>
      <c r="BG98" s="20" t="n">
        <f aca="false">IF(BG13&gt;0,ROUNDUP(BG13/Inputs!$C$83,0),0)</f>
        <v>9</v>
      </c>
      <c r="BH98" s="20" t="n">
        <f aca="false">IF(BH13&gt;0,ROUNDUP(BH13/Inputs!$C$83,0),0)</f>
        <v>9</v>
      </c>
      <c r="BI98" s="20" t="n">
        <f aca="false">IF(BI13&gt;0,ROUNDUP(BI13/Inputs!$C$83,0),0)</f>
        <v>9</v>
      </c>
      <c r="BJ98" s="20" t="n">
        <f aca="false">IF(BJ13&gt;0,ROUNDUP(BJ13/Inputs!$C$83,0),0)</f>
        <v>9</v>
      </c>
      <c r="BK98" s="20" t="n">
        <f aca="false">IF(BK13&gt;0,ROUNDUP(BK13/Inputs!$C$83,0),0)</f>
        <v>9</v>
      </c>
    </row>
    <row r="99" customFormat="false" ht="15" hidden="false" customHeight="true" outlineLevel="0" collapsed="false">
      <c r="A99" s="12" t="s">
        <v>1970</v>
      </c>
      <c r="B99" s="4" t="s">
        <v>725</v>
      </c>
      <c r="D99" s="20" t="n">
        <f aca="false">IF(AND(D7=1,D8&lt;Inputs!$C$84),0,INDEX(Inputs!$C$145:$G$145,1,D7))</f>
        <v>0</v>
      </c>
      <c r="E99" s="20" t="n">
        <f aca="false">IF(AND(E7=1,E8&lt;Inputs!$C$84),0,INDEX(Inputs!$C$145:$G$145,1,E7))</f>
        <v>0</v>
      </c>
      <c r="F99" s="20" t="n">
        <f aca="false">IF(AND(F7=1,F8&lt;Inputs!$C$84),0,INDEX(Inputs!$C$145:$G$145,1,F7))</f>
        <v>0</v>
      </c>
      <c r="G99" s="20" t="n">
        <f aca="false">IF(AND(G7=1,G8&lt;Inputs!$C$84),0,INDEX(Inputs!$C$145:$G$145,1,G7))</f>
        <v>0</v>
      </c>
      <c r="H99" s="20" t="n">
        <f aca="false">IF(AND(H7=1,H8&lt;Inputs!$C$84),0,INDEX(Inputs!$C$145:$G$145,1,H7))</f>
        <v>0</v>
      </c>
      <c r="I99" s="20" t="n">
        <f aca="false">IF(AND(I7=1,I8&lt;Inputs!$C$84),0,INDEX(Inputs!$C$145:$G$145,1,I7))</f>
        <v>0</v>
      </c>
      <c r="J99" s="20" t="n">
        <f aca="false">IF(AND(J7=1,J8&lt;Inputs!$C$84),0,INDEX(Inputs!$C$145:$G$145,1,J7))</f>
        <v>0</v>
      </c>
      <c r="K99" s="20" t="n">
        <f aca="false">IF(AND(K7=1,K8&lt;Inputs!$C$84),0,INDEX(Inputs!$C$145:$G$145,1,K7))</f>
        <v>0</v>
      </c>
      <c r="L99" s="20" t="n">
        <f aca="false">IF(AND(L7=1,L8&lt;Inputs!$C$84),0,INDEX(Inputs!$C$145:$G$145,1,L7))</f>
        <v>0</v>
      </c>
      <c r="M99" s="20" t="n">
        <f aca="false">IF(AND(M7=1,M8&lt;Inputs!$C$84),0,INDEX(Inputs!$C$145:$G$145,1,M7))</f>
        <v>0</v>
      </c>
      <c r="N99" s="20" t="n">
        <f aca="false">IF(AND(N7=1,N8&lt;Inputs!$C$84),0,INDEX(Inputs!$C$145:$G$145,1,N7))</f>
        <v>0</v>
      </c>
      <c r="O99" s="20" t="n">
        <f aca="false">IF(AND(O7=1,O8&lt;Inputs!$C$84),0,INDEX(Inputs!$C$145:$G$145,1,O7))</f>
        <v>0</v>
      </c>
      <c r="P99" s="20" t="n">
        <f aca="false">IF(AND(P7=1,P8&lt;Inputs!$C$84),0,INDEX(Inputs!$C$145:$G$145,1,P7))</f>
        <v>0</v>
      </c>
      <c r="Q99" s="20" t="n">
        <f aca="false">IF(AND(Q7=1,Q8&lt;Inputs!$C$84),0,INDEX(Inputs!$C$145:$G$145,1,Q7))</f>
        <v>0</v>
      </c>
      <c r="R99" s="20" t="n">
        <f aca="false">IF(AND(R7=1,R8&lt;Inputs!$C$84),0,INDEX(Inputs!$C$145:$G$145,1,R7))</f>
        <v>0</v>
      </c>
      <c r="S99" s="20" t="n">
        <f aca="false">IF(AND(S7=1,S8&lt;Inputs!$C$84),0,INDEX(Inputs!$C$145:$G$145,1,S7))</f>
        <v>0</v>
      </c>
      <c r="T99" s="20" t="n">
        <f aca="false">IF(AND(T7=1,T8&lt;Inputs!$C$84),0,INDEX(Inputs!$C$145:$G$145,1,T7))</f>
        <v>0</v>
      </c>
      <c r="U99" s="20" t="n">
        <f aca="false">IF(AND(U7=1,U8&lt;Inputs!$C$84),0,INDEX(Inputs!$C$145:$G$145,1,U7))</f>
        <v>0</v>
      </c>
      <c r="V99" s="20" t="n">
        <f aca="false">IF(AND(V7=1,V8&lt;Inputs!$C$84),0,INDEX(Inputs!$C$145:$G$145,1,V7))</f>
        <v>0</v>
      </c>
      <c r="W99" s="20" t="n">
        <f aca="false">IF(AND(W7=1,W8&lt;Inputs!$C$84),0,INDEX(Inputs!$C$145:$G$145,1,W7))</f>
        <v>0</v>
      </c>
      <c r="X99" s="20" t="n">
        <f aca="false">IF(AND(X7=1,X8&lt;Inputs!$C$84),0,INDEX(Inputs!$C$145:$G$145,1,X7))</f>
        <v>0</v>
      </c>
      <c r="Y99" s="20" t="n">
        <f aca="false">IF(AND(Y7=1,Y8&lt;Inputs!$C$84),0,INDEX(Inputs!$C$145:$G$145,1,Y7))</f>
        <v>0</v>
      </c>
      <c r="Z99" s="20" t="n">
        <f aca="false">IF(AND(Z7=1,Z8&lt;Inputs!$C$84),0,INDEX(Inputs!$C$145:$G$145,1,Z7))</f>
        <v>0</v>
      </c>
      <c r="AA99" s="20" t="n">
        <f aca="false">IF(AND(AA7=1,AA8&lt;Inputs!$C$84),0,INDEX(Inputs!$C$145:$G$145,1,AA7))</f>
        <v>0</v>
      </c>
      <c r="AB99" s="20" t="n">
        <f aca="false">IF(AND(AB7=1,AB8&lt;Inputs!$C$84),0,INDEX(Inputs!$C$145:$G$145,1,AB7))</f>
        <v>1</v>
      </c>
      <c r="AC99" s="20" t="n">
        <f aca="false">IF(AND(AC7=1,AC8&lt;Inputs!$C$84),0,INDEX(Inputs!$C$145:$G$145,1,AC7))</f>
        <v>1</v>
      </c>
      <c r="AD99" s="20" t="n">
        <f aca="false">IF(AND(AD7=1,AD8&lt;Inputs!$C$84),0,INDEX(Inputs!$C$145:$G$145,1,AD7))</f>
        <v>1</v>
      </c>
      <c r="AE99" s="20" t="n">
        <f aca="false">IF(AND(AE7=1,AE8&lt;Inputs!$C$84),0,INDEX(Inputs!$C$145:$G$145,1,AE7))</f>
        <v>1</v>
      </c>
      <c r="AF99" s="20" t="n">
        <f aca="false">IF(AND(AF7=1,AF8&lt;Inputs!$C$84),0,INDEX(Inputs!$C$145:$G$145,1,AF7))</f>
        <v>1</v>
      </c>
      <c r="AG99" s="20" t="n">
        <f aca="false">IF(AND(AG7=1,AG8&lt;Inputs!$C$84),0,INDEX(Inputs!$C$145:$G$145,1,AG7))</f>
        <v>1</v>
      </c>
      <c r="AH99" s="20" t="n">
        <f aca="false">IF(AND(AH7=1,AH8&lt;Inputs!$C$84),0,INDEX(Inputs!$C$145:$G$145,1,AH7))</f>
        <v>1</v>
      </c>
      <c r="AI99" s="20" t="n">
        <f aca="false">IF(AND(AI7=1,AI8&lt;Inputs!$C$84),0,INDEX(Inputs!$C$145:$G$145,1,AI7))</f>
        <v>1</v>
      </c>
      <c r="AJ99" s="20" t="n">
        <f aca="false">IF(AND(AJ7=1,AJ8&lt;Inputs!$C$84),0,INDEX(Inputs!$C$145:$G$145,1,AJ7))</f>
        <v>1</v>
      </c>
      <c r="AK99" s="20" t="n">
        <f aca="false">IF(AND(AK7=1,AK8&lt;Inputs!$C$84),0,INDEX(Inputs!$C$145:$G$145,1,AK7))</f>
        <v>1</v>
      </c>
      <c r="AL99" s="20" t="n">
        <f aca="false">IF(AND(AL7=1,AL8&lt;Inputs!$C$84),0,INDEX(Inputs!$C$145:$G$145,1,AL7))</f>
        <v>1</v>
      </c>
      <c r="AM99" s="20" t="n">
        <f aca="false">IF(AND(AM7=1,AM8&lt;Inputs!$C$84),0,INDEX(Inputs!$C$145:$G$145,1,AM7))</f>
        <v>1</v>
      </c>
      <c r="AN99" s="20" t="n">
        <f aca="false">IF(AND(AN7=1,AN8&lt;Inputs!$C$84),0,INDEX(Inputs!$C$145:$G$145,1,AN7))</f>
        <v>1</v>
      </c>
      <c r="AO99" s="20" t="n">
        <f aca="false">IF(AND(AO7=1,AO8&lt;Inputs!$C$84),0,INDEX(Inputs!$C$145:$G$145,1,AO7))</f>
        <v>1</v>
      </c>
      <c r="AP99" s="20" t="n">
        <f aca="false">IF(AND(AP7=1,AP8&lt;Inputs!$C$84),0,INDEX(Inputs!$C$145:$G$145,1,AP7))</f>
        <v>1</v>
      </c>
      <c r="AQ99" s="20" t="n">
        <f aca="false">IF(AND(AQ7=1,AQ8&lt;Inputs!$C$84),0,INDEX(Inputs!$C$145:$G$145,1,AQ7))</f>
        <v>1</v>
      </c>
      <c r="AR99" s="20" t="n">
        <f aca="false">IF(AND(AR7=1,AR8&lt;Inputs!$C$84),0,INDEX(Inputs!$C$145:$G$145,1,AR7))</f>
        <v>1</v>
      </c>
      <c r="AS99" s="20" t="n">
        <f aca="false">IF(AND(AS7=1,AS8&lt;Inputs!$C$84),0,INDEX(Inputs!$C$145:$G$145,1,AS7))</f>
        <v>1</v>
      </c>
      <c r="AT99" s="20" t="n">
        <f aca="false">IF(AND(AT7=1,AT8&lt;Inputs!$C$84),0,INDEX(Inputs!$C$145:$G$145,1,AT7))</f>
        <v>1</v>
      </c>
      <c r="AU99" s="20" t="n">
        <f aca="false">IF(AND(AU7=1,AU8&lt;Inputs!$C$84),0,INDEX(Inputs!$C$145:$G$145,1,AU7))</f>
        <v>1</v>
      </c>
      <c r="AV99" s="20" t="n">
        <f aca="false">IF(AND(AV7=1,AV8&lt;Inputs!$C$84),0,INDEX(Inputs!$C$145:$G$145,1,AV7))</f>
        <v>1</v>
      </c>
      <c r="AW99" s="20" t="n">
        <f aca="false">IF(AND(AW7=1,AW8&lt;Inputs!$C$84),0,INDEX(Inputs!$C$145:$G$145,1,AW7))</f>
        <v>1</v>
      </c>
      <c r="AX99" s="20" t="n">
        <f aca="false">IF(AND(AX7=1,AX8&lt;Inputs!$C$84),0,INDEX(Inputs!$C$145:$G$145,1,AX7))</f>
        <v>1</v>
      </c>
      <c r="AY99" s="20" t="n">
        <f aca="false">IF(AND(AY7=1,AY8&lt;Inputs!$C$84),0,INDEX(Inputs!$C$145:$G$145,1,AY7))</f>
        <v>1</v>
      </c>
      <c r="AZ99" s="20" t="n">
        <f aca="false">IF(AND(AZ7=1,AZ8&lt;Inputs!$C$84),0,INDEX(Inputs!$C$145:$G$145,1,AZ7))</f>
        <v>2</v>
      </c>
      <c r="BA99" s="20" t="n">
        <f aca="false">IF(AND(BA7=1,BA8&lt;Inputs!$C$84),0,INDEX(Inputs!$C$145:$G$145,1,BA7))</f>
        <v>2</v>
      </c>
      <c r="BB99" s="20" t="n">
        <f aca="false">IF(AND(BB7=1,BB8&lt;Inputs!$C$84),0,INDEX(Inputs!$C$145:$G$145,1,BB7))</f>
        <v>2</v>
      </c>
      <c r="BC99" s="20" t="n">
        <f aca="false">IF(AND(BC7=1,BC8&lt;Inputs!$C$84),0,INDEX(Inputs!$C$145:$G$145,1,BC7))</f>
        <v>2</v>
      </c>
      <c r="BD99" s="20" t="n">
        <f aca="false">IF(AND(BD7=1,BD8&lt;Inputs!$C$84),0,INDEX(Inputs!$C$145:$G$145,1,BD7))</f>
        <v>2</v>
      </c>
      <c r="BE99" s="20" t="n">
        <f aca="false">IF(AND(BE7=1,BE8&lt;Inputs!$C$84),0,INDEX(Inputs!$C$145:$G$145,1,BE7))</f>
        <v>2</v>
      </c>
      <c r="BF99" s="20" t="n">
        <f aca="false">IF(AND(BF7=1,BF8&lt;Inputs!$C$84),0,INDEX(Inputs!$C$145:$G$145,1,BF7))</f>
        <v>2</v>
      </c>
      <c r="BG99" s="20" t="n">
        <f aca="false">IF(AND(BG7=1,BG8&lt;Inputs!$C$84),0,INDEX(Inputs!$C$145:$G$145,1,BG7))</f>
        <v>2</v>
      </c>
      <c r="BH99" s="20" t="n">
        <f aca="false">IF(AND(BH7=1,BH8&lt;Inputs!$C$84),0,INDEX(Inputs!$C$145:$G$145,1,BH7))</f>
        <v>2</v>
      </c>
      <c r="BI99" s="20" t="n">
        <f aca="false">IF(AND(BI7=1,BI8&lt;Inputs!$C$84),0,INDEX(Inputs!$C$145:$G$145,1,BI7))</f>
        <v>2</v>
      </c>
      <c r="BJ99" s="20" t="n">
        <f aca="false">IF(AND(BJ7=1,BJ8&lt;Inputs!$C$84),0,INDEX(Inputs!$C$145:$G$145,1,BJ7))</f>
        <v>2</v>
      </c>
      <c r="BK99" s="20" t="n">
        <f aca="false">IF(AND(BK7=1,BK8&lt;Inputs!$C$84),0,INDEX(Inputs!$C$145:$G$145,1,BK7))</f>
        <v>2</v>
      </c>
    </row>
    <row r="100" customFormat="false" ht="15" hidden="false" customHeight="true" outlineLevel="0" collapsed="false">
      <c r="A100" s="12" t="s">
        <v>1971</v>
      </c>
      <c r="B100" s="4" t="s">
        <v>725</v>
      </c>
      <c r="D100" s="20" t="n">
        <f aca="false">IF(AND(D7=1,D8&lt;Inputs!$C$84),0,INDEX(Inputs!$C$146:$G$146,1,D7))</f>
        <v>0</v>
      </c>
      <c r="E100" s="20" t="n">
        <f aca="false">IF(AND(E7=1,E8&lt;Inputs!$C$84),0,INDEX(Inputs!$C$146:$G$146,1,E7))</f>
        <v>0</v>
      </c>
      <c r="F100" s="20" t="n">
        <f aca="false">IF(AND(F7=1,F8&lt;Inputs!$C$84),0,INDEX(Inputs!$C$146:$G$146,1,F7))</f>
        <v>0</v>
      </c>
      <c r="G100" s="20" t="n">
        <f aca="false">IF(AND(G7=1,G8&lt;Inputs!$C$84),0,INDEX(Inputs!$C$146:$G$146,1,G7))</f>
        <v>0</v>
      </c>
      <c r="H100" s="20" t="n">
        <f aca="false">IF(AND(H7=1,H8&lt;Inputs!$C$84),0,INDEX(Inputs!$C$146:$G$146,1,H7))</f>
        <v>0</v>
      </c>
      <c r="I100" s="20" t="n">
        <f aca="false">IF(AND(I7=1,I8&lt;Inputs!$C$84),0,INDEX(Inputs!$C$146:$G$146,1,I7))</f>
        <v>0</v>
      </c>
      <c r="J100" s="20" t="n">
        <f aca="false">IF(AND(J7=1,J8&lt;Inputs!$C$84),0,INDEX(Inputs!$C$146:$G$146,1,J7))</f>
        <v>0</v>
      </c>
      <c r="K100" s="20" t="n">
        <f aca="false">IF(AND(K7=1,K8&lt;Inputs!$C$84),0,INDEX(Inputs!$C$146:$G$146,1,K7))</f>
        <v>0</v>
      </c>
      <c r="L100" s="20" t="n">
        <f aca="false">IF(AND(L7=1,L8&lt;Inputs!$C$84),0,INDEX(Inputs!$C$146:$G$146,1,L7))</f>
        <v>0</v>
      </c>
      <c r="M100" s="20" t="n">
        <f aca="false">IF(AND(M7=1,M8&lt;Inputs!$C$84),0,INDEX(Inputs!$C$146:$G$146,1,M7))</f>
        <v>0</v>
      </c>
      <c r="N100" s="20" t="n">
        <f aca="false">IF(AND(N7=1,N8&lt;Inputs!$C$84),0,INDEX(Inputs!$C$146:$G$146,1,N7))</f>
        <v>0</v>
      </c>
      <c r="O100" s="20" t="n">
        <f aca="false">IF(AND(O7=1,O8&lt;Inputs!$C$84),0,INDEX(Inputs!$C$146:$G$146,1,O7))</f>
        <v>0</v>
      </c>
      <c r="P100" s="20" t="n">
        <f aca="false">IF(AND(P7=1,P8&lt;Inputs!$C$84),0,INDEX(Inputs!$C$146:$G$146,1,P7))</f>
        <v>0</v>
      </c>
      <c r="Q100" s="20" t="n">
        <f aca="false">IF(AND(Q7=1,Q8&lt;Inputs!$C$84),0,INDEX(Inputs!$C$146:$G$146,1,Q7))</f>
        <v>0</v>
      </c>
      <c r="R100" s="20" t="n">
        <f aca="false">IF(AND(R7=1,R8&lt;Inputs!$C$84),0,INDEX(Inputs!$C$146:$G$146,1,R7))</f>
        <v>0</v>
      </c>
      <c r="S100" s="20" t="n">
        <f aca="false">IF(AND(S7=1,S8&lt;Inputs!$C$84),0,INDEX(Inputs!$C$146:$G$146,1,S7))</f>
        <v>0</v>
      </c>
      <c r="T100" s="20" t="n">
        <f aca="false">IF(AND(T7=1,T8&lt;Inputs!$C$84),0,INDEX(Inputs!$C$146:$G$146,1,T7))</f>
        <v>0</v>
      </c>
      <c r="U100" s="20" t="n">
        <f aca="false">IF(AND(U7=1,U8&lt;Inputs!$C$84),0,INDEX(Inputs!$C$146:$G$146,1,U7))</f>
        <v>0</v>
      </c>
      <c r="V100" s="20" t="n">
        <f aca="false">IF(AND(V7=1,V8&lt;Inputs!$C$84),0,INDEX(Inputs!$C$146:$G$146,1,V7))</f>
        <v>0</v>
      </c>
      <c r="W100" s="20" t="n">
        <f aca="false">IF(AND(W7=1,W8&lt;Inputs!$C$84),0,INDEX(Inputs!$C$146:$G$146,1,W7))</f>
        <v>0</v>
      </c>
      <c r="X100" s="20" t="n">
        <f aca="false">IF(AND(X7=1,X8&lt;Inputs!$C$84),0,INDEX(Inputs!$C$146:$G$146,1,X7))</f>
        <v>0</v>
      </c>
      <c r="Y100" s="20" t="n">
        <f aca="false">IF(AND(Y7=1,Y8&lt;Inputs!$C$84),0,INDEX(Inputs!$C$146:$G$146,1,Y7))</f>
        <v>0</v>
      </c>
      <c r="Z100" s="20" t="n">
        <f aca="false">IF(AND(Z7=1,Z8&lt;Inputs!$C$84),0,INDEX(Inputs!$C$146:$G$146,1,Z7))</f>
        <v>0</v>
      </c>
      <c r="AA100" s="20" t="n">
        <f aca="false">IF(AND(AA7=1,AA8&lt;Inputs!$C$84),0,INDEX(Inputs!$C$146:$G$146,1,AA7))</f>
        <v>0</v>
      </c>
      <c r="AB100" s="20" t="n">
        <f aca="false">IF(AND(AB7=1,AB8&lt;Inputs!$C$84),0,INDEX(Inputs!$C$146:$G$146,1,AB7))</f>
        <v>0</v>
      </c>
      <c r="AC100" s="20" t="n">
        <f aca="false">IF(AND(AC7=1,AC8&lt;Inputs!$C$84),0,INDEX(Inputs!$C$146:$G$146,1,AC7))</f>
        <v>0</v>
      </c>
      <c r="AD100" s="20" t="n">
        <f aca="false">IF(AND(AD7=1,AD8&lt;Inputs!$C$84),0,INDEX(Inputs!$C$146:$G$146,1,AD7))</f>
        <v>0</v>
      </c>
      <c r="AE100" s="20" t="n">
        <f aca="false">IF(AND(AE7=1,AE8&lt;Inputs!$C$84),0,INDEX(Inputs!$C$146:$G$146,1,AE7))</f>
        <v>0</v>
      </c>
      <c r="AF100" s="20" t="n">
        <f aca="false">IF(AND(AF7=1,AF8&lt;Inputs!$C$84),0,INDEX(Inputs!$C$146:$G$146,1,AF7))</f>
        <v>0</v>
      </c>
      <c r="AG100" s="20" t="n">
        <f aca="false">IF(AND(AG7=1,AG8&lt;Inputs!$C$84),0,INDEX(Inputs!$C$146:$G$146,1,AG7))</f>
        <v>0</v>
      </c>
      <c r="AH100" s="20" t="n">
        <f aca="false">IF(AND(AH7=1,AH8&lt;Inputs!$C$84),0,INDEX(Inputs!$C$146:$G$146,1,AH7))</f>
        <v>0</v>
      </c>
      <c r="AI100" s="20" t="n">
        <f aca="false">IF(AND(AI7=1,AI8&lt;Inputs!$C$84),0,INDEX(Inputs!$C$146:$G$146,1,AI7))</f>
        <v>0</v>
      </c>
      <c r="AJ100" s="20" t="n">
        <f aca="false">IF(AND(AJ7=1,AJ8&lt;Inputs!$C$84),0,INDEX(Inputs!$C$146:$G$146,1,AJ7))</f>
        <v>0</v>
      </c>
      <c r="AK100" s="20" t="n">
        <f aca="false">IF(AND(AK7=1,AK8&lt;Inputs!$C$84),0,INDEX(Inputs!$C$146:$G$146,1,AK7))</f>
        <v>0</v>
      </c>
      <c r="AL100" s="20" t="n">
        <f aca="false">IF(AND(AL7=1,AL8&lt;Inputs!$C$84),0,INDEX(Inputs!$C$146:$G$146,1,AL7))</f>
        <v>0</v>
      </c>
      <c r="AM100" s="20" t="n">
        <f aca="false">IF(AND(AM7=1,AM8&lt;Inputs!$C$84),0,INDEX(Inputs!$C$146:$G$146,1,AM7))</f>
        <v>0</v>
      </c>
      <c r="AN100" s="20" t="n">
        <f aca="false">IF(AND(AN7=1,AN8&lt;Inputs!$C$84),0,INDEX(Inputs!$C$146:$G$146,1,AN7))</f>
        <v>1</v>
      </c>
      <c r="AO100" s="20" t="n">
        <f aca="false">IF(AND(AO7=1,AO8&lt;Inputs!$C$84),0,INDEX(Inputs!$C$146:$G$146,1,AO7))</f>
        <v>1</v>
      </c>
      <c r="AP100" s="20" t="n">
        <f aca="false">IF(AND(AP7=1,AP8&lt;Inputs!$C$84),0,INDEX(Inputs!$C$146:$G$146,1,AP7))</f>
        <v>1</v>
      </c>
      <c r="AQ100" s="20" t="n">
        <f aca="false">IF(AND(AQ7=1,AQ8&lt;Inputs!$C$84),0,INDEX(Inputs!$C$146:$G$146,1,AQ7))</f>
        <v>1</v>
      </c>
      <c r="AR100" s="20" t="n">
        <f aca="false">IF(AND(AR7=1,AR8&lt;Inputs!$C$84),0,INDEX(Inputs!$C$146:$G$146,1,AR7))</f>
        <v>1</v>
      </c>
      <c r="AS100" s="20" t="n">
        <f aca="false">IF(AND(AS7=1,AS8&lt;Inputs!$C$84),0,INDEX(Inputs!$C$146:$G$146,1,AS7))</f>
        <v>1</v>
      </c>
      <c r="AT100" s="20" t="n">
        <f aca="false">IF(AND(AT7=1,AT8&lt;Inputs!$C$84),0,INDEX(Inputs!$C$146:$G$146,1,AT7))</f>
        <v>1</v>
      </c>
      <c r="AU100" s="20" t="n">
        <f aca="false">IF(AND(AU7=1,AU8&lt;Inputs!$C$84),0,INDEX(Inputs!$C$146:$G$146,1,AU7))</f>
        <v>1</v>
      </c>
      <c r="AV100" s="20" t="n">
        <f aca="false">IF(AND(AV7=1,AV8&lt;Inputs!$C$84),0,INDEX(Inputs!$C$146:$G$146,1,AV7))</f>
        <v>1</v>
      </c>
      <c r="AW100" s="20" t="n">
        <f aca="false">IF(AND(AW7=1,AW8&lt;Inputs!$C$84),0,INDEX(Inputs!$C$146:$G$146,1,AW7))</f>
        <v>1</v>
      </c>
      <c r="AX100" s="20" t="n">
        <f aca="false">IF(AND(AX7=1,AX8&lt;Inputs!$C$84),0,INDEX(Inputs!$C$146:$G$146,1,AX7))</f>
        <v>1</v>
      </c>
      <c r="AY100" s="20" t="n">
        <f aca="false">IF(AND(AY7=1,AY8&lt;Inputs!$C$84),0,INDEX(Inputs!$C$146:$G$146,1,AY7))</f>
        <v>1</v>
      </c>
      <c r="AZ100" s="20" t="n">
        <f aca="false">IF(AND(AZ7=1,AZ8&lt;Inputs!$C$84),0,INDEX(Inputs!$C$146:$G$146,1,AZ7))</f>
        <v>1</v>
      </c>
      <c r="BA100" s="20" t="n">
        <f aca="false">IF(AND(BA7=1,BA8&lt;Inputs!$C$84),0,INDEX(Inputs!$C$146:$G$146,1,BA7))</f>
        <v>1</v>
      </c>
      <c r="BB100" s="20" t="n">
        <f aca="false">IF(AND(BB7=1,BB8&lt;Inputs!$C$84),0,INDEX(Inputs!$C$146:$G$146,1,BB7))</f>
        <v>1</v>
      </c>
      <c r="BC100" s="20" t="n">
        <f aca="false">IF(AND(BC7=1,BC8&lt;Inputs!$C$84),0,INDEX(Inputs!$C$146:$G$146,1,BC7))</f>
        <v>1</v>
      </c>
      <c r="BD100" s="20" t="n">
        <f aca="false">IF(AND(BD7=1,BD8&lt;Inputs!$C$84),0,INDEX(Inputs!$C$146:$G$146,1,BD7))</f>
        <v>1</v>
      </c>
      <c r="BE100" s="20" t="n">
        <f aca="false">IF(AND(BE7=1,BE8&lt;Inputs!$C$84),0,INDEX(Inputs!$C$146:$G$146,1,BE7))</f>
        <v>1</v>
      </c>
      <c r="BF100" s="20" t="n">
        <f aca="false">IF(AND(BF7=1,BF8&lt;Inputs!$C$84),0,INDEX(Inputs!$C$146:$G$146,1,BF7))</f>
        <v>1</v>
      </c>
      <c r="BG100" s="20" t="n">
        <f aca="false">IF(AND(BG7=1,BG8&lt;Inputs!$C$84),0,INDEX(Inputs!$C$146:$G$146,1,BG7))</f>
        <v>1</v>
      </c>
      <c r="BH100" s="20" t="n">
        <f aca="false">IF(AND(BH7=1,BH8&lt;Inputs!$C$84),0,INDEX(Inputs!$C$146:$G$146,1,BH7))</f>
        <v>1</v>
      </c>
      <c r="BI100" s="20" t="n">
        <f aca="false">IF(AND(BI7=1,BI8&lt;Inputs!$C$84),0,INDEX(Inputs!$C$146:$G$146,1,BI7))</f>
        <v>1</v>
      </c>
      <c r="BJ100" s="20" t="n">
        <f aca="false">IF(AND(BJ7=1,BJ8&lt;Inputs!$C$84),0,INDEX(Inputs!$C$146:$G$146,1,BJ7))</f>
        <v>1</v>
      </c>
      <c r="BK100" s="20" t="n">
        <f aca="false">IF(AND(BK7=1,BK8&lt;Inputs!$C$84),0,INDEX(Inputs!$C$146:$G$146,1,BK7))</f>
        <v>1</v>
      </c>
    </row>
    <row r="101" customFormat="false" ht="15" hidden="false" customHeight="true" outlineLevel="0" collapsed="false">
      <c r="A101" s="12" t="s">
        <v>1972</v>
      </c>
      <c r="B101" s="4" t="s">
        <v>725</v>
      </c>
      <c r="D101" s="20" t="n">
        <f aca="false">IF(AND(D7=1,D8&lt;Inputs!$C$84),0,INDEX(Inputs!$C$147:$G$147,1,D7))</f>
        <v>0</v>
      </c>
      <c r="E101" s="20" t="n">
        <f aca="false">IF(AND(E7=1,E8&lt;Inputs!$C$84),0,INDEX(Inputs!$C$147:$G$147,1,E7))</f>
        <v>0</v>
      </c>
      <c r="F101" s="20" t="n">
        <f aca="false">IF(AND(F7=1,F8&lt;Inputs!$C$84),0,INDEX(Inputs!$C$147:$G$147,1,F7))</f>
        <v>0</v>
      </c>
      <c r="G101" s="20" t="n">
        <f aca="false">IF(AND(G7=1,G8&lt;Inputs!$C$84),0,INDEX(Inputs!$C$147:$G$147,1,G7))</f>
        <v>0</v>
      </c>
      <c r="H101" s="20" t="n">
        <f aca="false">IF(AND(H7=1,H8&lt;Inputs!$C$84),0,INDEX(Inputs!$C$147:$G$147,1,H7))</f>
        <v>0</v>
      </c>
      <c r="I101" s="20" t="n">
        <f aca="false">IF(AND(I7=1,I8&lt;Inputs!$C$84),0,INDEX(Inputs!$C$147:$G$147,1,I7))</f>
        <v>0</v>
      </c>
      <c r="J101" s="20" t="n">
        <f aca="false">IF(AND(J7=1,J8&lt;Inputs!$C$84),0,INDEX(Inputs!$C$147:$G$147,1,J7))</f>
        <v>0</v>
      </c>
      <c r="K101" s="20" t="n">
        <f aca="false">IF(AND(K7=1,K8&lt;Inputs!$C$84),0,INDEX(Inputs!$C$147:$G$147,1,K7))</f>
        <v>0</v>
      </c>
      <c r="L101" s="20" t="n">
        <f aca="false">IF(AND(L7=1,L8&lt;Inputs!$C$84),0,INDEX(Inputs!$C$147:$G$147,1,L7))</f>
        <v>0</v>
      </c>
      <c r="M101" s="20" t="n">
        <f aca="false">IF(AND(M7=1,M8&lt;Inputs!$C$84),0,INDEX(Inputs!$C$147:$G$147,1,M7))</f>
        <v>0</v>
      </c>
      <c r="N101" s="20" t="n">
        <f aca="false">IF(AND(N7=1,N8&lt;Inputs!$C$84),0,INDEX(Inputs!$C$147:$G$147,1,N7))</f>
        <v>0</v>
      </c>
      <c r="O101" s="20" t="n">
        <f aca="false">IF(AND(O7=1,O8&lt;Inputs!$C$84),0,INDEX(Inputs!$C$147:$G$147,1,O7))</f>
        <v>0</v>
      </c>
      <c r="P101" s="20" t="n">
        <f aca="false">IF(AND(P7=1,P8&lt;Inputs!$C$84),0,INDEX(Inputs!$C$147:$G$147,1,P7))</f>
        <v>1</v>
      </c>
      <c r="Q101" s="20" t="n">
        <f aca="false">IF(AND(Q7=1,Q8&lt;Inputs!$C$84),0,INDEX(Inputs!$C$147:$G$147,1,Q7))</f>
        <v>1</v>
      </c>
      <c r="R101" s="20" t="n">
        <f aca="false">IF(AND(R7=1,R8&lt;Inputs!$C$84),0,INDEX(Inputs!$C$147:$G$147,1,R7))</f>
        <v>1</v>
      </c>
      <c r="S101" s="20" t="n">
        <f aca="false">IF(AND(S7=1,S8&lt;Inputs!$C$84),0,INDEX(Inputs!$C$147:$G$147,1,S7))</f>
        <v>1</v>
      </c>
      <c r="T101" s="20" t="n">
        <f aca="false">IF(AND(T7=1,T8&lt;Inputs!$C$84),0,INDEX(Inputs!$C$147:$G$147,1,T7))</f>
        <v>1</v>
      </c>
      <c r="U101" s="20" t="n">
        <f aca="false">IF(AND(U7=1,U8&lt;Inputs!$C$84),0,INDEX(Inputs!$C$147:$G$147,1,U7))</f>
        <v>1</v>
      </c>
      <c r="V101" s="20" t="n">
        <f aca="false">IF(AND(V7=1,V8&lt;Inputs!$C$84),0,INDEX(Inputs!$C$147:$G$147,1,V7))</f>
        <v>1</v>
      </c>
      <c r="W101" s="20" t="n">
        <f aca="false">IF(AND(W7=1,W8&lt;Inputs!$C$84),0,INDEX(Inputs!$C$147:$G$147,1,W7))</f>
        <v>1</v>
      </c>
      <c r="X101" s="20" t="n">
        <f aca="false">IF(AND(X7=1,X8&lt;Inputs!$C$84),0,INDEX(Inputs!$C$147:$G$147,1,X7))</f>
        <v>1</v>
      </c>
      <c r="Y101" s="20" t="n">
        <f aca="false">IF(AND(Y7=1,Y8&lt;Inputs!$C$84),0,INDEX(Inputs!$C$147:$G$147,1,Y7))</f>
        <v>1</v>
      </c>
      <c r="Z101" s="20" t="n">
        <f aca="false">IF(AND(Z7=1,Z8&lt;Inputs!$C$84),0,INDEX(Inputs!$C$147:$G$147,1,Z7))</f>
        <v>1</v>
      </c>
      <c r="AA101" s="20" t="n">
        <f aca="false">IF(AND(AA7=1,AA8&lt;Inputs!$C$84),0,INDEX(Inputs!$C$147:$G$147,1,AA7))</f>
        <v>1</v>
      </c>
      <c r="AB101" s="20" t="n">
        <f aca="false">IF(AND(AB7=1,AB8&lt;Inputs!$C$84),0,INDEX(Inputs!$C$147:$G$147,1,AB7))</f>
        <v>1</v>
      </c>
      <c r="AC101" s="20" t="n">
        <f aca="false">IF(AND(AC7=1,AC8&lt;Inputs!$C$84),0,INDEX(Inputs!$C$147:$G$147,1,AC7))</f>
        <v>1</v>
      </c>
      <c r="AD101" s="20" t="n">
        <f aca="false">IF(AND(AD7=1,AD8&lt;Inputs!$C$84),0,INDEX(Inputs!$C$147:$G$147,1,AD7))</f>
        <v>1</v>
      </c>
      <c r="AE101" s="20" t="n">
        <f aca="false">IF(AND(AE7=1,AE8&lt;Inputs!$C$84),0,INDEX(Inputs!$C$147:$G$147,1,AE7))</f>
        <v>1</v>
      </c>
      <c r="AF101" s="20" t="n">
        <f aca="false">IF(AND(AF7=1,AF8&lt;Inputs!$C$84),0,INDEX(Inputs!$C$147:$G$147,1,AF7))</f>
        <v>1</v>
      </c>
      <c r="AG101" s="20" t="n">
        <f aca="false">IF(AND(AG7=1,AG8&lt;Inputs!$C$84),0,INDEX(Inputs!$C$147:$G$147,1,AG7))</f>
        <v>1</v>
      </c>
      <c r="AH101" s="20" t="n">
        <f aca="false">IF(AND(AH7=1,AH8&lt;Inputs!$C$84),0,INDEX(Inputs!$C$147:$G$147,1,AH7))</f>
        <v>1</v>
      </c>
      <c r="AI101" s="20" t="n">
        <f aca="false">IF(AND(AI7=1,AI8&lt;Inputs!$C$84),0,INDEX(Inputs!$C$147:$G$147,1,AI7))</f>
        <v>1</v>
      </c>
      <c r="AJ101" s="20" t="n">
        <f aca="false">IF(AND(AJ7=1,AJ8&lt;Inputs!$C$84),0,INDEX(Inputs!$C$147:$G$147,1,AJ7))</f>
        <v>1</v>
      </c>
      <c r="AK101" s="20" t="n">
        <f aca="false">IF(AND(AK7=1,AK8&lt;Inputs!$C$84),0,INDEX(Inputs!$C$147:$G$147,1,AK7))</f>
        <v>1</v>
      </c>
      <c r="AL101" s="20" t="n">
        <f aca="false">IF(AND(AL7=1,AL8&lt;Inputs!$C$84),0,INDEX(Inputs!$C$147:$G$147,1,AL7))</f>
        <v>1</v>
      </c>
      <c r="AM101" s="20" t="n">
        <f aca="false">IF(AND(AM7=1,AM8&lt;Inputs!$C$84),0,INDEX(Inputs!$C$147:$G$147,1,AM7))</f>
        <v>1</v>
      </c>
      <c r="AN101" s="20" t="n">
        <f aca="false">IF(AND(AN7=1,AN8&lt;Inputs!$C$84),0,INDEX(Inputs!$C$147:$G$147,1,AN7))</f>
        <v>2</v>
      </c>
      <c r="AO101" s="20" t="n">
        <f aca="false">IF(AND(AO7=1,AO8&lt;Inputs!$C$84),0,INDEX(Inputs!$C$147:$G$147,1,AO7))</f>
        <v>2</v>
      </c>
      <c r="AP101" s="20" t="n">
        <f aca="false">IF(AND(AP7=1,AP8&lt;Inputs!$C$84),0,INDEX(Inputs!$C$147:$G$147,1,AP7))</f>
        <v>2</v>
      </c>
      <c r="AQ101" s="20" t="n">
        <f aca="false">IF(AND(AQ7=1,AQ8&lt;Inputs!$C$84),0,INDEX(Inputs!$C$147:$G$147,1,AQ7))</f>
        <v>2</v>
      </c>
      <c r="AR101" s="20" t="n">
        <f aca="false">IF(AND(AR7=1,AR8&lt;Inputs!$C$84),0,INDEX(Inputs!$C$147:$G$147,1,AR7))</f>
        <v>2</v>
      </c>
      <c r="AS101" s="20" t="n">
        <f aca="false">IF(AND(AS7=1,AS8&lt;Inputs!$C$84),0,INDEX(Inputs!$C$147:$G$147,1,AS7))</f>
        <v>2</v>
      </c>
      <c r="AT101" s="20" t="n">
        <f aca="false">IF(AND(AT7=1,AT8&lt;Inputs!$C$84),0,INDEX(Inputs!$C$147:$G$147,1,AT7))</f>
        <v>2</v>
      </c>
      <c r="AU101" s="20" t="n">
        <f aca="false">IF(AND(AU7=1,AU8&lt;Inputs!$C$84),0,INDEX(Inputs!$C$147:$G$147,1,AU7))</f>
        <v>2</v>
      </c>
      <c r="AV101" s="20" t="n">
        <f aca="false">IF(AND(AV7=1,AV8&lt;Inputs!$C$84),0,INDEX(Inputs!$C$147:$G$147,1,AV7))</f>
        <v>2</v>
      </c>
      <c r="AW101" s="20" t="n">
        <f aca="false">IF(AND(AW7=1,AW8&lt;Inputs!$C$84),0,INDEX(Inputs!$C$147:$G$147,1,AW7))</f>
        <v>2</v>
      </c>
      <c r="AX101" s="20" t="n">
        <f aca="false">IF(AND(AX7=1,AX8&lt;Inputs!$C$84),0,INDEX(Inputs!$C$147:$G$147,1,AX7))</f>
        <v>2</v>
      </c>
      <c r="AY101" s="20" t="n">
        <f aca="false">IF(AND(AY7=1,AY8&lt;Inputs!$C$84),0,INDEX(Inputs!$C$147:$G$147,1,AY7))</f>
        <v>2</v>
      </c>
      <c r="AZ101" s="20" t="n">
        <f aca="false">IF(AND(AZ7=1,AZ8&lt;Inputs!$C$84),0,INDEX(Inputs!$C$147:$G$147,1,AZ7))</f>
        <v>2</v>
      </c>
      <c r="BA101" s="20" t="n">
        <f aca="false">IF(AND(BA7=1,BA8&lt;Inputs!$C$84),0,INDEX(Inputs!$C$147:$G$147,1,BA7))</f>
        <v>2</v>
      </c>
      <c r="BB101" s="20" t="n">
        <f aca="false">IF(AND(BB7=1,BB8&lt;Inputs!$C$84),0,INDEX(Inputs!$C$147:$G$147,1,BB7))</f>
        <v>2</v>
      </c>
      <c r="BC101" s="20" t="n">
        <f aca="false">IF(AND(BC7=1,BC8&lt;Inputs!$C$84),0,INDEX(Inputs!$C$147:$G$147,1,BC7))</f>
        <v>2</v>
      </c>
      <c r="BD101" s="20" t="n">
        <f aca="false">IF(AND(BD7=1,BD8&lt;Inputs!$C$84),0,INDEX(Inputs!$C$147:$G$147,1,BD7))</f>
        <v>2</v>
      </c>
      <c r="BE101" s="20" t="n">
        <f aca="false">IF(AND(BE7=1,BE8&lt;Inputs!$C$84),0,INDEX(Inputs!$C$147:$G$147,1,BE7))</f>
        <v>2</v>
      </c>
      <c r="BF101" s="20" t="n">
        <f aca="false">IF(AND(BF7=1,BF8&lt;Inputs!$C$84),0,INDEX(Inputs!$C$147:$G$147,1,BF7))</f>
        <v>2</v>
      </c>
      <c r="BG101" s="20" t="n">
        <f aca="false">IF(AND(BG7=1,BG8&lt;Inputs!$C$84),0,INDEX(Inputs!$C$147:$G$147,1,BG7))</f>
        <v>2</v>
      </c>
      <c r="BH101" s="20" t="n">
        <f aca="false">IF(AND(BH7=1,BH8&lt;Inputs!$C$84),0,INDEX(Inputs!$C$147:$G$147,1,BH7))</f>
        <v>2</v>
      </c>
      <c r="BI101" s="20" t="n">
        <f aca="false">IF(AND(BI7=1,BI8&lt;Inputs!$C$84),0,INDEX(Inputs!$C$147:$G$147,1,BI7))</f>
        <v>2</v>
      </c>
      <c r="BJ101" s="20" t="n">
        <f aca="false">IF(AND(BJ7=1,BJ8&lt;Inputs!$C$84),0,INDEX(Inputs!$C$147:$G$147,1,BJ7))</f>
        <v>2</v>
      </c>
      <c r="BK101" s="20" t="n">
        <f aca="false">IF(AND(BK7=1,BK8&lt;Inputs!$C$84),0,INDEX(Inputs!$C$147:$G$147,1,BK7))</f>
        <v>2</v>
      </c>
    </row>
    <row r="102" customFormat="false" ht="15" hidden="false" customHeight="true" outlineLevel="0" collapsed="false">
      <c r="A102" s="12" t="s">
        <v>1973</v>
      </c>
      <c r="B102" s="4" t="s">
        <v>725</v>
      </c>
      <c r="D102" s="20" t="n">
        <f aca="false">IF(AND(D7=1,D8&lt;Inputs!$C$84),0,INDEX(Inputs!$C$148:$G$148,1,D7))</f>
        <v>0</v>
      </c>
      <c r="E102" s="20" t="n">
        <f aca="false">IF(AND(E7=1,E8&lt;Inputs!$C$84),0,INDEX(Inputs!$C$148:$G$148,1,E7))</f>
        <v>0</v>
      </c>
      <c r="F102" s="20" t="n">
        <f aca="false">IF(AND(F7=1,F8&lt;Inputs!$C$84),0,INDEX(Inputs!$C$148:$G$148,1,F7))</f>
        <v>0</v>
      </c>
      <c r="G102" s="20" t="n">
        <f aca="false">IF(AND(G7=1,G8&lt;Inputs!$C$84),0,INDEX(Inputs!$C$148:$G$148,1,G7))</f>
        <v>0</v>
      </c>
      <c r="H102" s="20" t="n">
        <f aca="false">IF(AND(H7=1,H8&lt;Inputs!$C$84),0,INDEX(Inputs!$C$148:$G$148,1,H7))</f>
        <v>0</v>
      </c>
      <c r="I102" s="20" t="n">
        <f aca="false">IF(AND(I7=1,I8&lt;Inputs!$C$84),0,INDEX(Inputs!$C$148:$G$148,1,I7))</f>
        <v>0</v>
      </c>
      <c r="J102" s="20" t="n">
        <f aca="false">IF(AND(J7=1,J8&lt;Inputs!$C$84),0,INDEX(Inputs!$C$148:$G$148,1,J7))</f>
        <v>0</v>
      </c>
      <c r="K102" s="20" t="n">
        <f aca="false">IF(AND(K7=1,K8&lt;Inputs!$C$84),0,INDEX(Inputs!$C$148:$G$148,1,K7))</f>
        <v>0</v>
      </c>
      <c r="L102" s="20" t="n">
        <f aca="false">IF(AND(L7=1,L8&lt;Inputs!$C$84),0,INDEX(Inputs!$C$148:$G$148,1,L7))</f>
        <v>0</v>
      </c>
      <c r="M102" s="20" t="n">
        <f aca="false">IF(AND(M7=1,M8&lt;Inputs!$C$84),0,INDEX(Inputs!$C$148:$G$148,1,M7))</f>
        <v>0</v>
      </c>
      <c r="N102" s="20" t="n">
        <f aca="false">IF(AND(N7=1,N8&lt;Inputs!$C$84),0,INDEX(Inputs!$C$148:$G$148,1,N7))</f>
        <v>0</v>
      </c>
      <c r="O102" s="20" t="n">
        <f aca="false">IF(AND(O7=1,O8&lt;Inputs!$C$84),0,INDEX(Inputs!$C$148:$G$148,1,O7))</f>
        <v>0</v>
      </c>
      <c r="P102" s="20" t="n">
        <f aca="false">IF(AND(P7=1,P8&lt;Inputs!$C$84),0,INDEX(Inputs!$C$148:$G$148,1,P7))</f>
        <v>0</v>
      </c>
      <c r="Q102" s="20" t="n">
        <f aca="false">IF(AND(Q7=1,Q8&lt;Inputs!$C$84),0,INDEX(Inputs!$C$148:$G$148,1,Q7))</f>
        <v>0</v>
      </c>
      <c r="R102" s="20" t="n">
        <f aca="false">IF(AND(R7=1,R8&lt;Inputs!$C$84),0,INDEX(Inputs!$C$148:$G$148,1,R7))</f>
        <v>0</v>
      </c>
      <c r="S102" s="20" t="n">
        <f aca="false">IF(AND(S7=1,S8&lt;Inputs!$C$84),0,INDEX(Inputs!$C$148:$G$148,1,S7))</f>
        <v>0</v>
      </c>
      <c r="T102" s="20" t="n">
        <f aca="false">IF(AND(T7=1,T8&lt;Inputs!$C$84),0,INDEX(Inputs!$C$148:$G$148,1,T7))</f>
        <v>0</v>
      </c>
      <c r="U102" s="20" t="n">
        <f aca="false">IF(AND(U7=1,U8&lt;Inputs!$C$84),0,INDEX(Inputs!$C$148:$G$148,1,U7))</f>
        <v>0</v>
      </c>
      <c r="V102" s="20" t="n">
        <f aca="false">IF(AND(V7=1,V8&lt;Inputs!$C$84),0,INDEX(Inputs!$C$148:$G$148,1,V7))</f>
        <v>0</v>
      </c>
      <c r="W102" s="20" t="n">
        <f aca="false">IF(AND(W7=1,W8&lt;Inputs!$C$84),0,INDEX(Inputs!$C$148:$G$148,1,W7))</f>
        <v>0</v>
      </c>
      <c r="X102" s="20" t="n">
        <f aca="false">IF(AND(X7=1,X8&lt;Inputs!$C$84),0,INDEX(Inputs!$C$148:$G$148,1,X7))</f>
        <v>0</v>
      </c>
      <c r="Y102" s="20" t="n">
        <f aca="false">IF(AND(Y7=1,Y8&lt;Inputs!$C$84),0,INDEX(Inputs!$C$148:$G$148,1,Y7))</f>
        <v>0</v>
      </c>
      <c r="Z102" s="20" t="n">
        <f aca="false">IF(AND(Z7=1,Z8&lt;Inputs!$C$84),0,INDEX(Inputs!$C$148:$G$148,1,Z7))</f>
        <v>0</v>
      </c>
      <c r="AA102" s="20" t="n">
        <f aca="false">IF(AND(AA7=1,AA8&lt;Inputs!$C$84),0,INDEX(Inputs!$C$148:$G$148,1,AA7))</f>
        <v>0</v>
      </c>
      <c r="AB102" s="20" t="n">
        <f aca="false">IF(AND(AB7=1,AB8&lt;Inputs!$C$84),0,INDEX(Inputs!$C$148:$G$148,1,AB7))</f>
        <v>1</v>
      </c>
      <c r="AC102" s="20" t="n">
        <f aca="false">IF(AND(AC7=1,AC8&lt;Inputs!$C$84),0,INDEX(Inputs!$C$148:$G$148,1,AC7))</f>
        <v>1</v>
      </c>
      <c r="AD102" s="20" t="n">
        <f aca="false">IF(AND(AD7=1,AD8&lt;Inputs!$C$84),0,INDEX(Inputs!$C$148:$G$148,1,AD7))</f>
        <v>1</v>
      </c>
      <c r="AE102" s="20" t="n">
        <f aca="false">IF(AND(AE7=1,AE8&lt;Inputs!$C$84),0,INDEX(Inputs!$C$148:$G$148,1,AE7))</f>
        <v>1</v>
      </c>
      <c r="AF102" s="20" t="n">
        <f aca="false">IF(AND(AF7=1,AF8&lt;Inputs!$C$84),0,INDEX(Inputs!$C$148:$G$148,1,AF7))</f>
        <v>1</v>
      </c>
      <c r="AG102" s="20" t="n">
        <f aca="false">IF(AND(AG7=1,AG8&lt;Inputs!$C$84),0,INDEX(Inputs!$C$148:$G$148,1,AG7))</f>
        <v>1</v>
      </c>
      <c r="AH102" s="20" t="n">
        <f aca="false">IF(AND(AH7=1,AH8&lt;Inputs!$C$84),0,INDEX(Inputs!$C$148:$G$148,1,AH7))</f>
        <v>1</v>
      </c>
      <c r="AI102" s="20" t="n">
        <f aca="false">IF(AND(AI7=1,AI8&lt;Inputs!$C$84),0,INDEX(Inputs!$C$148:$G$148,1,AI7))</f>
        <v>1</v>
      </c>
      <c r="AJ102" s="20" t="n">
        <f aca="false">IF(AND(AJ7=1,AJ8&lt;Inputs!$C$84),0,INDEX(Inputs!$C$148:$G$148,1,AJ7))</f>
        <v>1</v>
      </c>
      <c r="AK102" s="20" t="n">
        <f aca="false">IF(AND(AK7=1,AK8&lt;Inputs!$C$84),0,INDEX(Inputs!$C$148:$G$148,1,AK7))</f>
        <v>1</v>
      </c>
      <c r="AL102" s="20" t="n">
        <f aca="false">IF(AND(AL7=1,AL8&lt;Inputs!$C$84),0,INDEX(Inputs!$C$148:$G$148,1,AL7))</f>
        <v>1</v>
      </c>
      <c r="AM102" s="20" t="n">
        <f aca="false">IF(AND(AM7=1,AM8&lt;Inputs!$C$84),0,INDEX(Inputs!$C$148:$G$148,1,AM7))</f>
        <v>1</v>
      </c>
      <c r="AN102" s="20" t="n">
        <f aca="false">IF(AND(AN7=1,AN8&lt;Inputs!$C$84),0,INDEX(Inputs!$C$148:$G$148,1,AN7))</f>
        <v>1</v>
      </c>
      <c r="AO102" s="20" t="n">
        <f aca="false">IF(AND(AO7=1,AO8&lt;Inputs!$C$84),0,INDEX(Inputs!$C$148:$G$148,1,AO7))</f>
        <v>1</v>
      </c>
      <c r="AP102" s="20" t="n">
        <f aca="false">IF(AND(AP7=1,AP8&lt;Inputs!$C$84),0,INDEX(Inputs!$C$148:$G$148,1,AP7))</f>
        <v>1</v>
      </c>
      <c r="AQ102" s="20" t="n">
        <f aca="false">IF(AND(AQ7=1,AQ8&lt;Inputs!$C$84),0,INDEX(Inputs!$C$148:$G$148,1,AQ7))</f>
        <v>1</v>
      </c>
      <c r="AR102" s="20" t="n">
        <f aca="false">IF(AND(AR7=1,AR8&lt;Inputs!$C$84),0,INDEX(Inputs!$C$148:$G$148,1,AR7))</f>
        <v>1</v>
      </c>
      <c r="AS102" s="20" t="n">
        <f aca="false">IF(AND(AS7=1,AS8&lt;Inputs!$C$84),0,INDEX(Inputs!$C$148:$G$148,1,AS7))</f>
        <v>1</v>
      </c>
      <c r="AT102" s="20" t="n">
        <f aca="false">IF(AND(AT7=1,AT8&lt;Inputs!$C$84),0,INDEX(Inputs!$C$148:$G$148,1,AT7))</f>
        <v>1</v>
      </c>
      <c r="AU102" s="20" t="n">
        <f aca="false">IF(AND(AU7=1,AU8&lt;Inputs!$C$84),0,INDEX(Inputs!$C$148:$G$148,1,AU7))</f>
        <v>1</v>
      </c>
      <c r="AV102" s="20" t="n">
        <f aca="false">IF(AND(AV7=1,AV8&lt;Inputs!$C$84),0,INDEX(Inputs!$C$148:$G$148,1,AV7))</f>
        <v>1</v>
      </c>
      <c r="AW102" s="20" t="n">
        <f aca="false">IF(AND(AW7=1,AW8&lt;Inputs!$C$84),0,INDEX(Inputs!$C$148:$G$148,1,AW7))</f>
        <v>1</v>
      </c>
      <c r="AX102" s="20" t="n">
        <f aca="false">IF(AND(AX7=1,AX8&lt;Inputs!$C$84),0,INDEX(Inputs!$C$148:$G$148,1,AX7))</f>
        <v>1</v>
      </c>
      <c r="AY102" s="20" t="n">
        <f aca="false">IF(AND(AY7=1,AY8&lt;Inputs!$C$84),0,INDEX(Inputs!$C$148:$G$148,1,AY7))</f>
        <v>1</v>
      </c>
      <c r="AZ102" s="20" t="n">
        <f aca="false">IF(AND(AZ7=1,AZ8&lt;Inputs!$C$84),0,INDEX(Inputs!$C$148:$G$148,1,AZ7))</f>
        <v>1</v>
      </c>
      <c r="BA102" s="20" t="n">
        <f aca="false">IF(AND(BA7=1,BA8&lt;Inputs!$C$84),0,INDEX(Inputs!$C$148:$G$148,1,BA7))</f>
        <v>1</v>
      </c>
      <c r="BB102" s="20" t="n">
        <f aca="false">IF(AND(BB7=1,BB8&lt;Inputs!$C$84),0,INDEX(Inputs!$C$148:$G$148,1,BB7))</f>
        <v>1</v>
      </c>
      <c r="BC102" s="20" t="n">
        <f aca="false">IF(AND(BC7=1,BC8&lt;Inputs!$C$84),0,INDEX(Inputs!$C$148:$G$148,1,BC7))</f>
        <v>1</v>
      </c>
      <c r="BD102" s="20" t="n">
        <f aca="false">IF(AND(BD7=1,BD8&lt;Inputs!$C$84),0,INDEX(Inputs!$C$148:$G$148,1,BD7))</f>
        <v>1</v>
      </c>
      <c r="BE102" s="20" t="n">
        <f aca="false">IF(AND(BE7=1,BE8&lt;Inputs!$C$84),0,INDEX(Inputs!$C$148:$G$148,1,BE7))</f>
        <v>1</v>
      </c>
      <c r="BF102" s="20" t="n">
        <f aca="false">IF(AND(BF7=1,BF8&lt;Inputs!$C$84),0,INDEX(Inputs!$C$148:$G$148,1,BF7))</f>
        <v>1</v>
      </c>
      <c r="BG102" s="20" t="n">
        <f aca="false">IF(AND(BG7=1,BG8&lt;Inputs!$C$84),0,INDEX(Inputs!$C$148:$G$148,1,BG7))</f>
        <v>1</v>
      </c>
      <c r="BH102" s="20" t="n">
        <f aca="false">IF(AND(BH7=1,BH8&lt;Inputs!$C$84),0,INDEX(Inputs!$C$148:$G$148,1,BH7))</f>
        <v>1</v>
      </c>
      <c r="BI102" s="20" t="n">
        <f aca="false">IF(AND(BI7=1,BI8&lt;Inputs!$C$84),0,INDEX(Inputs!$C$148:$G$148,1,BI7))</f>
        <v>1</v>
      </c>
      <c r="BJ102" s="20" t="n">
        <f aca="false">IF(AND(BJ7=1,BJ8&lt;Inputs!$C$84),0,INDEX(Inputs!$C$148:$G$148,1,BJ7))</f>
        <v>1</v>
      </c>
      <c r="BK102" s="20" t="n">
        <f aca="false">IF(AND(BK7=1,BK8&lt;Inputs!$C$84),0,INDEX(Inputs!$C$148:$G$148,1,BK7))</f>
        <v>1</v>
      </c>
    </row>
    <row r="103" customFormat="false" ht="15" hidden="false" customHeight="true" outlineLevel="0" collapsed="false">
      <c r="A103" s="12" t="s">
        <v>1974</v>
      </c>
      <c r="B103" s="4" t="s">
        <v>725</v>
      </c>
      <c r="D103" s="20" t="n">
        <f aca="false">D38+D76+D77</f>
        <v>0</v>
      </c>
      <c r="E103" s="20" t="n">
        <f aca="false">E38+E76+E77</f>
        <v>0</v>
      </c>
      <c r="F103" s="20" t="n">
        <f aca="false">F38+F76+F77</f>
        <v>1</v>
      </c>
      <c r="G103" s="20" t="n">
        <f aca="false">G38+G76+G77</f>
        <v>1</v>
      </c>
      <c r="H103" s="20" t="n">
        <f aca="false">H38+H76+H77</f>
        <v>1</v>
      </c>
      <c r="I103" s="20" t="n">
        <f aca="false">I38+I76+I77</f>
        <v>1</v>
      </c>
      <c r="J103" s="20" t="n">
        <f aca="false">J38+J76+J77</f>
        <v>1</v>
      </c>
      <c r="K103" s="20" t="n">
        <f aca="false">K38+K76+K77</f>
        <v>1</v>
      </c>
      <c r="L103" s="20" t="n">
        <f aca="false">L38+L76+L77</f>
        <v>3</v>
      </c>
      <c r="M103" s="20" t="n">
        <f aca="false">M38+M76+M77</f>
        <v>3</v>
      </c>
      <c r="N103" s="20" t="n">
        <f aca="false">N38+N76+N77</f>
        <v>3</v>
      </c>
      <c r="O103" s="20" t="n">
        <f aca="false">O38+O76+O77</f>
        <v>3</v>
      </c>
      <c r="P103" s="20" t="n">
        <f aca="false">P38+P76+P77</f>
        <v>3</v>
      </c>
      <c r="Q103" s="20" t="n">
        <f aca="false">Q38+Q76+Q77</f>
        <v>4</v>
      </c>
      <c r="R103" s="20" t="n">
        <f aca="false">R38+R76+R77</f>
        <v>4</v>
      </c>
      <c r="S103" s="20" t="n">
        <f aca="false">S38+S76+S77</f>
        <v>4</v>
      </c>
      <c r="T103" s="20" t="n">
        <f aca="false">T38+T76+T77</f>
        <v>5</v>
      </c>
      <c r="U103" s="20" t="n">
        <f aca="false">U38+U76+U77</f>
        <v>6</v>
      </c>
      <c r="V103" s="20" t="n">
        <f aca="false">V38+V76+V77</f>
        <v>6</v>
      </c>
      <c r="W103" s="20" t="n">
        <f aca="false">W38+W76+W77</f>
        <v>7</v>
      </c>
      <c r="X103" s="20" t="n">
        <f aca="false">X38+X76+X77</f>
        <v>8</v>
      </c>
      <c r="Y103" s="20" t="n">
        <f aca="false">Y38+Y76+Y77</f>
        <v>8</v>
      </c>
      <c r="Z103" s="20" t="n">
        <f aca="false">Z38+Z76+Z77</f>
        <v>8</v>
      </c>
      <c r="AA103" s="20" t="n">
        <f aca="false">AA38+AA76+AA77</f>
        <v>8</v>
      </c>
      <c r="AB103" s="20" t="n">
        <f aca="false">AB38+AB76+AB77</f>
        <v>8</v>
      </c>
      <c r="AC103" s="20" t="n">
        <f aca="false">AC38+AC76+AC77</f>
        <v>9</v>
      </c>
      <c r="AD103" s="20" t="n">
        <f aca="false">AD38+AD76+AD77</f>
        <v>10</v>
      </c>
      <c r="AE103" s="20" t="n">
        <f aca="false">AE38+AE76+AE77</f>
        <v>12</v>
      </c>
      <c r="AF103" s="20" t="n">
        <f aca="false">AF38+AF76+AF77</f>
        <v>13</v>
      </c>
      <c r="AG103" s="20" t="n">
        <f aca="false">AG38+AG76+AG77</f>
        <v>14</v>
      </c>
      <c r="AH103" s="20" t="n">
        <f aca="false">AH38+AH76+AH77</f>
        <v>15</v>
      </c>
      <c r="AI103" s="20" t="n">
        <f aca="false">AI38+AI76+AI77</f>
        <v>16</v>
      </c>
      <c r="AJ103" s="20" t="n">
        <f aca="false">AJ38+AJ76+AJ77</f>
        <v>19</v>
      </c>
      <c r="AK103" s="20" t="n">
        <f aca="false">AK38+AK76+AK77</f>
        <v>21</v>
      </c>
      <c r="AL103" s="20" t="n">
        <f aca="false">AL38+AL76+AL77</f>
        <v>21</v>
      </c>
      <c r="AM103" s="20" t="n">
        <f aca="false">AM38+AM76+AM77</f>
        <v>23</v>
      </c>
      <c r="AN103" s="20" t="n">
        <f aca="false">AN38+AN76+AN77</f>
        <v>23</v>
      </c>
      <c r="AO103" s="20" t="n">
        <f aca="false">AO38+AO76+AO77</f>
        <v>24</v>
      </c>
      <c r="AP103" s="20" t="n">
        <f aca="false">AP38+AP76+AP77</f>
        <v>25</v>
      </c>
      <c r="AQ103" s="20" t="n">
        <f aca="false">AQ38+AQ76+AQ77</f>
        <v>26</v>
      </c>
      <c r="AR103" s="20" t="n">
        <f aca="false">AR38+AR76+AR77</f>
        <v>29</v>
      </c>
      <c r="AS103" s="20" t="n">
        <f aca="false">AS38+AS76+AS77</f>
        <v>31</v>
      </c>
      <c r="AT103" s="20" t="n">
        <f aca="false">AT38+AT76+AT77</f>
        <v>32</v>
      </c>
      <c r="AU103" s="20" t="n">
        <f aca="false">AU38+AU76+AU77</f>
        <v>34</v>
      </c>
      <c r="AV103" s="20" t="n">
        <f aca="false">AV38+AV76+AV77</f>
        <v>38</v>
      </c>
      <c r="AW103" s="20" t="n">
        <f aca="false">AW38+AW76+AW77</f>
        <v>40</v>
      </c>
      <c r="AX103" s="20" t="n">
        <f aca="false">AX38+AX76+AX77</f>
        <v>41</v>
      </c>
      <c r="AY103" s="20" t="n">
        <f aca="false">AY38+AY76+AY77</f>
        <v>43</v>
      </c>
      <c r="AZ103" s="20" t="n">
        <f aca="false">AZ38+AZ76+AZ77</f>
        <v>44</v>
      </c>
      <c r="BA103" s="20" t="n">
        <f aca="false">BA38+BA76+BA77</f>
        <v>45</v>
      </c>
      <c r="BB103" s="20" t="n">
        <f aca="false">BB38+BB76+BB77</f>
        <v>46</v>
      </c>
      <c r="BC103" s="20" t="n">
        <f aca="false">BC38+BC76+BC77</f>
        <v>49</v>
      </c>
      <c r="BD103" s="20" t="n">
        <f aca="false">BD38+BD76+BD77</f>
        <v>52</v>
      </c>
      <c r="BE103" s="20" t="n">
        <f aca="false">BE38+BE76+BE77</f>
        <v>53</v>
      </c>
      <c r="BF103" s="20" t="n">
        <f aca="false">BF38+BF76+BF77</f>
        <v>56</v>
      </c>
      <c r="BG103" s="20" t="n">
        <f aca="false">BG38+BG76+BG77</f>
        <v>58</v>
      </c>
      <c r="BH103" s="20" t="n">
        <f aca="false">BH38+BH76+BH77</f>
        <v>62</v>
      </c>
      <c r="BI103" s="20" t="n">
        <f aca="false">BI38+BI76+BI77</f>
        <v>65</v>
      </c>
      <c r="BJ103" s="20" t="n">
        <f aca="false">BJ38+BJ76+BJ77</f>
        <v>66</v>
      </c>
      <c r="BK103" s="20" t="n">
        <f aca="false">BK38+BK76+BK77</f>
        <v>68</v>
      </c>
    </row>
    <row r="104" customFormat="false" ht="15" hidden="false" customHeight="true" outlineLevel="0" collapsed="false">
      <c r="A104" s="5" t="s">
        <v>1975</v>
      </c>
      <c r="B104" s="4" t="s">
        <v>725</v>
      </c>
      <c r="D104" s="59" t="n">
        <f aca="false">D89+D90+D91+D92+D93+D94+D95+D96+D97+D98+D99+D100+D101+D102+D103</f>
        <v>3</v>
      </c>
      <c r="E104" s="59" t="n">
        <f aca="false">E89+E90+E91+E92+E93+E94+E95+E96+E97+E98+E99+E100+E101+E102+E103</f>
        <v>3</v>
      </c>
      <c r="F104" s="59" t="n">
        <f aca="false">F89+F90+F91+F92+F93+F94+F95+F96+F97+F98+F99+F100+F101+F102+F103</f>
        <v>7</v>
      </c>
      <c r="G104" s="59" t="n">
        <f aca="false">G89+G90+G91+G92+G93+G94+G95+G96+G97+G98+G99+G100+G101+G102+G103</f>
        <v>9</v>
      </c>
      <c r="H104" s="59" t="n">
        <f aca="false">H89+H90+H91+H92+H93+H94+H95+H96+H97+H98+H99+H100+H101+H102+H103</f>
        <v>9</v>
      </c>
      <c r="I104" s="59" t="n">
        <f aca="false">I89+I90+I91+I92+I93+I94+I95+I96+I97+I98+I99+I100+I101+I102+I103</f>
        <v>9</v>
      </c>
      <c r="J104" s="59" t="n">
        <f aca="false">J89+J90+J91+J92+J93+J94+J95+J96+J97+J98+J99+J100+J101+J102+J103</f>
        <v>9</v>
      </c>
      <c r="K104" s="59" t="n">
        <f aca="false">K89+K90+K91+K92+K93+K94+K95+K96+K97+K98+K99+K100+K101+K102+K103</f>
        <v>9</v>
      </c>
      <c r="L104" s="59" t="n">
        <f aca="false">L89+L90+L91+L92+L93+L94+L95+L96+L97+L98+L99+L100+L101+L102+L103</f>
        <v>11</v>
      </c>
      <c r="M104" s="59" t="n">
        <f aca="false">M89+M90+M91+M92+M93+M94+M95+M96+M97+M98+M99+M100+M101+M102+M103</f>
        <v>11</v>
      </c>
      <c r="N104" s="59" t="n">
        <f aca="false">N89+N90+N91+N92+N93+N94+N95+N96+N97+N98+N99+N100+N101+N102+N103</f>
        <v>11</v>
      </c>
      <c r="O104" s="59" t="n">
        <f aca="false">O89+O90+O91+O92+O93+O94+O95+O96+O97+O98+O99+O100+O101+O102+O103</f>
        <v>11</v>
      </c>
      <c r="P104" s="59" t="n">
        <f aca="false">P89+P90+P91+P92+P93+P94+P95+P96+P97+P98+P99+P100+P101+P102+P103</f>
        <v>20</v>
      </c>
      <c r="Q104" s="59" t="n">
        <f aca="false">Q89+Q90+Q91+Q92+Q93+Q94+Q95+Q96+Q97+Q98+Q99+Q100+Q101+Q102+Q103</f>
        <v>21</v>
      </c>
      <c r="R104" s="59" t="n">
        <f aca="false">R89+R90+R91+R92+R93+R94+R95+R96+R97+R98+R99+R100+R101+R102+R103</f>
        <v>21</v>
      </c>
      <c r="S104" s="59" t="n">
        <f aca="false">S89+S90+S91+S92+S93+S94+S95+S96+S97+S98+S99+S100+S101+S102+S103</f>
        <v>21</v>
      </c>
      <c r="T104" s="59" t="n">
        <f aca="false">T89+T90+T91+T92+T93+T94+T95+T96+T97+T98+T99+T100+T101+T102+T103</f>
        <v>22</v>
      </c>
      <c r="U104" s="59" t="n">
        <f aca="false">U89+U90+U91+U92+U93+U94+U95+U96+U97+U98+U99+U100+U101+U102+U103</f>
        <v>23</v>
      </c>
      <c r="V104" s="59" t="n">
        <f aca="false">V89+V90+V91+V92+V93+V94+V95+V96+V97+V98+V99+V100+V101+V102+V103</f>
        <v>23</v>
      </c>
      <c r="W104" s="59" t="n">
        <f aca="false">W89+W90+W91+W92+W93+W94+W95+W96+W97+W98+W99+W100+W101+W102+W103</f>
        <v>24</v>
      </c>
      <c r="X104" s="59" t="n">
        <f aca="false">X89+X90+X91+X92+X93+X94+X95+X96+X97+X98+X99+X100+X101+X102+X103</f>
        <v>25</v>
      </c>
      <c r="Y104" s="59" t="n">
        <f aca="false">Y89+Y90+Y91+Y92+Y93+Y94+Y95+Y96+Y97+Y98+Y99+Y100+Y101+Y102+Y103</f>
        <v>25</v>
      </c>
      <c r="Z104" s="59" t="n">
        <f aca="false">Z89+Z90+Z91+Z92+Z93+Z94+Z95+Z96+Z97+Z98+Z99+Z100+Z101+Z102+Z103</f>
        <v>25</v>
      </c>
      <c r="AA104" s="59" t="n">
        <f aca="false">AA89+AA90+AA91+AA92+AA93+AA94+AA95+AA96+AA97+AA98+AA99+AA100+AA101+AA102+AA103</f>
        <v>25</v>
      </c>
      <c r="AB104" s="59" t="n">
        <f aca="false">AB89+AB90+AB91+AB92+AB93+AB94+AB95+AB96+AB97+AB98+AB99+AB100+AB101+AB102+AB103</f>
        <v>38</v>
      </c>
      <c r="AC104" s="59" t="n">
        <f aca="false">AC89+AC90+AC91+AC92+AC93+AC94+AC95+AC96+AC97+AC98+AC99+AC100+AC101+AC102+AC103</f>
        <v>39</v>
      </c>
      <c r="AD104" s="59" t="n">
        <f aca="false">AD89+AD90+AD91+AD92+AD93+AD94+AD95+AD96+AD97+AD98+AD99+AD100+AD101+AD102+AD103</f>
        <v>40</v>
      </c>
      <c r="AE104" s="59" t="n">
        <f aca="false">AE89+AE90+AE91+AE92+AE93+AE94+AE95+AE96+AE97+AE98+AE99+AE100+AE101+AE102+AE103</f>
        <v>42</v>
      </c>
      <c r="AF104" s="59" t="n">
        <f aca="false">AF89+AF90+AF91+AF92+AF93+AF94+AF95+AF96+AF97+AF98+AF99+AF100+AF101+AF102+AF103</f>
        <v>43</v>
      </c>
      <c r="AG104" s="59" t="n">
        <f aca="false">AG89+AG90+AG91+AG92+AG93+AG94+AG95+AG96+AG97+AG98+AG99+AG100+AG101+AG102+AG103</f>
        <v>44</v>
      </c>
      <c r="AH104" s="59" t="n">
        <f aca="false">AH89+AH90+AH91+AH92+AH93+AH94+AH95+AH96+AH97+AH98+AH99+AH100+AH101+AH102+AH103</f>
        <v>45</v>
      </c>
      <c r="AI104" s="59" t="n">
        <f aca="false">AI89+AI90+AI91+AI92+AI93+AI94+AI95+AI96+AI97+AI98+AI99+AI100+AI101+AI102+AI103</f>
        <v>46</v>
      </c>
      <c r="AJ104" s="59" t="n">
        <f aca="false">AJ89+AJ90+AJ91+AJ92+AJ93+AJ94+AJ95+AJ96+AJ97+AJ98+AJ99+AJ100+AJ101+AJ102+AJ103</f>
        <v>49</v>
      </c>
      <c r="AK104" s="59" t="n">
        <f aca="false">AK89+AK90+AK91+AK92+AK93+AK94+AK95+AK96+AK97+AK98+AK99+AK100+AK101+AK102+AK103</f>
        <v>51</v>
      </c>
      <c r="AL104" s="59" t="n">
        <f aca="false">AL89+AL90+AL91+AL92+AL93+AL94+AL95+AL96+AL97+AL98+AL99+AL100+AL101+AL102+AL103</f>
        <v>51</v>
      </c>
      <c r="AM104" s="59" t="n">
        <f aca="false">AM89+AM90+AM91+AM92+AM93+AM94+AM95+AM96+AM97+AM98+AM99+AM100+AM101+AM102+AM103</f>
        <v>53</v>
      </c>
      <c r="AN104" s="59" t="n">
        <f aca="false">AN89+AN90+AN91+AN92+AN93+AN94+AN95+AN96+AN97+AN98+AN99+AN100+AN101+AN102+AN103</f>
        <v>68</v>
      </c>
      <c r="AO104" s="59" t="n">
        <f aca="false">AO89+AO90+AO91+AO92+AO93+AO94+AO95+AO96+AO97+AO98+AO99+AO100+AO101+AO102+AO103</f>
        <v>69</v>
      </c>
      <c r="AP104" s="59" t="n">
        <f aca="false">AP89+AP90+AP91+AP92+AP93+AP94+AP95+AP96+AP97+AP98+AP99+AP100+AP101+AP102+AP103</f>
        <v>70</v>
      </c>
      <c r="AQ104" s="59" t="n">
        <f aca="false">AQ89+AQ90+AQ91+AQ92+AQ93+AQ94+AQ95+AQ96+AQ97+AQ98+AQ99+AQ100+AQ101+AQ102+AQ103</f>
        <v>71</v>
      </c>
      <c r="AR104" s="59" t="n">
        <f aca="false">AR89+AR90+AR91+AR92+AR93+AR94+AR95+AR96+AR97+AR98+AR99+AR100+AR101+AR102+AR103</f>
        <v>74</v>
      </c>
      <c r="AS104" s="59" t="n">
        <f aca="false">AS89+AS90+AS91+AS92+AS93+AS94+AS95+AS96+AS97+AS98+AS99+AS100+AS101+AS102+AS103</f>
        <v>76</v>
      </c>
      <c r="AT104" s="59" t="n">
        <f aca="false">AT89+AT90+AT91+AT92+AT93+AT94+AT95+AT96+AT97+AT98+AT99+AT100+AT101+AT102+AT103</f>
        <v>77</v>
      </c>
      <c r="AU104" s="59" t="n">
        <f aca="false">AU89+AU90+AU91+AU92+AU93+AU94+AU95+AU96+AU97+AU98+AU99+AU100+AU101+AU102+AU103</f>
        <v>79</v>
      </c>
      <c r="AV104" s="59" t="n">
        <f aca="false">AV89+AV90+AV91+AV92+AV93+AV94+AV95+AV96+AV97+AV98+AV99+AV100+AV101+AV102+AV103</f>
        <v>83</v>
      </c>
      <c r="AW104" s="59" t="n">
        <f aca="false">AW89+AW90+AW91+AW92+AW93+AW94+AW95+AW96+AW97+AW98+AW99+AW100+AW101+AW102+AW103</f>
        <v>85</v>
      </c>
      <c r="AX104" s="59" t="n">
        <f aca="false">AX89+AX90+AX91+AX92+AX93+AX94+AX95+AX96+AX97+AX98+AX99+AX100+AX101+AX102+AX103</f>
        <v>86</v>
      </c>
      <c r="AY104" s="59" t="n">
        <f aca="false">AY89+AY90+AY91+AY92+AY93+AY94+AY95+AY96+AY97+AY98+AY99+AY100+AY101+AY102+AY103</f>
        <v>88</v>
      </c>
      <c r="AZ104" s="59" t="n">
        <f aca="false">AZ89+AZ90+AZ91+AZ92+AZ93+AZ94+AZ95+AZ96+AZ97+AZ98+AZ99+AZ100+AZ101+AZ102+AZ103</f>
        <v>104</v>
      </c>
      <c r="BA104" s="59" t="n">
        <f aca="false">BA89+BA90+BA91+BA92+BA93+BA94+BA95+BA96+BA97+BA98+BA99+BA100+BA101+BA102+BA103</f>
        <v>105</v>
      </c>
      <c r="BB104" s="59" t="n">
        <f aca="false">BB89+BB90+BB91+BB92+BB93+BB94+BB95+BB96+BB97+BB98+BB99+BB100+BB101+BB102+BB103</f>
        <v>106</v>
      </c>
      <c r="BC104" s="59" t="n">
        <f aca="false">BC89+BC90+BC91+BC92+BC93+BC94+BC95+BC96+BC97+BC98+BC99+BC100+BC101+BC102+BC103</f>
        <v>109</v>
      </c>
      <c r="BD104" s="59" t="n">
        <f aca="false">BD89+BD90+BD91+BD92+BD93+BD94+BD95+BD96+BD97+BD98+BD99+BD100+BD101+BD102+BD103</f>
        <v>112</v>
      </c>
      <c r="BE104" s="59" t="n">
        <f aca="false">BE89+BE90+BE91+BE92+BE93+BE94+BE95+BE96+BE97+BE98+BE99+BE100+BE101+BE102+BE103</f>
        <v>113</v>
      </c>
      <c r="BF104" s="59" t="n">
        <f aca="false">BF89+BF90+BF91+BF92+BF93+BF94+BF95+BF96+BF97+BF98+BF99+BF100+BF101+BF102+BF103</f>
        <v>116</v>
      </c>
      <c r="BG104" s="59" t="n">
        <f aca="false">BG89+BG90+BG91+BG92+BG93+BG94+BG95+BG96+BG97+BG98+BG99+BG100+BG101+BG102+BG103</f>
        <v>118</v>
      </c>
      <c r="BH104" s="59" t="n">
        <f aca="false">BH89+BH90+BH91+BH92+BH93+BH94+BH95+BH96+BH97+BH98+BH99+BH100+BH101+BH102+BH103</f>
        <v>122</v>
      </c>
      <c r="BI104" s="59" t="n">
        <f aca="false">BI89+BI90+BI91+BI92+BI93+BI94+BI95+BI96+BI97+BI98+BI99+BI100+BI101+BI102+BI103</f>
        <v>125</v>
      </c>
      <c r="BJ104" s="59" t="n">
        <f aca="false">BJ89+BJ90+BJ91+BJ92+BJ93+BJ94+BJ95+BJ96+BJ97+BJ98+BJ99+BJ100+BJ101+BJ102+BJ103</f>
        <v>126</v>
      </c>
      <c r="BK104" s="59" t="n">
        <f aca="false">BK89+BK90+BK91+BK92+BK93+BK94+BK95+BK96+BK97+BK98+BK99+BK100+BK101+BK102+BK103</f>
        <v>128</v>
      </c>
    </row>
    <row r="105" customFormat="false" ht="15" hidden="false" customHeight="true" outlineLevel="0" collapsed="false">
      <c r="A105" s="12" t="s">
        <v>1976</v>
      </c>
      <c r="B105" s="4" t="s">
        <v>725</v>
      </c>
      <c r="D105" s="20" t="n">
        <f aca="false">MAX(0,D104-0)</f>
        <v>3</v>
      </c>
      <c r="E105" s="20" t="n">
        <f aca="false">MAX(0,E104-D104)</f>
        <v>0</v>
      </c>
      <c r="F105" s="20" t="n">
        <f aca="false">MAX(0,F104-E104)</f>
        <v>4</v>
      </c>
      <c r="G105" s="20" t="n">
        <f aca="false">MAX(0,G104-F104)</f>
        <v>2</v>
      </c>
      <c r="H105" s="20" t="n">
        <f aca="false">MAX(0,H104-G104)</f>
        <v>0</v>
      </c>
      <c r="I105" s="20" t="n">
        <f aca="false">MAX(0,I104-H104)</f>
        <v>0</v>
      </c>
      <c r="J105" s="20" t="n">
        <f aca="false">MAX(0,J104-I104)</f>
        <v>0</v>
      </c>
      <c r="K105" s="20" t="n">
        <f aca="false">MAX(0,K104-J104)</f>
        <v>0</v>
      </c>
      <c r="L105" s="20" t="n">
        <f aca="false">MAX(0,L104-K104)</f>
        <v>2</v>
      </c>
      <c r="M105" s="20" t="n">
        <f aca="false">MAX(0,M104-L104)</f>
        <v>0</v>
      </c>
      <c r="N105" s="20" t="n">
        <f aca="false">MAX(0,N104-M104)</f>
        <v>0</v>
      </c>
      <c r="O105" s="20" t="n">
        <f aca="false">MAX(0,O104-N104)</f>
        <v>0</v>
      </c>
      <c r="P105" s="20" t="n">
        <f aca="false">MAX(0,P104-O104)</f>
        <v>9</v>
      </c>
      <c r="Q105" s="20" t="n">
        <f aca="false">MAX(0,Q104-P104)</f>
        <v>1</v>
      </c>
      <c r="R105" s="20" t="n">
        <f aca="false">MAX(0,R104-Q104)</f>
        <v>0</v>
      </c>
      <c r="S105" s="20" t="n">
        <f aca="false">MAX(0,S104-R104)</f>
        <v>0</v>
      </c>
      <c r="T105" s="20" t="n">
        <f aca="false">MAX(0,T104-S104)</f>
        <v>1</v>
      </c>
      <c r="U105" s="20" t="n">
        <f aca="false">MAX(0,U104-T104)</f>
        <v>1</v>
      </c>
      <c r="V105" s="20" t="n">
        <f aca="false">MAX(0,V104-U104)</f>
        <v>0</v>
      </c>
      <c r="W105" s="20" t="n">
        <f aca="false">MAX(0,W104-V104)</f>
        <v>1</v>
      </c>
      <c r="X105" s="20" t="n">
        <f aca="false">MAX(0,X104-W104)</f>
        <v>1</v>
      </c>
      <c r="Y105" s="20" t="n">
        <f aca="false">MAX(0,Y104-X104)</f>
        <v>0</v>
      </c>
      <c r="Z105" s="20" t="n">
        <f aca="false">MAX(0,Z104-Y104)</f>
        <v>0</v>
      </c>
      <c r="AA105" s="20" t="n">
        <f aca="false">MAX(0,AA104-Z104)</f>
        <v>0</v>
      </c>
      <c r="AB105" s="20" t="n">
        <f aca="false">MAX(0,AB104-AA104)</f>
        <v>13</v>
      </c>
      <c r="AC105" s="20" t="n">
        <f aca="false">MAX(0,AC104-AB104)</f>
        <v>1</v>
      </c>
      <c r="AD105" s="20" t="n">
        <f aca="false">MAX(0,AD104-AC104)</f>
        <v>1</v>
      </c>
      <c r="AE105" s="20" t="n">
        <f aca="false">MAX(0,AE104-AD104)</f>
        <v>2</v>
      </c>
      <c r="AF105" s="20" t="n">
        <f aca="false">MAX(0,AF104-AE104)</f>
        <v>1</v>
      </c>
      <c r="AG105" s="20" t="n">
        <f aca="false">MAX(0,AG104-AF104)</f>
        <v>1</v>
      </c>
      <c r="AH105" s="20" t="n">
        <f aca="false">MAX(0,AH104-AG104)</f>
        <v>1</v>
      </c>
      <c r="AI105" s="20" t="n">
        <f aca="false">MAX(0,AI104-AH104)</f>
        <v>1</v>
      </c>
      <c r="AJ105" s="20" t="n">
        <f aca="false">MAX(0,AJ104-AI104)</f>
        <v>3</v>
      </c>
      <c r="AK105" s="20" t="n">
        <f aca="false">MAX(0,AK104-AJ104)</f>
        <v>2</v>
      </c>
      <c r="AL105" s="20" t="n">
        <f aca="false">MAX(0,AL104-AK104)</f>
        <v>0</v>
      </c>
      <c r="AM105" s="20" t="n">
        <f aca="false">MAX(0,AM104-AL104)</f>
        <v>2</v>
      </c>
      <c r="AN105" s="20" t="n">
        <f aca="false">MAX(0,AN104-AM104)</f>
        <v>15</v>
      </c>
      <c r="AO105" s="20" t="n">
        <f aca="false">MAX(0,AO104-AN104)</f>
        <v>1</v>
      </c>
      <c r="AP105" s="20" t="n">
        <f aca="false">MAX(0,AP104-AO104)</f>
        <v>1</v>
      </c>
      <c r="AQ105" s="20" t="n">
        <f aca="false">MAX(0,AQ104-AP104)</f>
        <v>1</v>
      </c>
      <c r="AR105" s="20" t="n">
        <f aca="false">MAX(0,AR104-AQ104)</f>
        <v>3</v>
      </c>
      <c r="AS105" s="20" t="n">
        <f aca="false">MAX(0,AS104-AR104)</f>
        <v>2</v>
      </c>
      <c r="AT105" s="20" t="n">
        <f aca="false">MAX(0,AT104-AS104)</f>
        <v>1</v>
      </c>
      <c r="AU105" s="20" t="n">
        <f aca="false">MAX(0,AU104-AT104)</f>
        <v>2</v>
      </c>
      <c r="AV105" s="20" t="n">
        <f aca="false">MAX(0,AV104-AU104)</f>
        <v>4</v>
      </c>
      <c r="AW105" s="20" t="n">
        <f aca="false">MAX(0,AW104-AV104)</f>
        <v>2</v>
      </c>
      <c r="AX105" s="20" t="n">
        <f aca="false">MAX(0,AX104-AW104)</f>
        <v>1</v>
      </c>
      <c r="AY105" s="20" t="n">
        <f aca="false">MAX(0,AY104-AX104)</f>
        <v>2</v>
      </c>
      <c r="AZ105" s="20" t="n">
        <f aca="false">MAX(0,AZ104-AY104)</f>
        <v>16</v>
      </c>
      <c r="BA105" s="20" t="n">
        <f aca="false">MAX(0,BA104-AZ104)</f>
        <v>1</v>
      </c>
      <c r="BB105" s="20" t="n">
        <f aca="false">MAX(0,BB104-BA104)</f>
        <v>1</v>
      </c>
      <c r="BC105" s="20" t="n">
        <f aca="false">MAX(0,BC104-BB104)</f>
        <v>3</v>
      </c>
      <c r="BD105" s="20" t="n">
        <f aca="false">MAX(0,BD104-BC104)</f>
        <v>3</v>
      </c>
      <c r="BE105" s="20" t="n">
        <f aca="false">MAX(0,BE104-BD104)</f>
        <v>1</v>
      </c>
      <c r="BF105" s="20" t="n">
        <f aca="false">MAX(0,BF104-BE104)</f>
        <v>3</v>
      </c>
      <c r="BG105" s="20" t="n">
        <f aca="false">MAX(0,BG104-BF104)</f>
        <v>2</v>
      </c>
      <c r="BH105" s="20" t="n">
        <f aca="false">MAX(0,BH104-BG104)</f>
        <v>4</v>
      </c>
      <c r="BI105" s="20" t="n">
        <f aca="false">MAX(0,BI104-BH104)</f>
        <v>3</v>
      </c>
      <c r="BJ105" s="20" t="n">
        <f aca="false">MAX(0,BJ104-BI104)</f>
        <v>1</v>
      </c>
      <c r="BK105" s="20" t="n">
        <f aca="false">MAX(0,BK104-BJ104)</f>
        <v>2</v>
      </c>
    </row>
    <row r="106" customFormat="false" ht="15" hidden="false" customHeight="true" outlineLevel="0" collapsed="false">
      <c r="A106" s="12" t="s">
        <v>1977</v>
      </c>
      <c r="B106" s="4" t="s">
        <v>44</v>
      </c>
      <c r="D106" s="16" t="n">
        <f aca="false">D89*Inputs!$C$68*D69</f>
        <v>1.12</v>
      </c>
      <c r="E106" s="16" t="n">
        <f aca="false">E89*Inputs!$C$68*E69</f>
        <v>1.12</v>
      </c>
      <c r="F106" s="16" t="n">
        <f aca="false">F89*Inputs!$C$68*F69</f>
        <v>1.12</v>
      </c>
      <c r="G106" s="16" t="n">
        <f aca="false">G89*Inputs!$C$68*G69</f>
        <v>1.12</v>
      </c>
      <c r="H106" s="16" t="n">
        <f aca="false">H89*Inputs!$C$68*H69</f>
        <v>1.12</v>
      </c>
      <c r="I106" s="16" t="n">
        <f aca="false">I89*Inputs!$C$68*I69</f>
        <v>1.12</v>
      </c>
      <c r="J106" s="16" t="n">
        <f aca="false">J89*Inputs!$C$68*J69</f>
        <v>1.12</v>
      </c>
      <c r="K106" s="16" t="n">
        <f aca="false">K89*Inputs!$C$68*K69</f>
        <v>1.12</v>
      </c>
      <c r="L106" s="16" t="n">
        <f aca="false">L89*Inputs!$C$68*L69</f>
        <v>1.12</v>
      </c>
      <c r="M106" s="16" t="n">
        <f aca="false">M89*Inputs!$C$68*M69</f>
        <v>1.12</v>
      </c>
      <c r="N106" s="16" t="n">
        <f aca="false">N89*Inputs!$C$68*N69</f>
        <v>1.12</v>
      </c>
      <c r="O106" s="16" t="n">
        <f aca="false">O89*Inputs!$C$68*O69</f>
        <v>1.12</v>
      </c>
      <c r="P106" s="16" t="n">
        <f aca="false">P89*Inputs!$C$68*P69</f>
        <v>1.2096</v>
      </c>
      <c r="Q106" s="16" t="n">
        <f aca="false">Q89*Inputs!$C$68*Q69</f>
        <v>1.2096</v>
      </c>
      <c r="R106" s="16" t="n">
        <f aca="false">R89*Inputs!$C$68*R69</f>
        <v>1.2096</v>
      </c>
      <c r="S106" s="16" t="n">
        <f aca="false">S89*Inputs!$C$68*S69</f>
        <v>1.2096</v>
      </c>
      <c r="T106" s="16" t="n">
        <f aca="false">T89*Inputs!$C$68*T69</f>
        <v>1.2096</v>
      </c>
      <c r="U106" s="16" t="n">
        <f aca="false">U89*Inputs!$C$68*U69</f>
        <v>1.2096</v>
      </c>
      <c r="V106" s="16" t="n">
        <f aca="false">V89*Inputs!$C$68*V69</f>
        <v>1.2096</v>
      </c>
      <c r="W106" s="16" t="n">
        <f aca="false">W89*Inputs!$C$68*W69</f>
        <v>1.2096</v>
      </c>
      <c r="X106" s="16" t="n">
        <f aca="false">X89*Inputs!$C$68*X69</f>
        <v>1.2096</v>
      </c>
      <c r="Y106" s="16" t="n">
        <f aca="false">Y89*Inputs!$C$68*Y69</f>
        <v>1.2096</v>
      </c>
      <c r="Z106" s="16" t="n">
        <f aca="false">Z89*Inputs!$C$68*Z69</f>
        <v>1.2096</v>
      </c>
      <c r="AA106" s="16" t="n">
        <f aca="false">AA89*Inputs!$C$68*AA69</f>
        <v>1.2096</v>
      </c>
      <c r="AB106" s="16" t="n">
        <f aca="false">AB89*Inputs!$C$68*AB69</f>
        <v>1.306368</v>
      </c>
      <c r="AC106" s="16" t="n">
        <f aca="false">AC89*Inputs!$C$68*AC69</f>
        <v>1.306368</v>
      </c>
      <c r="AD106" s="16" t="n">
        <f aca="false">AD89*Inputs!$C$68*AD69</f>
        <v>1.306368</v>
      </c>
      <c r="AE106" s="16" t="n">
        <f aca="false">AE89*Inputs!$C$68*AE69</f>
        <v>1.306368</v>
      </c>
      <c r="AF106" s="16" t="n">
        <f aca="false">AF89*Inputs!$C$68*AF69</f>
        <v>1.306368</v>
      </c>
      <c r="AG106" s="16" t="n">
        <f aca="false">AG89*Inputs!$C$68*AG69</f>
        <v>1.306368</v>
      </c>
      <c r="AH106" s="16" t="n">
        <f aca="false">AH89*Inputs!$C$68*AH69</f>
        <v>1.306368</v>
      </c>
      <c r="AI106" s="16" t="n">
        <f aca="false">AI89*Inputs!$C$68*AI69</f>
        <v>1.306368</v>
      </c>
      <c r="AJ106" s="16" t="n">
        <f aca="false">AJ89*Inputs!$C$68*AJ69</f>
        <v>1.306368</v>
      </c>
      <c r="AK106" s="16" t="n">
        <f aca="false">AK89*Inputs!$C$68*AK69</f>
        <v>1.306368</v>
      </c>
      <c r="AL106" s="16" t="n">
        <f aca="false">AL89*Inputs!$C$68*AL69</f>
        <v>1.306368</v>
      </c>
      <c r="AM106" s="16" t="n">
        <f aca="false">AM89*Inputs!$C$68*AM69</f>
        <v>1.306368</v>
      </c>
      <c r="AN106" s="16" t="n">
        <f aca="false">AN89*Inputs!$C$68*AN69</f>
        <v>1.41087744</v>
      </c>
      <c r="AO106" s="16" t="n">
        <f aca="false">AO89*Inputs!$C$68*AO69</f>
        <v>1.41087744</v>
      </c>
      <c r="AP106" s="16" t="n">
        <f aca="false">AP89*Inputs!$C$68*AP69</f>
        <v>1.41087744</v>
      </c>
      <c r="AQ106" s="16" t="n">
        <f aca="false">AQ89*Inputs!$C$68*AQ69</f>
        <v>1.41087744</v>
      </c>
      <c r="AR106" s="16" t="n">
        <f aca="false">AR89*Inputs!$C$68*AR69</f>
        <v>1.41087744</v>
      </c>
      <c r="AS106" s="16" t="n">
        <f aca="false">AS89*Inputs!$C$68*AS69</f>
        <v>1.41087744</v>
      </c>
      <c r="AT106" s="16" t="n">
        <f aca="false">AT89*Inputs!$C$68*AT69</f>
        <v>1.41087744</v>
      </c>
      <c r="AU106" s="16" t="n">
        <f aca="false">AU89*Inputs!$C$68*AU69</f>
        <v>1.41087744</v>
      </c>
      <c r="AV106" s="16" t="n">
        <f aca="false">AV89*Inputs!$C$68*AV69</f>
        <v>1.41087744</v>
      </c>
      <c r="AW106" s="16" t="n">
        <f aca="false">AW89*Inputs!$C$68*AW69</f>
        <v>1.41087744</v>
      </c>
      <c r="AX106" s="16" t="n">
        <f aca="false">AX89*Inputs!$C$68*AX69</f>
        <v>1.41087744</v>
      </c>
      <c r="AY106" s="16" t="n">
        <f aca="false">AY89*Inputs!$C$68*AY69</f>
        <v>1.41087744</v>
      </c>
      <c r="AZ106" s="16" t="n">
        <f aca="false">AZ89*Inputs!$C$68*AZ69</f>
        <v>1.5237476352</v>
      </c>
      <c r="BA106" s="16" t="n">
        <f aca="false">BA89*Inputs!$C$68*BA69</f>
        <v>1.5237476352</v>
      </c>
      <c r="BB106" s="16" t="n">
        <f aca="false">BB89*Inputs!$C$68*BB69</f>
        <v>1.5237476352</v>
      </c>
      <c r="BC106" s="16" t="n">
        <f aca="false">BC89*Inputs!$C$68*BC69</f>
        <v>1.5237476352</v>
      </c>
      <c r="BD106" s="16" t="n">
        <f aca="false">BD89*Inputs!$C$68*BD69</f>
        <v>1.5237476352</v>
      </c>
      <c r="BE106" s="16" t="n">
        <f aca="false">BE89*Inputs!$C$68*BE69</f>
        <v>1.5237476352</v>
      </c>
      <c r="BF106" s="16" t="n">
        <f aca="false">BF89*Inputs!$C$68*BF69</f>
        <v>1.5237476352</v>
      </c>
      <c r="BG106" s="16" t="n">
        <f aca="false">BG89*Inputs!$C$68*BG69</f>
        <v>1.5237476352</v>
      </c>
      <c r="BH106" s="16" t="n">
        <f aca="false">BH89*Inputs!$C$68*BH69</f>
        <v>1.5237476352</v>
      </c>
      <c r="BI106" s="16" t="n">
        <f aca="false">BI89*Inputs!$C$68*BI69</f>
        <v>1.5237476352</v>
      </c>
      <c r="BJ106" s="16" t="n">
        <f aca="false">BJ89*Inputs!$C$68*BJ69</f>
        <v>1.5237476352</v>
      </c>
      <c r="BK106" s="16" t="n">
        <f aca="false">BK89*Inputs!$C$68*BK69</f>
        <v>1.5237476352</v>
      </c>
    </row>
    <row r="107" customFormat="false" ht="15" hidden="false" customHeight="true" outlineLevel="0" collapsed="false">
      <c r="A107" s="12" t="s">
        <v>1978</v>
      </c>
      <c r="B107" s="4" t="s">
        <v>44</v>
      </c>
      <c r="D107" s="16" t="n">
        <f aca="false">D90*Inputs!$C$68*D69</f>
        <v>1.12</v>
      </c>
      <c r="E107" s="16" t="n">
        <f aca="false">E90*Inputs!$C$68*E69</f>
        <v>1.12</v>
      </c>
      <c r="F107" s="16" t="n">
        <f aca="false">F90*Inputs!$C$68*F69</f>
        <v>1.12</v>
      </c>
      <c r="G107" s="16" t="n">
        <f aca="false">G90*Inputs!$C$68*G69</f>
        <v>1.12</v>
      </c>
      <c r="H107" s="16" t="n">
        <f aca="false">H90*Inputs!$C$68*H69</f>
        <v>1.12</v>
      </c>
      <c r="I107" s="16" t="n">
        <f aca="false">I90*Inputs!$C$68*I69</f>
        <v>1.12</v>
      </c>
      <c r="J107" s="16" t="n">
        <f aca="false">J90*Inputs!$C$68*J69</f>
        <v>1.12</v>
      </c>
      <c r="K107" s="16" t="n">
        <f aca="false">K90*Inputs!$C$68*K69</f>
        <v>1.12</v>
      </c>
      <c r="L107" s="16" t="n">
        <f aca="false">L90*Inputs!$C$68*L69</f>
        <v>1.12</v>
      </c>
      <c r="M107" s="16" t="n">
        <f aca="false">M90*Inputs!$C$68*M69</f>
        <v>1.12</v>
      </c>
      <c r="N107" s="16" t="n">
        <f aca="false">N90*Inputs!$C$68*N69</f>
        <v>1.12</v>
      </c>
      <c r="O107" s="16" t="n">
        <f aca="false">O90*Inputs!$C$68*O69</f>
        <v>1.12</v>
      </c>
      <c r="P107" s="16" t="n">
        <f aca="false">P90*Inputs!$C$68*P69</f>
        <v>1.2096</v>
      </c>
      <c r="Q107" s="16" t="n">
        <f aca="false">Q90*Inputs!$C$68*Q69</f>
        <v>1.2096</v>
      </c>
      <c r="R107" s="16" t="n">
        <f aca="false">R90*Inputs!$C$68*R69</f>
        <v>1.2096</v>
      </c>
      <c r="S107" s="16" t="n">
        <f aca="false">S90*Inputs!$C$68*S69</f>
        <v>1.2096</v>
      </c>
      <c r="T107" s="16" t="n">
        <f aca="false">T90*Inputs!$C$68*T69</f>
        <v>1.2096</v>
      </c>
      <c r="U107" s="16" t="n">
        <f aca="false">U90*Inputs!$C$68*U69</f>
        <v>1.2096</v>
      </c>
      <c r="V107" s="16" t="n">
        <f aca="false">V90*Inputs!$C$68*V69</f>
        <v>1.2096</v>
      </c>
      <c r="W107" s="16" t="n">
        <f aca="false">W90*Inputs!$C$68*W69</f>
        <v>1.2096</v>
      </c>
      <c r="X107" s="16" t="n">
        <f aca="false">X90*Inputs!$C$68*X69</f>
        <v>1.2096</v>
      </c>
      <c r="Y107" s="16" t="n">
        <f aca="false">Y90*Inputs!$C$68*Y69</f>
        <v>1.2096</v>
      </c>
      <c r="Z107" s="16" t="n">
        <f aca="false">Z90*Inputs!$C$68*Z69</f>
        <v>1.2096</v>
      </c>
      <c r="AA107" s="16" t="n">
        <f aca="false">AA90*Inputs!$C$68*AA69</f>
        <v>1.2096</v>
      </c>
      <c r="AB107" s="16" t="n">
        <f aca="false">AB90*Inputs!$C$68*AB69</f>
        <v>1.306368</v>
      </c>
      <c r="AC107" s="16" t="n">
        <f aca="false">AC90*Inputs!$C$68*AC69</f>
        <v>1.306368</v>
      </c>
      <c r="AD107" s="16" t="n">
        <f aca="false">AD90*Inputs!$C$68*AD69</f>
        <v>1.306368</v>
      </c>
      <c r="AE107" s="16" t="n">
        <f aca="false">AE90*Inputs!$C$68*AE69</f>
        <v>1.306368</v>
      </c>
      <c r="AF107" s="16" t="n">
        <f aca="false">AF90*Inputs!$C$68*AF69</f>
        <v>1.306368</v>
      </c>
      <c r="AG107" s="16" t="n">
        <f aca="false">AG90*Inputs!$C$68*AG69</f>
        <v>1.306368</v>
      </c>
      <c r="AH107" s="16" t="n">
        <f aca="false">AH90*Inputs!$C$68*AH69</f>
        <v>1.306368</v>
      </c>
      <c r="AI107" s="16" t="n">
        <f aca="false">AI90*Inputs!$C$68*AI69</f>
        <v>1.306368</v>
      </c>
      <c r="AJ107" s="16" t="n">
        <f aca="false">AJ90*Inputs!$C$68*AJ69</f>
        <v>1.306368</v>
      </c>
      <c r="AK107" s="16" t="n">
        <f aca="false">AK90*Inputs!$C$68*AK69</f>
        <v>1.306368</v>
      </c>
      <c r="AL107" s="16" t="n">
        <f aca="false">AL90*Inputs!$C$68*AL69</f>
        <v>1.306368</v>
      </c>
      <c r="AM107" s="16" t="n">
        <f aca="false">AM90*Inputs!$C$68*AM69</f>
        <v>1.306368</v>
      </c>
      <c r="AN107" s="16" t="n">
        <f aca="false">AN90*Inputs!$C$68*AN69</f>
        <v>1.41087744</v>
      </c>
      <c r="AO107" s="16" t="n">
        <f aca="false">AO90*Inputs!$C$68*AO69</f>
        <v>1.41087744</v>
      </c>
      <c r="AP107" s="16" t="n">
        <f aca="false">AP90*Inputs!$C$68*AP69</f>
        <v>1.41087744</v>
      </c>
      <c r="AQ107" s="16" t="n">
        <f aca="false">AQ90*Inputs!$C$68*AQ69</f>
        <v>1.41087744</v>
      </c>
      <c r="AR107" s="16" t="n">
        <f aca="false">AR90*Inputs!$C$68*AR69</f>
        <v>1.41087744</v>
      </c>
      <c r="AS107" s="16" t="n">
        <f aca="false">AS90*Inputs!$C$68*AS69</f>
        <v>1.41087744</v>
      </c>
      <c r="AT107" s="16" t="n">
        <f aca="false">AT90*Inputs!$C$68*AT69</f>
        <v>1.41087744</v>
      </c>
      <c r="AU107" s="16" t="n">
        <f aca="false">AU90*Inputs!$C$68*AU69</f>
        <v>1.41087744</v>
      </c>
      <c r="AV107" s="16" t="n">
        <f aca="false">AV90*Inputs!$C$68*AV69</f>
        <v>1.41087744</v>
      </c>
      <c r="AW107" s="16" t="n">
        <f aca="false">AW90*Inputs!$C$68*AW69</f>
        <v>1.41087744</v>
      </c>
      <c r="AX107" s="16" t="n">
        <f aca="false">AX90*Inputs!$C$68*AX69</f>
        <v>1.41087744</v>
      </c>
      <c r="AY107" s="16" t="n">
        <f aca="false">AY90*Inputs!$C$68*AY69</f>
        <v>1.41087744</v>
      </c>
      <c r="AZ107" s="16" t="n">
        <f aca="false">AZ90*Inputs!$C$68*AZ69</f>
        <v>1.5237476352</v>
      </c>
      <c r="BA107" s="16" t="n">
        <f aca="false">BA90*Inputs!$C$68*BA69</f>
        <v>1.5237476352</v>
      </c>
      <c r="BB107" s="16" t="n">
        <f aca="false">BB90*Inputs!$C$68*BB69</f>
        <v>1.5237476352</v>
      </c>
      <c r="BC107" s="16" t="n">
        <f aca="false">BC90*Inputs!$C$68*BC69</f>
        <v>1.5237476352</v>
      </c>
      <c r="BD107" s="16" t="n">
        <f aca="false">BD90*Inputs!$C$68*BD69</f>
        <v>1.5237476352</v>
      </c>
      <c r="BE107" s="16" t="n">
        <f aca="false">BE90*Inputs!$C$68*BE69</f>
        <v>1.5237476352</v>
      </c>
      <c r="BF107" s="16" t="n">
        <f aca="false">BF90*Inputs!$C$68*BF69</f>
        <v>1.5237476352</v>
      </c>
      <c r="BG107" s="16" t="n">
        <f aca="false">BG90*Inputs!$C$68*BG69</f>
        <v>1.5237476352</v>
      </c>
      <c r="BH107" s="16" t="n">
        <f aca="false">BH90*Inputs!$C$68*BH69</f>
        <v>1.5237476352</v>
      </c>
      <c r="BI107" s="16" t="n">
        <f aca="false">BI90*Inputs!$C$68*BI69</f>
        <v>1.5237476352</v>
      </c>
      <c r="BJ107" s="16" t="n">
        <f aca="false">BJ90*Inputs!$C$68*BJ69</f>
        <v>1.5237476352</v>
      </c>
      <c r="BK107" s="16" t="n">
        <f aca="false">BK90*Inputs!$C$68*BK69</f>
        <v>1.5237476352</v>
      </c>
    </row>
    <row r="108" customFormat="false" ht="15" hidden="false" customHeight="true" outlineLevel="0" collapsed="false">
      <c r="A108" s="12" t="s">
        <v>1979</v>
      </c>
      <c r="B108" s="4" t="s">
        <v>44</v>
      </c>
      <c r="D108" s="16" t="n">
        <f aca="false">D91*Inputs!$C$68*D69</f>
        <v>1.12</v>
      </c>
      <c r="E108" s="16" t="n">
        <f aca="false">E91*Inputs!$C$68*E69</f>
        <v>1.12</v>
      </c>
      <c r="F108" s="16" t="n">
        <f aca="false">F91*Inputs!$C$68*F69</f>
        <v>1.12</v>
      </c>
      <c r="G108" s="16" t="n">
        <f aca="false">G91*Inputs!$C$68*G69</f>
        <v>1.12</v>
      </c>
      <c r="H108" s="16" t="n">
        <f aca="false">H91*Inputs!$C$68*H69</f>
        <v>1.12</v>
      </c>
      <c r="I108" s="16" t="n">
        <f aca="false">I91*Inputs!$C$68*I69</f>
        <v>1.12</v>
      </c>
      <c r="J108" s="16" t="n">
        <f aca="false">J91*Inputs!$C$68*J69</f>
        <v>1.12</v>
      </c>
      <c r="K108" s="16" t="n">
        <f aca="false">K91*Inputs!$C$68*K69</f>
        <v>1.12</v>
      </c>
      <c r="L108" s="16" t="n">
        <f aca="false">L91*Inputs!$C$68*L69</f>
        <v>1.12</v>
      </c>
      <c r="M108" s="16" t="n">
        <f aca="false">M91*Inputs!$C$68*M69</f>
        <v>1.12</v>
      </c>
      <c r="N108" s="16" t="n">
        <f aca="false">N91*Inputs!$C$68*N69</f>
        <v>1.12</v>
      </c>
      <c r="O108" s="16" t="n">
        <f aca="false">O91*Inputs!$C$68*O69</f>
        <v>1.12</v>
      </c>
      <c r="P108" s="16" t="n">
        <f aca="false">P91*Inputs!$C$68*P69</f>
        <v>1.2096</v>
      </c>
      <c r="Q108" s="16" t="n">
        <f aca="false">Q91*Inputs!$C$68*Q69</f>
        <v>1.2096</v>
      </c>
      <c r="R108" s="16" t="n">
        <f aca="false">R91*Inputs!$C$68*R69</f>
        <v>1.2096</v>
      </c>
      <c r="S108" s="16" t="n">
        <f aca="false">S91*Inputs!$C$68*S69</f>
        <v>1.2096</v>
      </c>
      <c r="T108" s="16" t="n">
        <f aca="false">T91*Inputs!$C$68*T69</f>
        <v>1.2096</v>
      </c>
      <c r="U108" s="16" t="n">
        <f aca="false">U91*Inputs!$C$68*U69</f>
        <v>1.2096</v>
      </c>
      <c r="V108" s="16" t="n">
        <f aca="false">V91*Inputs!$C$68*V69</f>
        <v>1.2096</v>
      </c>
      <c r="W108" s="16" t="n">
        <f aca="false">W91*Inputs!$C$68*W69</f>
        <v>1.2096</v>
      </c>
      <c r="X108" s="16" t="n">
        <f aca="false">X91*Inputs!$C$68*X69</f>
        <v>1.2096</v>
      </c>
      <c r="Y108" s="16" t="n">
        <f aca="false">Y91*Inputs!$C$68*Y69</f>
        <v>1.2096</v>
      </c>
      <c r="Z108" s="16" t="n">
        <f aca="false">Z91*Inputs!$C$68*Z69</f>
        <v>1.2096</v>
      </c>
      <c r="AA108" s="16" t="n">
        <f aca="false">AA91*Inputs!$C$68*AA69</f>
        <v>1.2096</v>
      </c>
      <c r="AB108" s="16" t="n">
        <f aca="false">AB91*Inputs!$C$68*AB69</f>
        <v>1.306368</v>
      </c>
      <c r="AC108" s="16" t="n">
        <f aca="false">AC91*Inputs!$C$68*AC69</f>
        <v>1.306368</v>
      </c>
      <c r="AD108" s="16" t="n">
        <f aca="false">AD91*Inputs!$C$68*AD69</f>
        <v>1.306368</v>
      </c>
      <c r="AE108" s="16" t="n">
        <f aca="false">AE91*Inputs!$C$68*AE69</f>
        <v>1.306368</v>
      </c>
      <c r="AF108" s="16" t="n">
        <f aca="false">AF91*Inputs!$C$68*AF69</f>
        <v>1.306368</v>
      </c>
      <c r="AG108" s="16" t="n">
        <f aca="false">AG91*Inputs!$C$68*AG69</f>
        <v>1.306368</v>
      </c>
      <c r="AH108" s="16" t="n">
        <f aca="false">AH91*Inputs!$C$68*AH69</f>
        <v>1.306368</v>
      </c>
      <c r="AI108" s="16" t="n">
        <f aca="false">AI91*Inputs!$C$68*AI69</f>
        <v>1.306368</v>
      </c>
      <c r="AJ108" s="16" t="n">
        <f aca="false">AJ91*Inputs!$C$68*AJ69</f>
        <v>1.306368</v>
      </c>
      <c r="AK108" s="16" t="n">
        <f aca="false">AK91*Inputs!$C$68*AK69</f>
        <v>1.306368</v>
      </c>
      <c r="AL108" s="16" t="n">
        <f aca="false">AL91*Inputs!$C$68*AL69</f>
        <v>1.306368</v>
      </c>
      <c r="AM108" s="16" t="n">
        <f aca="false">AM91*Inputs!$C$68*AM69</f>
        <v>1.306368</v>
      </c>
      <c r="AN108" s="16" t="n">
        <f aca="false">AN91*Inputs!$C$68*AN69</f>
        <v>1.41087744</v>
      </c>
      <c r="AO108" s="16" t="n">
        <f aca="false">AO91*Inputs!$C$68*AO69</f>
        <v>1.41087744</v>
      </c>
      <c r="AP108" s="16" t="n">
        <f aca="false">AP91*Inputs!$C$68*AP69</f>
        <v>1.41087744</v>
      </c>
      <c r="AQ108" s="16" t="n">
        <f aca="false">AQ91*Inputs!$C$68*AQ69</f>
        <v>1.41087744</v>
      </c>
      <c r="AR108" s="16" t="n">
        <f aca="false">AR91*Inputs!$C$68*AR69</f>
        <v>1.41087744</v>
      </c>
      <c r="AS108" s="16" t="n">
        <f aca="false">AS91*Inputs!$C$68*AS69</f>
        <v>1.41087744</v>
      </c>
      <c r="AT108" s="16" t="n">
        <f aca="false">AT91*Inputs!$C$68*AT69</f>
        <v>1.41087744</v>
      </c>
      <c r="AU108" s="16" t="n">
        <f aca="false">AU91*Inputs!$C$68*AU69</f>
        <v>1.41087744</v>
      </c>
      <c r="AV108" s="16" t="n">
        <f aca="false">AV91*Inputs!$C$68*AV69</f>
        <v>1.41087744</v>
      </c>
      <c r="AW108" s="16" t="n">
        <f aca="false">AW91*Inputs!$C$68*AW69</f>
        <v>1.41087744</v>
      </c>
      <c r="AX108" s="16" t="n">
        <f aca="false">AX91*Inputs!$C$68*AX69</f>
        <v>1.41087744</v>
      </c>
      <c r="AY108" s="16" t="n">
        <f aca="false">AY91*Inputs!$C$68*AY69</f>
        <v>1.41087744</v>
      </c>
      <c r="AZ108" s="16" t="n">
        <f aca="false">AZ91*Inputs!$C$68*AZ69</f>
        <v>1.5237476352</v>
      </c>
      <c r="BA108" s="16" t="n">
        <f aca="false">BA91*Inputs!$C$68*BA69</f>
        <v>1.5237476352</v>
      </c>
      <c r="BB108" s="16" t="n">
        <f aca="false">BB91*Inputs!$C$68*BB69</f>
        <v>1.5237476352</v>
      </c>
      <c r="BC108" s="16" t="n">
        <f aca="false">BC91*Inputs!$C$68*BC69</f>
        <v>1.5237476352</v>
      </c>
      <c r="BD108" s="16" t="n">
        <f aca="false">BD91*Inputs!$C$68*BD69</f>
        <v>1.5237476352</v>
      </c>
      <c r="BE108" s="16" t="n">
        <f aca="false">BE91*Inputs!$C$68*BE69</f>
        <v>1.5237476352</v>
      </c>
      <c r="BF108" s="16" t="n">
        <f aca="false">BF91*Inputs!$C$68*BF69</f>
        <v>1.5237476352</v>
      </c>
      <c r="BG108" s="16" t="n">
        <f aca="false">BG91*Inputs!$C$68*BG69</f>
        <v>1.5237476352</v>
      </c>
      <c r="BH108" s="16" t="n">
        <f aca="false">BH91*Inputs!$C$68*BH69</f>
        <v>1.5237476352</v>
      </c>
      <c r="BI108" s="16" t="n">
        <f aca="false">BI91*Inputs!$C$68*BI69</f>
        <v>1.5237476352</v>
      </c>
      <c r="BJ108" s="16" t="n">
        <f aca="false">BJ91*Inputs!$C$68*BJ69</f>
        <v>1.5237476352</v>
      </c>
      <c r="BK108" s="16" t="n">
        <f aca="false">BK91*Inputs!$C$68*BK69</f>
        <v>1.5237476352</v>
      </c>
    </row>
    <row r="109" customFormat="false" ht="15" hidden="false" customHeight="true" outlineLevel="0" collapsed="false">
      <c r="A109" s="12" t="s">
        <v>1980</v>
      </c>
      <c r="B109" s="4" t="s">
        <v>44</v>
      </c>
      <c r="D109" s="16" t="n">
        <f aca="false">D92*Inputs!$C$69*D69</f>
        <v>0</v>
      </c>
      <c r="E109" s="16" t="n">
        <f aca="false">E92*Inputs!$C$69*E69</f>
        <v>0</v>
      </c>
      <c r="F109" s="16" t="n">
        <f aca="false">F92*Inputs!$C$69*F69</f>
        <v>1.68</v>
      </c>
      <c r="G109" s="16" t="n">
        <f aca="false">G92*Inputs!$C$69*G69</f>
        <v>1.68</v>
      </c>
      <c r="H109" s="16" t="n">
        <f aca="false">H92*Inputs!$C$69*H69</f>
        <v>1.68</v>
      </c>
      <c r="I109" s="16" t="n">
        <f aca="false">I92*Inputs!$C$69*I69</f>
        <v>1.68</v>
      </c>
      <c r="J109" s="16" t="n">
        <f aca="false">J92*Inputs!$C$69*J69</f>
        <v>1.68</v>
      </c>
      <c r="K109" s="16" t="n">
        <f aca="false">K92*Inputs!$C$69*K69</f>
        <v>1.68</v>
      </c>
      <c r="L109" s="16" t="n">
        <f aca="false">L92*Inputs!$C$69*L69</f>
        <v>1.68</v>
      </c>
      <c r="M109" s="16" t="n">
        <f aca="false">M92*Inputs!$C$69*M69</f>
        <v>1.68</v>
      </c>
      <c r="N109" s="16" t="n">
        <f aca="false">N92*Inputs!$C$69*N69</f>
        <v>1.68</v>
      </c>
      <c r="O109" s="16" t="n">
        <f aca="false">O92*Inputs!$C$69*O69</f>
        <v>1.68</v>
      </c>
      <c r="P109" s="16" t="n">
        <f aca="false">P92*Inputs!$C$69*P69</f>
        <v>3.6288</v>
      </c>
      <c r="Q109" s="16" t="n">
        <f aca="false">Q92*Inputs!$C$69*Q69</f>
        <v>3.6288</v>
      </c>
      <c r="R109" s="16" t="n">
        <f aca="false">R92*Inputs!$C$69*R69</f>
        <v>3.6288</v>
      </c>
      <c r="S109" s="16" t="n">
        <f aca="false">S92*Inputs!$C$69*S69</f>
        <v>3.6288</v>
      </c>
      <c r="T109" s="16" t="n">
        <f aca="false">T92*Inputs!$C$69*T69</f>
        <v>3.6288</v>
      </c>
      <c r="U109" s="16" t="n">
        <f aca="false">U92*Inputs!$C$69*U69</f>
        <v>3.6288</v>
      </c>
      <c r="V109" s="16" t="n">
        <f aca="false">V92*Inputs!$C$69*V69</f>
        <v>3.6288</v>
      </c>
      <c r="W109" s="16" t="n">
        <f aca="false">W92*Inputs!$C$69*W69</f>
        <v>3.6288</v>
      </c>
      <c r="X109" s="16" t="n">
        <f aca="false">X92*Inputs!$C$69*X69</f>
        <v>3.6288</v>
      </c>
      <c r="Y109" s="16" t="n">
        <f aca="false">Y92*Inputs!$C$69*Y69</f>
        <v>3.6288</v>
      </c>
      <c r="Z109" s="16" t="n">
        <f aca="false">Z92*Inputs!$C$69*Z69</f>
        <v>3.6288</v>
      </c>
      <c r="AA109" s="16" t="n">
        <f aca="false">AA92*Inputs!$C$69*AA69</f>
        <v>3.6288</v>
      </c>
      <c r="AB109" s="16" t="n">
        <f aca="false">AB92*Inputs!$C$69*AB69</f>
        <v>5.878656</v>
      </c>
      <c r="AC109" s="16" t="n">
        <f aca="false">AC92*Inputs!$C$69*AC69</f>
        <v>5.878656</v>
      </c>
      <c r="AD109" s="16" t="n">
        <f aca="false">AD92*Inputs!$C$69*AD69</f>
        <v>5.878656</v>
      </c>
      <c r="AE109" s="16" t="n">
        <f aca="false">AE92*Inputs!$C$69*AE69</f>
        <v>5.878656</v>
      </c>
      <c r="AF109" s="16" t="n">
        <f aca="false">AF92*Inputs!$C$69*AF69</f>
        <v>5.878656</v>
      </c>
      <c r="AG109" s="16" t="n">
        <f aca="false">AG92*Inputs!$C$69*AG69</f>
        <v>5.878656</v>
      </c>
      <c r="AH109" s="16" t="n">
        <f aca="false">AH92*Inputs!$C$69*AH69</f>
        <v>5.878656</v>
      </c>
      <c r="AI109" s="16" t="n">
        <f aca="false">AI92*Inputs!$C$69*AI69</f>
        <v>5.878656</v>
      </c>
      <c r="AJ109" s="16" t="n">
        <f aca="false">AJ92*Inputs!$C$69*AJ69</f>
        <v>5.878656</v>
      </c>
      <c r="AK109" s="16" t="n">
        <f aca="false">AK92*Inputs!$C$69*AK69</f>
        <v>5.878656</v>
      </c>
      <c r="AL109" s="16" t="n">
        <f aca="false">AL92*Inputs!$C$69*AL69</f>
        <v>5.878656</v>
      </c>
      <c r="AM109" s="16" t="n">
        <f aca="false">AM92*Inputs!$C$69*AM69</f>
        <v>5.878656</v>
      </c>
      <c r="AN109" s="16" t="n">
        <f aca="false">AN92*Inputs!$C$69*AN69</f>
        <v>8.46526464</v>
      </c>
      <c r="AO109" s="16" t="n">
        <f aca="false">AO92*Inputs!$C$69*AO69</f>
        <v>8.46526464</v>
      </c>
      <c r="AP109" s="16" t="n">
        <f aca="false">AP92*Inputs!$C$69*AP69</f>
        <v>8.46526464</v>
      </c>
      <c r="AQ109" s="16" t="n">
        <f aca="false">AQ92*Inputs!$C$69*AQ69</f>
        <v>8.46526464</v>
      </c>
      <c r="AR109" s="16" t="n">
        <f aca="false">AR92*Inputs!$C$69*AR69</f>
        <v>8.46526464</v>
      </c>
      <c r="AS109" s="16" t="n">
        <f aca="false">AS92*Inputs!$C$69*AS69</f>
        <v>8.46526464</v>
      </c>
      <c r="AT109" s="16" t="n">
        <f aca="false">AT92*Inputs!$C$69*AT69</f>
        <v>8.46526464</v>
      </c>
      <c r="AU109" s="16" t="n">
        <f aca="false">AU92*Inputs!$C$69*AU69</f>
        <v>8.46526464</v>
      </c>
      <c r="AV109" s="16" t="n">
        <f aca="false">AV92*Inputs!$C$69*AV69</f>
        <v>8.46526464</v>
      </c>
      <c r="AW109" s="16" t="n">
        <f aca="false">AW92*Inputs!$C$69*AW69</f>
        <v>8.46526464</v>
      </c>
      <c r="AX109" s="16" t="n">
        <f aca="false">AX92*Inputs!$C$69*AX69</f>
        <v>8.46526464</v>
      </c>
      <c r="AY109" s="16" t="n">
        <f aca="false">AY92*Inputs!$C$69*AY69</f>
        <v>8.46526464</v>
      </c>
      <c r="AZ109" s="16" t="n">
        <f aca="false">AZ92*Inputs!$C$69*AZ69</f>
        <v>11.428107264</v>
      </c>
      <c r="BA109" s="16" t="n">
        <f aca="false">BA92*Inputs!$C$69*BA69</f>
        <v>11.428107264</v>
      </c>
      <c r="BB109" s="16" t="n">
        <f aca="false">BB92*Inputs!$C$69*BB69</f>
        <v>11.428107264</v>
      </c>
      <c r="BC109" s="16" t="n">
        <f aca="false">BC92*Inputs!$C$69*BC69</f>
        <v>11.428107264</v>
      </c>
      <c r="BD109" s="16" t="n">
        <f aca="false">BD92*Inputs!$C$69*BD69</f>
        <v>11.428107264</v>
      </c>
      <c r="BE109" s="16" t="n">
        <f aca="false">BE92*Inputs!$C$69*BE69</f>
        <v>11.428107264</v>
      </c>
      <c r="BF109" s="16" t="n">
        <f aca="false">BF92*Inputs!$C$69*BF69</f>
        <v>11.428107264</v>
      </c>
      <c r="BG109" s="16" t="n">
        <f aca="false">BG92*Inputs!$C$69*BG69</f>
        <v>11.428107264</v>
      </c>
      <c r="BH109" s="16" t="n">
        <f aca="false">BH92*Inputs!$C$69*BH69</f>
        <v>11.428107264</v>
      </c>
      <c r="BI109" s="16" t="n">
        <f aca="false">BI92*Inputs!$C$69*BI69</f>
        <v>11.428107264</v>
      </c>
      <c r="BJ109" s="16" t="n">
        <f aca="false">BJ92*Inputs!$C$69*BJ69</f>
        <v>11.428107264</v>
      </c>
      <c r="BK109" s="16" t="n">
        <f aca="false">BK92*Inputs!$C$69*BK69</f>
        <v>11.428107264</v>
      </c>
    </row>
    <row r="110" customFormat="false" ht="15" hidden="false" customHeight="true" outlineLevel="0" collapsed="false">
      <c r="A110" s="12" t="s">
        <v>1981</v>
      </c>
      <c r="B110" s="4" t="s">
        <v>44</v>
      </c>
      <c r="D110" s="16" t="n">
        <f aca="false">D93*Inputs!$C$70*D69</f>
        <v>0</v>
      </c>
      <c r="E110" s="16" t="n">
        <f aca="false">E93*Inputs!$C$70*E69</f>
        <v>0</v>
      </c>
      <c r="F110" s="16" t="n">
        <f aca="false">F93*Inputs!$C$70*F69</f>
        <v>1.30666666666667</v>
      </c>
      <c r="G110" s="16" t="n">
        <f aca="false">G93*Inputs!$C$70*G69</f>
        <v>1.30666666666667</v>
      </c>
      <c r="H110" s="16" t="n">
        <f aca="false">H93*Inputs!$C$70*H69</f>
        <v>1.30666666666667</v>
      </c>
      <c r="I110" s="16" t="n">
        <f aca="false">I93*Inputs!$C$70*I69</f>
        <v>1.30666666666667</v>
      </c>
      <c r="J110" s="16" t="n">
        <f aca="false">J93*Inputs!$C$70*J69</f>
        <v>1.30666666666667</v>
      </c>
      <c r="K110" s="16" t="n">
        <f aca="false">K93*Inputs!$C$70*K69</f>
        <v>1.30666666666667</v>
      </c>
      <c r="L110" s="16" t="n">
        <f aca="false">L93*Inputs!$C$70*L69</f>
        <v>1.30666666666667</v>
      </c>
      <c r="M110" s="16" t="n">
        <f aca="false">M93*Inputs!$C$70*M69</f>
        <v>1.30666666666667</v>
      </c>
      <c r="N110" s="16" t="n">
        <f aca="false">N93*Inputs!$C$70*N69</f>
        <v>1.30666666666667</v>
      </c>
      <c r="O110" s="16" t="n">
        <f aca="false">O93*Inputs!$C$70*O69</f>
        <v>1.30666666666667</v>
      </c>
      <c r="P110" s="16" t="n">
        <f aca="false">P93*Inputs!$C$70*P69</f>
        <v>2.8224</v>
      </c>
      <c r="Q110" s="16" t="n">
        <f aca="false">Q93*Inputs!$C$70*Q69</f>
        <v>2.8224</v>
      </c>
      <c r="R110" s="16" t="n">
        <f aca="false">R93*Inputs!$C$70*R69</f>
        <v>2.8224</v>
      </c>
      <c r="S110" s="16" t="n">
        <f aca="false">S93*Inputs!$C$70*S69</f>
        <v>2.8224</v>
      </c>
      <c r="T110" s="16" t="n">
        <f aca="false">T93*Inputs!$C$70*T69</f>
        <v>2.8224</v>
      </c>
      <c r="U110" s="16" t="n">
        <f aca="false">U93*Inputs!$C$70*U69</f>
        <v>2.8224</v>
      </c>
      <c r="V110" s="16" t="n">
        <f aca="false">V93*Inputs!$C$70*V69</f>
        <v>2.8224</v>
      </c>
      <c r="W110" s="16" t="n">
        <f aca="false">W93*Inputs!$C$70*W69</f>
        <v>2.8224</v>
      </c>
      <c r="X110" s="16" t="n">
        <f aca="false">X93*Inputs!$C$70*X69</f>
        <v>2.8224</v>
      </c>
      <c r="Y110" s="16" t="n">
        <f aca="false">Y93*Inputs!$C$70*Y69</f>
        <v>2.8224</v>
      </c>
      <c r="Z110" s="16" t="n">
        <f aca="false">Z93*Inputs!$C$70*Z69</f>
        <v>2.8224</v>
      </c>
      <c r="AA110" s="16" t="n">
        <f aca="false">AA93*Inputs!$C$70*AA69</f>
        <v>2.8224</v>
      </c>
      <c r="AB110" s="16" t="n">
        <f aca="false">AB93*Inputs!$C$70*AB69</f>
        <v>4.572288</v>
      </c>
      <c r="AC110" s="16" t="n">
        <f aca="false">AC93*Inputs!$C$70*AC69</f>
        <v>4.572288</v>
      </c>
      <c r="AD110" s="16" t="n">
        <f aca="false">AD93*Inputs!$C$70*AD69</f>
        <v>4.572288</v>
      </c>
      <c r="AE110" s="16" t="n">
        <f aca="false">AE93*Inputs!$C$70*AE69</f>
        <v>4.572288</v>
      </c>
      <c r="AF110" s="16" t="n">
        <f aca="false">AF93*Inputs!$C$70*AF69</f>
        <v>4.572288</v>
      </c>
      <c r="AG110" s="16" t="n">
        <f aca="false">AG93*Inputs!$C$70*AG69</f>
        <v>4.572288</v>
      </c>
      <c r="AH110" s="16" t="n">
        <f aca="false">AH93*Inputs!$C$70*AH69</f>
        <v>4.572288</v>
      </c>
      <c r="AI110" s="16" t="n">
        <f aca="false">AI93*Inputs!$C$70*AI69</f>
        <v>4.572288</v>
      </c>
      <c r="AJ110" s="16" t="n">
        <f aca="false">AJ93*Inputs!$C$70*AJ69</f>
        <v>4.572288</v>
      </c>
      <c r="AK110" s="16" t="n">
        <f aca="false">AK93*Inputs!$C$70*AK69</f>
        <v>4.572288</v>
      </c>
      <c r="AL110" s="16" t="n">
        <f aca="false">AL93*Inputs!$C$70*AL69</f>
        <v>4.572288</v>
      </c>
      <c r="AM110" s="16" t="n">
        <f aca="false">AM93*Inputs!$C$70*AM69</f>
        <v>4.572288</v>
      </c>
      <c r="AN110" s="16" t="n">
        <f aca="false">AN93*Inputs!$C$70*AN69</f>
        <v>6.58409472</v>
      </c>
      <c r="AO110" s="16" t="n">
        <f aca="false">AO93*Inputs!$C$70*AO69</f>
        <v>6.58409472</v>
      </c>
      <c r="AP110" s="16" t="n">
        <f aca="false">AP93*Inputs!$C$70*AP69</f>
        <v>6.58409472</v>
      </c>
      <c r="AQ110" s="16" t="n">
        <f aca="false">AQ93*Inputs!$C$70*AQ69</f>
        <v>6.58409472</v>
      </c>
      <c r="AR110" s="16" t="n">
        <f aca="false">AR93*Inputs!$C$70*AR69</f>
        <v>6.58409472</v>
      </c>
      <c r="AS110" s="16" t="n">
        <f aca="false">AS93*Inputs!$C$70*AS69</f>
        <v>6.58409472</v>
      </c>
      <c r="AT110" s="16" t="n">
        <f aca="false">AT93*Inputs!$C$70*AT69</f>
        <v>6.58409472</v>
      </c>
      <c r="AU110" s="16" t="n">
        <f aca="false">AU93*Inputs!$C$70*AU69</f>
        <v>6.58409472</v>
      </c>
      <c r="AV110" s="16" t="n">
        <f aca="false">AV93*Inputs!$C$70*AV69</f>
        <v>6.58409472</v>
      </c>
      <c r="AW110" s="16" t="n">
        <f aca="false">AW93*Inputs!$C$70*AW69</f>
        <v>6.58409472</v>
      </c>
      <c r="AX110" s="16" t="n">
        <f aca="false">AX93*Inputs!$C$70*AX69</f>
        <v>6.58409472</v>
      </c>
      <c r="AY110" s="16" t="n">
        <f aca="false">AY93*Inputs!$C$70*AY69</f>
        <v>6.58409472</v>
      </c>
      <c r="AZ110" s="16" t="n">
        <f aca="false">AZ93*Inputs!$C$70*AZ69</f>
        <v>8.888527872</v>
      </c>
      <c r="BA110" s="16" t="n">
        <f aca="false">BA93*Inputs!$C$70*BA69</f>
        <v>8.888527872</v>
      </c>
      <c r="BB110" s="16" t="n">
        <f aca="false">BB93*Inputs!$C$70*BB69</f>
        <v>8.888527872</v>
      </c>
      <c r="BC110" s="16" t="n">
        <f aca="false">BC93*Inputs!$C$70*BC69</f>
        <v>8.888527872</v>
      </c>
      <c r="BD110" s="16" t="n">
        <f aca="false">BD93*Inputs!$C$70*BD69</f>
        <v>8.888527872</v>
      </c>
      <c r="BE110" s="16" t="n">
        <f aca="false">BE93*Inputs!$C$70*BE69</f>
        <v>8.888527872</v>
      </c>
      <c r="BF110" s="16" t="n">
        <f aca="false">BF93*Inputs!$C$70*BF69</f>
        <v>8.888527872</v>
      </c>
      <c r="BG110" s="16" t="n">
        <f aca="false">BG93*Inputs!$C$70*BG69</f>
        <v>8.888527872</v>
      </c>
      <c r="BH110" s="16" t="n">
        <f aca="false">BH93*Inputs!$C$70*BH69</f>
        <v>8.888527872</v>
      </c>
      <c r="BI110" s="16" t="n">
        <f aca="false">BI93*Inputs!$C$70*BI69</f>
        <v>8.888527872</v>
      </c>
      <c r="BJ110" s="16" t="n">
        <f aca="false">BJ93*Inputs!$C$70*BJ69</f>
        <v>8.888527872</v>
      </c>
      <c r="BK110" s="16" t="n">
        <f aca="false">BK93*Inputs!$C$70*BK69</f>
        <v>8.888527872</v>
      </c>
    </row>
    <row r="111" customFormat="false" ht="15" hidden="false" customHeight="true" outlineLevel="0" collapsed="false">
      <c r="A111" s="12" t="s">
        <v>1982</v>
      </c>
      <c r="B111" s="4" t="s">
        <v>44</v>
      </c>
      <c r="D111" s="16" t="n">
        <f aca="false">D94*Inputs!$C$71*D69</f>
        <v>0</v>
      </c>
      <c r="E111" s="16" t="n">
        <f aca="false">E94*Inputs!$C$71*E69</f>
        <v>0</v>
      </c>
      <c r="F111" s="16" t="n">
        <f aca="false">F94*Inputs!$C$71*F69</f>
        <v>0</v>
      </c>
      <c r="G111" s="16" t="n">
        <f aca="false">G94*Inputs!$C$71*G69</f>
        <v>0</v>
      </c>
      <c r="H111" s="16" t="n">
        <f aca="false">H94*Inputs!$C$71*H69</f>
        <v>0</v>
      </c>
      <c r="I111" s="16" t="n">
        <f aca="false">I94*Inputs!$C$71*I69</f>
        <v>0</v>
      </c>
      <c r="J111" s="16" t="n">
        <f aca="false">J94*Inputs!$C$71*J69</f>
        <v>0</v>
      </c>
      <c r="K111" s="16" t="n">
        <f aca="false">K94*Inputs!$C$71*K69</f>
        <v>0</v>
      </c>
      <c r="L111" s="16" t="n">
        <f aca="false">L94*Inputs!$C$71*L69</f>
        <v>0</v>
      </c>
      <c r="M111" s="16" t="n">
        <f aca="false">M94*Inputs!$C$71*M69</f>
        <v>0</v>
      </c>
      <c r="N111" s="16" t="n">
        <f aca="false">N94*Inputs!$C$71*N69</f>
        <v>0</v>
      </c>
      <c r="O111" s="16" t="n">
        <f aca="false">O94*Inputs!$C$71*O69</f>
        <v>0</v>
      </c>
      <c r="P111" s="16" t="n">
        <f aca="false">P94*Inputs!$C$71*P69</f>
        <v>1.512</v>
      </c>
      <c r="Q111" s="16" t="n">
        <f aca="false">Q94*Inputs!$C$71*Q69</f>
        <v>1.512</v>
      </c>
      <c r="R111" s="16" t="n">
        <f aca="false">R94*Inputs!$C$71*R69</f>
        <v>1.512</v>
      </c>
      <c r="S111" s="16" t="n">
        <f aca="false">S94*Inputs!$C$71*S69</f>
        <v>1.512</v>
      </c>
      <c r="T111" s="16" t="n">
        <f aca="false">T94*Inputs!$C$71*T69</f>
        <v>1.512</v>
      </c>
      <c r="U111" s="16" t="n">
        <f aca="false">U94*Inputs!$C$71*U69</f>
        <v>1.512</v>
      </c>
      <c r="V111" s="16" t="n">
        <f aca="false">V94*Inputs!$C$71*V69</f>
        <v>1.512</v>
      </c>
      <c r="W111" s="16" t="n">
        <f aca="false">W94*Inputs!$C$71*W69</f>
        <v>1.512</v>
      </c>
      <c r="X111" s="16" t="n">
        <f aca="false">X94*Inputs!$C$71*X69</f>
        <v>1.512</v>
      </c>
      <c r="Y111" s="16" t="n">
        <f aca="false">Y94*Inputs!$C$71*Y69</f>
        <v>1.512</v>
      </c>
      <c r="Z111" s="16" t="n">
        <f aca="false">Z94*Inputs!$C$71*Z69</f>
        <v>1.512</v>
      </c>
      <c r="AA111" s="16" t="n">
        <f aca="false">AA94*Inputs!$C$71*AA69</f>
        <v>1.512</v>
      </c>
      <c r="AB111" s="16" t="n">
        <f aca="false">AB94*Inputs!$C$71*AB69</f>
        <v>1.63296</v>
      </c>
      <c r="AC111" s="16" t="n">
        <f aca="false">AC94*Inputs!$C$71*AC69</f>
        <v>1.63296</v>
      </c>
      <c r="AD111" s="16" t="n">
        <f aca="false">AD94*Inputs!$C$71*AD69</f>
        <v>1.63296</v>
      </c>
      <c r="AE111" s="16" t="n">
        <f aca="false">AE94*Inputs!$C$71*AE69</f>
        <v>1.63296</v>
      </c>
      <c r="AF111" s="16" t="n">
        <f aca="false">AF94*Inputs!$C$71*AF69</f>
        <v>1.63296</v>
      </c>
      <c r="AG111" s="16" t="n">
        <f aca="false">AG94*Inputs!$C$71*AG69</f>
        <v>1.63296</v>
      </c>
      <c r="AH111" s="16" t="n">
        <f aca="false">AH94*Inputs!$C$71*AH69</f>
        <v>1.63296</v>
      </c>
      <c r="AI111" s="16" t="n">
        <f aca="false">AI94*Inputs!$C$71*AI69</f>
        <v>1.63296</v>
      </c>
      <c r="AJ111" s="16" t="n">
        <f aca="false">AJ94*Inputs!$C$71*AJ69</f>
        <v>1.63296</v>
      </c>
      <c r="AK111" s="16" t="n">
        <f aca="false">AK94*Inputs!$C$71*AK69</f>
        <v>1.63296</v>
      </c>
      <c r="AL111" s="16" t="n">
        <f aca="false">AL94*Inputs!$C$71*AL69</f>
        <v>1.63296</v>
      </c>
      <c r="AM111" s="16" t="n">
        <f aca="false">AM94*Inputs!$C$71*AM69</f>
        <v>1.63296</v>
      </c>
      <c r="AN111" s="16" t="n">
        <f aca="false">AN94*Inputs!$C$71*AN69</f>
        <v>3.5271936</v>
      </c>
      <c r="AO111" s="16" t="n">
        <f aca="false">AO94*Inputs!$C$71*AO69</f>
        <v>3.5271936</v>
      </c>
      <c r="AP111" s="16" t="n">
        <f aca="false">AP94*Inputs!$C$71*AP69</f>
        <v>3.5271936</v>
      </c>
      <c r="AQ111" s="16" t="n">
        <f aca="false">AQ94*Inputs!$C$71*AQ69</f>
        <v>3.5271936</v>
      </c>
      <c r="AR111" s="16" t="n">
        <f aca="false">AR94*Inputs!$C$71*AR69</f>
        <v>3.5271936</v>
      </c>
      <c r="AS111" s="16" t="n">
        <f aca="false">AS94*Inputs!$C$71*AS69</f>
        <v>3.5271936</v>
      </c>
      <c r="AT111" s="16" t="n">
        <f aca="false">AT94*Inputs!$C$71*AT69</f>
        <v>3.5271936</v>
      </c>
      <c r="AU111" s="16" t="n">
        <f aca="false">AU94*Inputs!$C$71*AU69</f>
        <v>3.5271936</v>
      </c>
      <c r="AV111" s="16" t="n">
        <f aca="false">AV94*Inputs!$C$71*AV69</f>
        <v>3.5271936</v>
      </c>
      <c r="AW111" s="16" t="n">
        <f aca="false">AW94*Inputs!$C$71*AW69</f>
        <v>3.5271936</v>
      </c>
      <c r="AX111" s="16" t="n">
        <f aca="false">AX94*Inputs!$C$71*AX69</f>
        <v>3.5271936</v>
      </c>
      <c r="AY111" s="16" t="n">
        <f aca="false">AY94*Inputs!$C$71*AY69</f>
        <v>3.5271936</v>
      </c>
      <c r="AZ111" s="16" t="n">
        <f aca="false">AZ94*Inputs!$C$71*AZ69</f>
        <v>3.809369088</v>
      </c>
      <c r="BA111" s="16" t="n">
        <f aca="false">BA94*Inputs!$C$71*BA69</f>
        <v>3.809369088</v>
      </c>
      <c r="BB111" s="16" t="n">
        <f aca="false">BB94*Inputs!$C$71*BB69</f>
        <v>3.809369088</v>
      </c>
      <c r="BC111" s="16" t="n">
        <f aca="false">BC94*Inputs!$C$71*BC69</f>
        <v>3.809369088</v>
      </c>
      <c r="BD111" s="16" t="n">
        <f aca="false">BD94*Inputs!$C$71*BD69</f>
        <v>3.809369088</v>
      </c>
      <c r="BE111" s="16" t="n">
        <f aca="false">BE94*Inputs!$C$71*BE69</f>
        <v>3.809369088</v>
      </c>
      <c r="BF111" s="16" t="n">
        <f aca="false">BF94*Inputs!$C$71*BF69</f>
        <v>3.809369088</v>
      </c>
      <c r="BG111" s="16" t="n">
        <f aca="false">BG94*Inputs!$C$71*BG69</f>
        <v>3.809369088</v>
      </c>
      <c r="BH111" s="16" t="n">
        <f aca="false">BH94*Inputs!$C$71*BH69</f>
        <v>3.809369088</v>
      </c>
      <c r="BI111" s="16" t="n">
        <f aca="false">BI94*Inputs!$C$71*BI69</f>
        <v>3.809369088</v>
      </c>
      <c r="BJ111" s="16" t="n">
        <f aca="false">BJ94*Inputs!$C$71*BJ69</f>
        <v>3.809369088</v>
      </c>
      <c r="BK111" s="16" t="n">
        <f aca="false">BK94*Inputs!$C$71*BK69</f>
        <v>3.809369088</v>
      </c>
    </row>
    <row r="112" customFormat="false" ht="15" hidden="false" customHeight="true" outlineLevel="0" collapsed="false">
      <c r="A112" s="12" t="s">
        <v>1983</v>
      </c>
      <c r="B112" s="4" t="s">
        <v>44</v>
      </c>
      <c r="D112" s="16" t="n">
        <f aca="false">D95*Inputs!$C$72*D69</f>
        <v>0</v>
      </c>
      <c r="E112" s="16" t="n">
        <f aca="false">E95*Inputs!$C$72*E69</f>
        <v>0</v>
      </c>
      <c r="F112" s="16" t="n">
        <f aca="false">F95*Inputs!$C$72*F69</f>
        <v>1.12</v>
      </c>
      <c r="G112" s="16" t="n">
        <f aca="false">G95*Inputs!$C$72*G69</f>
        <v>1.12</v>
      </c>
      <c r="H112" s="16" t="n">
        <f aca="false">H95*Inputs!$C$72*H69</f>
        <v>1.12</v>
      </c>
      <c r="I112" s="16" t="n">
        <f aca="false">I95*Inputs!$C$72*I69</f>
        <v>1.12</v>
      </c>
      <c r="J112" s="16" t="n">
        <f aca="false">J95*Inputs!$C$72*J69</f>
        <v>1.12</v>
      </c>
      <c r="K112" s="16" t="n">
        <f aca="false">K95*Inputs!$C$72*K69</f>
        <v>1.12</v>
      </c>
      <c r="L112" s="16" t="n">
        <f aca="false">L95*Inputs!$C$72*L69</f>
        <v>1.12</v>
      </c>
      <c r="M112" s="16" t="n">
        <f aca="false">M95*Inputs!$C$72*M69</f>
        <v>1.12</v>
      </c>
      <c r="N112" s="16" t="n">
        <f aca="false">N95*Inputs!$C$72*N69</f>
        <v>1.12</v>
      </c>
      <c r="O112" s="16" t="n">
        <f aca="false">O95*Inputs!$C$72*O69</f>
        <v>1.12</v>
      </c>
      <c r="P112" s="16" t="n">
        <f aca="false">P95*Inputs!$C$72*P69</f>
        <v>1.2096</v>
      </c>
      <c r="Q112" s="16" t="n">
        <f aca="false">Q95*Inputs!$C$72*Q69</f>
        <v>1.2096</v>
      </c>
      <c r="R112" s="16" t="n">
        <f aca="false">R95*Inputs!$C$72*R69</f>
        <v>1.2096</v>
      </c>
      <c r="S112" s="16" t="n">
        <f aca="false">S95*Inputs!$C$72*S69</f>
        <v>1.2096</v>
      </c>
      <c r="T112" s="16" t="n">
        <f aca="false">T95*Inputs!$C$72*T69</f>
        <v>1.2096</v>
      </c>
      <c r="U112" s="16" t="n">
        <f aca="false">U95*Inputs!$C$72*U69</f>
        <v>1.2096</v>
      </c>
      <c r="V112" s="16" t="n">
        <f aca="false">V95*Inputs!$C$72*V69</f>
        <v>1.2096</v>
      </c>
      <c r="W112" s="16" t="n">
        <f aca="false">W95*Inputs!$C$72*W69</f>
        <v>1.2096</v>
      </c>
      <c r="X112" s="16" t="n">
        <f aca="false">X95*Inputs!$C$72*X69</f>
        <v>1.2096</v>
      </c>
      <c r="Y112" s="16" t="n">
        <f aca="false">Y95*Inputs!$C$72*Y69</f>
        <v>1.2096</v>
      </c>
      <c r="Z112" s="16" t="n">
        <f aca="false">Z95*Inputs!$C$72*Z69</f>
        <v>1.2096</v>
      </c>
      <c r="AA112" s="16" t="n">
        <f aca="false">AA95*Inputs!$C$72*AA69</f>
        <v>1.2096</v>
      </c>
      <c r="AB112" s="16" t="n">
        <f aca="false">AB95*Inputs!$C$72*AB69</f>
        <v>2.612736</v>
      </c>
      <c r="AC112" s="16" t="n">
        <f aca="false">AC95*Inputs!$C$72*AC69</f>
        <v>2.612736</v>
      </c>
      <c r="AD112" s="16" t="n">
        <f aca="false">AD95*Inputs!$C$72*AD69</f>
        <v>2.612736</v>
      </c>
      <c r="AE112" s="16" t="n">
        <f aca="false">AE95*Inputs!$C$72*AE69</f>
        <v>2.612736</v>
      </c>
      <c r="AF112" s="16" t="n">
        <f aca="false">AF95*Inputs!$C$72*AF69</f>
        <v>2.612736</v>
      </c>
      <c r="AG112" s="16" t="n">
        <f aca="false">AG95*Inputs!$C$72*AG69</f>
        <v>2.612736</v>
      </c>
      <c r="AH112" s="16" t="n">
        <f aca="false">AH95*Inputs!$C$72*AH69</f>
        <v>2.612736</v>
      </c>
      <c r="AI112" s="16" t="n">
        <f aca="false">AI95*Inputs!$C$72*AI69</f>
        <v>2.612736</v>
      </c>
      <c r="AJ112" s="16" t="n">
        <f aca="false">AJ95*Inputs!$C$72*AJ69</f>
        <v>2.612736</v>
      </c>
      <c r="AK112" s="16" t="n">
        <f aca="false">AK95*Inputs!$C$72*AK69</f>
        <v>2.612736</v>
      </c>
      <c r="AL112" s="16" t="n">
        <f aca="false">AL95*Inputs!$C$72*AL69</f>
        <v>2.612736</v>
      </c>
      <c r="AM112" s="16" t="n">
        <f aca="false">AM95*Inputs!$C$72*AM69</f>
        <v>2.612736</v>
      </c>
      <c r="AN112" s="16" t="n">
        <f aca="false">AN95*Inputs!$C$72*AN69</f>
        <v>2.82175488</v>
      </c>
      <c r="AO112" s="16" t="n">
        <f aca="false">AO95*Inputs!$C$72*AO69</f>
        <v>2.82175488</v>
      </c>
      <c r="AP112" s="16" t="n">
        <f aca="false">AP95*Inputs!$C$72*AP69</f>
        <v>2.82175488</v>
      </c>
      <c r="AQ112" s="16" t="n">
        <f aca="false">AQ95*Inputs!$C$72*AQ69</f>
        <v>2.82175488</v>
      </c>
      <c r="AR112" s="16" t="n">
        <f aca="false">AR95*Inputs!$C$72*AR69</f>
        <v>2.82175488</v>
      </c>
      <c r="AS112" s="16" t="n">
        <f aca="false">AS95*Inputs!$C$72*AS69</f>
        <v>2.82175488</v>
      </c>
      <c r="AT112" s="16" t="n">
        <f aca="false">AT95*Inputs!$C$72*AT69</f>
        <v>2.82175488</v>
      </c>
      <c r="AU112" s="16" t="n">
        <f aca="false">AU95*Inputs!$C$72*AU69</f>
        <v>2.82175488</v>
      </c>
      <c r="AV112" s="16" t="n">
        <f aca="false">AV95*Inputs!$C$72*AV69</f>
        <v>2.82175488</v>
      </c>
      <c r="AW112" s="16" t="n">
        <f aca="false">AW95*Inputs!$C$72*AW69</f>
        <v>2.82175488</v>
      </c>
      <c r="AX112" s="16" t="n">
        <f aca="false">AX95*Inputs!$C$72*AX69</f>
        <v>2.82175488</v>
      </c>
      <c r="AY112" s="16" t="n">
        <f aca="false">AY95*Inputs!$C$72*AY69</f>
        <v>2.82175488</v>
      </c>
      <c r="AZ112" s="16" t="n">
        <f aca="false">AZ95*Inputs!$C$72*AZ69</f>
        <v>4.5712429056</v>
      </c>
      <c r="BA112" s="16" t="n">
        <f aca="false">BA95*Inputs!$C$72*BA69</f>
        <v>4.5712429056</v>
      </c>
      <c r="BB112" s="16" t="n">
        <f aca="false">BB95*Inputs!$C$72*BB69</f>
        <v>4.5712429056</v>
      </c>
      <c r="BC112" s="16" t="n">
        <f aca="false">BC95*Inputs!$C$72*BC69</f>
        <v>4.5712429056</v>
      </c>
      <c r="BD112" s="16" t="n">
        <f aca="false">BD95*Inputs!$C$72*BD69</f>
        <v>4.5712429056</v>
      </c>
      <c r="BE112" s="16" t="n">
        <f aca="false">BE95*Inputs!$C$72*BE69</f>
        <v>4.5712429056</v>
      </c>
      <c r="BF112" s="16" t="n">
        <f aca="false">BF95*Inputs!$C$72*BF69</f>
        <v>4.5712429056</v>
      </c>
      <c r="BG112" s="16" t="n">
        <f aca="false">BG95*Inputs!$C$72*BG69</f>
        <v>4.5712429056</v>
      </c>
      <c r="BH112" s="16" t="n">
        <f aca="false">BH95*Inputs!$C$72*BH69</f>
        <v>4.5712429056</v>
      </c>
      <c r="BI112" s="16" t="n">
        <f aca="false">BI95*Inputs!$C$72*BI69</f>
        <v>4.5712429056</v>
      </c>
      <c r="BJ112" s="16" t="n">
        <f aca="false">BJ95*Inputs!$C$72*BJ69</f>
        <v>4.5712429056</v>
      </c>
      <c r="BK112" s="16" t="n">
        <f aca="false">BK95*Inputs!$C$72*BK69</f>
        <v>4.5712429056</v>
      </c>
    </row>
    <row r="113" customFormat="false" ht="15" hidden="false" customHeight="true" outlineLevel="0" collapsed="false">
      <c r="A113" s="12" t="s">
        <v>1984</v>
      </c>
      <c r="B113" s="4" t="s">
        <v>44</v>
      </c>
      <c r="D113" s="16" t="n">
        <f aca="false">D96*Inputs!$C$73*D69</f>
        <v>0</v>
      </c>
      <c r="E113" s="16" t="n">
        <f aca="false">E96*Inputs!$C$73*E69</f>
        <v>0</v>
      </c>
      <c r="F113" s="16" t="n">
        <f aca="false">F96*Inputs!$C$73*F69</f>
        <v>0</v>
      </c>
      <c r="G113" s="16" t="n">
        <f aca="false">G96*Inputs!$C$73*G69</f>
        <v>0</v>
      </c>
      <c r="H113" s="16" t="n">
        <f aca="false">H96*Inputs!$C$73*H69</f>
        <v>0</v>
      </c>
      <c r="I113" s="16" t="n">
        <f aca="false">I96*Inputs!$C$73*I69</f>
        <v>0</v>
      </c>
      <c r="J113" s="16" t="n">
        <f aca="false">J96*Inputs!$C$73*J69</f>
        <v>0</v>
      </c>
      <c r="K113" s="16" t="n">
        <f aca="false">K96*Inputs!$C$73*K69</f>
        <v>0</v>
      </c>
      <c r="L113" s="16" t="n">
        <f aca="false">L96*Inputs!$C$73*L69</f>
        <v>0</v>
      </c>
      <c r="M113" s="16" t="n">
        <f aca="false">M96*Inputs!$C$73*M69</f>
        <v>0</v>
      </c>
      <c r="N113" s="16" t="n">
        <f aca="false">N96*Inputs!$C$73*N69</f>
        <v>0</v>
      </c>
      <c r="O113" s="16" t="n">
        <f aca="false">O96*Inputs!$C$73*O69</f>
        <v>0</v>
      </c>
      <c r="P113" s="16" t="n">
        <f aca="false">P96*Inputs!$C$73*P69</f>
        <v>2.4192</v>
      </c>
      <c r="Q113" s="16" t="n">
        <f aca="false">Q96*Inputs!$C$73*Q69</f>
        <v>2.4192</v>
      </c>
      <c r="R113" s="16" t="n">
        <f aca="false">R96*Inputs!$C$73*R69</f>
        <v>2.4192</v>
      </c>
      <c r="S113" s="16" t="n">
        <f aca="false">S96*Inputs!$C$73*S69</f>
        <v>2.4192</v>
      </c>
      <c r="T113" s="16" t="n">
        <f aca="false">T96*Inputs!$C$73*T69</f>
        <v>2.4192</v>
      </c>
      <c r="U113" s="16" t="n">
        <f aca="false">U96*Inputs!$C$73*U69</f>
        <v>2.4192</v>
      </c>
      <c r="V113" s="16" t="n">
        <f aca="false">V96*Inputs!$C$73*V69</f>
        <v>2.4192</v>
      </c>
      <c r="W113" s="16" t="n">
        <f aca="false">W96*Inputs!$C$73*W69</f>
        <v>2.4192</v>
      </c>
      <c r="X113" s="16" t="n">
        <f aca="false">X96*Inputs!$C$73*X69</f>
        <v>2.4192</v>
      </c>
      <c r="Y113" s="16" t="n">
        <f aca="false">Y96*Inputs!$C$73*Y69</f>
        <v>2.4192</v>
      </c>
      <c r="Z113" s="16" t="n">
        <f aca="false">Z96*Inputs!$C$73*Z69</f>
        <v>2.4192</v>
      </c>
      <c r="AA113" s="16" t="n">
        <f aca="false">AA96*Inputs!$C$73*AA69</f>
        <v>2.4192</v>
      </c>
      <c r="AB113" s="16" t="n">
        <f aca="false">AB96*Inputs!$C$73*AB69</f>
        <v>2.612736</v>
      </c>
      <c r="AC113" s="16" t="n">
        <f aca="false">AC96*Inputs!$C$73*AC69</f>
        <v>2.612736</v>
      </c>
      <c r="AD113" s="16" t="n">
        <f aca="false">AD96*Inputs!$C$73*AD69</f>
        <v>2.612736</v>
      </c>
      <c r="AE113" s="16" t="n">
        <f aca="false">AE96*Inputs!$C$73*AE69</f>
        <v>2.612736</v>
      </c>
      <c r="AF113" s="16" t="n">
        <f aca="false">AF96*Inputs!$C$73*AF69</f>
        <v>2.612736</v>
      </c>
      <c r="AG113" s="16" t="n">
        <f aca="false">AG96*Inputs!$C$73*AG69</f>
        <v>2.612736</v>
      </c>
      <c r="AH113" s="16" t="n">
        <f aca="false">AH96*Inputs!$C$73*AH69</f>
        <v>2.612736</v>
      </c>
      <c r="AI113" s="16" t="n">
        <f aca="false">AI96*Inputs!$C$73*AI69</f>
        <v>2.612736</v>
      </c>
      <c r="AJ113" s="16" t="n">
        <f aca="false">AJ96*Inputs!$C$73*AJ69</f>
        <v>2.612736</v>
      </c>
      <c r="AK113" s="16" t="n">
        <f aca="false">AK96*Inputs!$C$73*AK69</f>
        <v>2.612736</v>
      </c>
      <c r="AL113" s="16" t="n">
        <f aca="false">AL96*Inputs!$C$73*AL69</f>
        <v>2.612736</v>
      </c>
      <c r="AM113" s="16" t="n">
        <f aca="false">AM96*Inputs!$C$73*AM69</f>
        <v>2.612736</v>
      </c>
      <c r="AN113" s="16" t="n">
        <f aca="false">AN96*Inputs!$C$73*AN69</f>
        <v>2.82175488</v>
      </c>
      <c r="AO113" s="16" t="n">
        <f aca="false">AO96*Inputs!$C$73*AO69</f>
        <v>2.82175488</v>
      </c>
      <c r="AP113" s="16" t="n">
        <f aca="false">AP96*Inputs!$C$73*AP69</f>
        <v>2.82175488</v>
      </c>
      <c r="AQ113" s="16" t="n">
        <f aca="false">AQ96*Inputs!$C$73*AQ69</f>
        <v>2.82175488</v>
      </c>
      <c r="AR113" s="16" t="n">
        <f aca="false">AR96*Inputs!$C$73*AR69</f>
        <v>2.82175488</v>
      </c>
      <c r="AS113" s="16" t="n">
        <f aca="false">AS96*Inputs!$C$73*AS69</f>
        <v>2.82175488</v>
      </c>
      <c r="AT113" s="16" t="n">
        <f aca="false">AT96*Inputs!$C$73*AT69</f>
        <v>2.82175488</v>
      </c>
      <c r="AU113" s="16" t="n">
        <f aca="false">AU96*Inputs!$C$73*AU69</f>
        <v>2.82175488</v>
      </c>
      <c r="AV113" s="16" t="n">
        <f aca="false">AV96*Inputs!$C$73*AV69</f>
        <v>2.82175488</v>
      </c>
      <c r="AW113" s="16" t="n">
        <f aca="false">AW96*Inputs!$C$73*AW69</f>
        <v>2.82175488</v>
      </c>
      <c r="AX113" s="16" t="n">
        <f aca="false">AX96*Inputs!$C$73*AX69</f>
        <v>2.82175488</v>
      </c>
      <c r="AY113" s="16" t="n">
        <f aca="false">AY96*Inputs!$C$73*AY69</f>
        <v>2.82175488</v>
      </c>
      <c r="AZ113" s="16" t="n">
        <f aca="false">AZ96*Inputs!$C$73*AZ69</f>
        <v>6.0949905408</v>
      </c>
      <c r="BA113" s="16" t="n">
        <f aca="false">BA96*Inputs!$C$73*BA69</f>
        <v>6.0949905408</v>
      </c>
      <c r="BB113" s="16" t="n">
        <f aca="false">BB96*Inputs!$C$73*BB69</f>
        <v>6.0949905408</v>
      </c>
      <c r="BC113" s="16" t="n">
        <f aca="false">BC96*Inputs!$C$73*BC69</f>
        <v>6.0949905408</v>
      </c>
      <c r="BD113" s="16" t="n">
        <f aca="false">BD96*Inputs!$C$73*BD69</f>
        <v>6.0949905408</v>
      </c>
      <c r="BE113" s="16" t="n">
        <f aca="false">BE96*Inputs!$C$73*BE69</f>
        <v>6.0949905408</v>
      </c>
      <c r="BF113" s="16" t="n">
        <f aca="false">BF96*Inputs!$C$73*BF69</f>
        <v>6.0949905408</v>
      </c>
      <c r="BG113" s="16" t="n">
        <f aca="false">BG96*Inputs!$C$73*BG69</f>
        <v>6.0949905408</v>
      </c>
      <c r="BH113" s="16" t="n">
        <f aca="false">BH96*Inputs!$C$73*BH69</f>
        <v>6.0949905408</v>
      </c>
      <c r="BI113" s="16" t="n">
        <f aca="false">BI96*Inputs!$C$73*BI69</f>
        <v>6.0949905408</v>
      </c>
      <c r="BJ113" s="16" t="n">
        <f aca="false">BJ96*Inputs!$C$73*BJ69</f>
        <v>6.0949905408</v>
      </c>
      <c r="BK113" s="16" t="n">
        <f aca="false">BK96*Inputs!$C$73*BK69</f>
        <v>6.0949905408</v>
      </c>
    </row>
    <row r="114" customFormat="false" ht="15" hidden="false" customHeight="true" outlineLevel="0" collapsed="false">
      <c r="A114" s="12" t="s">
        <v>1985</v>
      </c>
      <c r="B114" s="4" t="s">
        <v>44</v>
      </c>
      <c r="D114" s="16" t="n">
        <f aca="false">D97*Inputs!$C$77*D69</f>
        <v>0</v>
      </c>
      <c r="E114" s="16" t="n">
        <f aca="false">E97*Inputs!$C$77*E69</f>
        <v>0</v>
      </c>
      <c r="F114" s="16" t="n">
        <f aca="false">F97*Inputs!$C$77*F69</f>
        <v>0</v>
      </c>
      <c r="G114" s="16" t="n">
        <f aca="false">G97*Inputs!$C$77*G69</f>
        <v>1.30666666666667</v>
      </c>
      <c r="H114" s="16" t="n">
        <f aca="false">H97*Inputs!$C$77*H69</f>
        <v>1.30666666666667</v>
      </c>
      <c r="I114" s="16" t="n">
        <f aca="false">I97*Inputs!$C$77*I69</f>
        <v>1.30666666666667</v>
      </c>
      <c r="J114" s="16" t="n">
        <f aca="false">J97*Inputs!$C$77*J69</f>
        <v>1.30666666666667</v>
      </c>
      <c r="K114" s="16" t="n">
        <f aca="false">K97*Inputs!$C$77*K69</f>
        <v>1.30666666666667</v>
      </c>
      <c r="L114" s="16" t="n">
        <f aca="false">L97*Inputs!$C$77*L69</f>
        <v>1.30666666666667</v>
      </c>
      <c r="M114" s="16" t="n">
        <f aca="false">M97*Inputs!$C$77*M69</f>
        <v>1.30666666666667</v>
      </c>
      <c r="N114" s="16" t="n">
        <f aca="false">N97*Inputs!$C$77*N69</f>
        <v>1.30666666666667</v>
      </c>
      <c r="O114" s="16" t="n">
        <f aca="false">O97*Inputs!$C$77*O69</f>
        <v>1.30666666666667</v>
      </c>
      <c r="P114" s="16" t="n">
        <f aca="false">P97*Inputs!$C$77*P69</f>
        <v>5.6448</v>
      </c>
      <c r="Q114" s="16" t="n">
        <f aca="false">Q97*Inputs!$C$77*Q69</f>
        <v>5.6448</v>
      </c>
      <c r="R114" s="16" t="n">
        <f aca="false">R97*Inputs!$C$77*R69</f>
        <v>5.6448</v>
      </c>
      <c r="S114" s="16" t="n">
        <f aca="false">S97*Inputs!$C$77*S69</f>
        <v>5.6448</v>
      </c>
      <c r="T114" s="16" t="n">
        <f aca="false">T97*Inputs!$C$77*T69</f>
        <v>5.6448</v>
      </c>
      <c r="U114" s="16" t="n">
        <f aca="false">U97*Inputs!$C$77*U69</f>
        <v>5.6448</v>
      </c>
      <c r="V114" s="16" t="n">
        <f aca="false">V97*Inputs!$C$77*V69</f>
        <v>5.6448</v>
      </c>
      <c r="W114" s="16" t="n">
        <f aca="false">W97*Inputs!$C$77*W69</f>
        <v>5.6448</v>
      </c>
      <c r="X114" s="16" t="n">
        <f aca="false">X97*Inputs!$C$77*X69</f>
        <v>5.6448</v>
      </c>
      <c r="Y114" s="16" t="n">
        <f aca="false">Y97*Inputs!$C$77*Y69</f>
        <v>5.6448</v>
      </c>
      <c r="Z114" s="16" t="n">
        <f aca="false">Z97*Inputs!$C$77*Z69</f>
        <v>5.6448</v>
      </c>
      <c r="AA114" s="16" t="n">
        <f aca="false">AA97*Inputs!$C$77*AA69</f>
        <v>5.6448</v>
      </c>
      <c r="AB114" s="16" t="n">
        <f aca="false">AB97*Inputs!$C$77*AB69</f>
        <v>15.24096</v>
      </c>
      <c r="AC114" s="16" t="n">
        <f aca="false">AC97*Inputs!$C$77*AC69</f>
        <v>15.24096</v>
      </c>
      <c r="AD114" s="16" t="n">
        <f aca="false">AD97*Inputs!$C$77*AD69</f>
        <v>15.24096</v>
      </c>
      <c r="AE114" s="16" t="n">
        <f aca="false">AE97*Inputs!$C$77*AE69</f>
        <v>15.24096</v>
      </c>
      <c r="AF114" s="16" t="n">
        <f aca="false">AF97*Inputs!$C$77*AF69</f>
        <v>15.24096</v>
      </c>
      <c r="AG114" s="16" t="n">
        <f aca="false">AG97*Inputs!$C$77*AG69</f>
        <v>15.24096</v>
      </c>
      <c r="AH114" s="16" t="n">
        <f aca="false">AH97*Inputs!$C$77*AH69</f>
        <v>15.24096</v>
      </c>
      <c r="AI114" s="16" t="n">
        <f aca="false">AI97*Inputs!$C$77*AI69</f>
        <v>15.24096</v>
      </c>
      <c r="AJ114" s="16" t="n">
        <f aca="false">AJ97*Inputs!$C$77*AJ69</f>
        <v>15.24096</v>
      </c>
      <c r="AK114" s="16" t="n">
        <f aca="false">AK97*Inputs!$C$77*AK69</f>
        <v>15.24096</v>
      </c>
      <c r="AL114" s="16" t="n">
        <f aca="false">AL97*Inputs!$C$77*AL69</f>
        <v>15.24096</v>
      </c>
      <c r="AM114" s="16" t="n">
        <f aca="false">AM97*Inputs!$C$77*AM69</f>
        <v>15.24096</v>
      </c>
      <c r="AN114" s="16" t="n">
        <f aca="false">AN97*Inputs!$C$77*AN69</f>
        <v>29.62842624</v>
      </c>
      <c r="AO114" s="16" t="n">
        <f aca="false">AO97*Inputs!$C$77*AO69</f>
        <v>29.62842624</v>
      </c>
      <c r="AP114" s="16" t="n">
        <f aca="false">AP97*Inputs!$C$77*AP69</f>
        <v>29.62842624</v>
      </c>
      <c r="AQ114" s="16" t="n">
        <f aca="false">AQ97*Inputs!$C$77*AQ69</f>
        <v>29.62842624</v>
      </c>
      <c r="AR114" s="16" t="n">
        <f aca="false">AR97*Inputs!$C$77*AR69</f>
        <v>29.62842624</v>
      </c>
      <c r="AS114" s="16" t="n">
        <f aca="false">AS97*Inputs!$C$77*AS69</f>
        <v>29.62842624</v>
      </c>
      <c r="AT114" s="16" t="n">
        <f aca="false">AT97*Inputs!$C$77*AT69</f>
        <v>29.62842624</v>
      </c>
      <c r="AU114" s="16" t="n">
        <f aca="false">AU97*Inputs!$C$77*AU69</f>
        <v>29.62842624</v>
      </c>
      <c r="AV114" s="16" t="n">
        <f aca="false">AV97*Inputs!$C$77*AV69</f>
        <v>29.62842624</v>
      </c>
      <c r="AW114" s="16" t="n">
        <f aca="false">AW97*Inputs!$C$77*AW69</f>
        <v>29.62842624</v>
      </c>
      <c r="AX114" s="16" t="n">
        <f aca="false">AX97*Inputs!$C$77*AX69</f>
        <v>29.62842624</v>
      </c>
      <c r="AY114" s="16" t="n">
        <f aca="false">AY97*Inputs!$C$77*AY69</f>
        <v>29.62842624</v>
      </c>
      <c r="AZ114" s="16" t="n">
        <f aca="false">AZ97*Inputs!$C$77*AZ69</f>
        <v>44.44263936</v>
      </c>
      <c r="BA114" s="16" t="n">
        <f aca="false">BA97*Inputs!$C$77*BA69</f>
        <v>44.44263936</v>
      </c>
      <c r="BB114" s="16" t="n">
        <f aca="false">BB97*Inputs!$C$77*BB69</f>
        <v>44.44263936</v>
      </c>
      <c r="BC114" s="16" t="n">
        <f aca="false">BC97*Inputs!$C$77*BC69</f>
        <v>44.44263936</v>
      </c>
      <c r="BD114" s="16" t="n">
        <f aca="false">BD97*Inputs!$C$77*BD69</f>
        <v>44.44263936</v>
      </c>
      <c r="BE114" s="16" t="n">
        <f aca="false">BE97*Inputs!$C$77*BE69</f>
        <v>44.44263936</v>
      </c>
      <c r="BF114" s="16" t="n">
        <f aca="false">BF97*Inputs!$C$77*BF69</f>
        <v>44.44263936</v>
      </c>
      <c r="BG114" s="16" t="n">
        <f aca="false">BG97*Inputs!$C$77*BG69</f>
        <v>44.44263936</v>
      </c>
      <c r="BH114" s="16" t="n">
        <f aca="false">BH97*Inputs!$C$77*BH69</f>
        <v>44.44263936</v>
      </c>
      <c r="BI114" s="16" t="n">
        <f aca="false">BI97*Inputs!$C$77*BI69</f>
        <v>44.44263936</v>
      </c>
      <c r="BJ114" s="16" t="n">
        <f aca="false">BJ97*Inputs!$C$77*BJ69</f>
        <v>44.44263936</v>
      </c>
      <c r="BK114" s="16" t="n">
        <f aca="false">BK97*Inputs!$C$77*BK69</f>
        <v>44.44263936</v>
      </c>
    </row>
    <row r="115" customFormat="false" ht="15" hidden="false" customHeight="true" outlineLevel="0" collapsed="false">
      <c r="A115" s="12" t="s">
        <v>1986</v>
      </c>
      <c r="B115" s="4" t="s">
        <v>44</v>
      </c>
      <c r="D115" s="16" t="n">
        <f aca="false">D98*Inputs!$C$78*D69</f>
        <v>0</v>
      </c>
      <c r="E115" s="16" t="n">
        <f aca="false">E98*Inputs!$C$78*E69</f>
        <v>0</v>
      </c>
      <c r="F115" s="16" t="n">
        <f aca="false">F98*Inputs!$C$78*F69</f>
        <v>0</v>
      </c>
      <c r="G115" s="16" t="n">
        <f aca="false">G98*Inputs!$C$78*G69</f>
        <v>1.4</v>
      </c>
      <c r="H115" s="16" t="n">
        <f aca="false">H98*Inputs!$C$78*H69</f>
        <v>1.4</v>
      </c>
      <c r="I115" s="16" t="n">
        <f aca="false">I98*Inputs!$C$78*I69</f>
        <v>1.4</v>
      </c>
      <c r="J115" s="16" t="n">
        <f aca="false">J98*Inputs!$C$78*J69</f>
        <v>1.4</v>
      </c>
      <c r="K115" s="16" t="n">
        <f aca="false">K98*Inputs!$C$78*K69</f>
        <v>1.4</v>
      </c>
      <c r="L115" s="16" t="n">
        <f aca="false">L98*Inputs!$C$78*L69</f>
        <v>1.4</v>
      </c>
      <c r="M115" s="16" t="n">
        <f aca="false">M98*Inputs!$C$78*M69</f>
        <v>1.4</v>
      </c>
      <c r="N115" s="16" t="n">
        <f aca="false">N98*Inputs!$C$78*N69</f>
        <v>1.4</v>
      </c>
      <c r="O115" s="16" t="n">
        <f aca="false">O98*Inputs!$C$78*O69</f>
        <v>1.4</v>
      </c>
      <c r="P115" s="16" t="n">
        <f aca="false">P98*Inputs!$C$78*P69</f>
        <v>3.024</v>
      </c>
      <c r="Q115" s="16" t="n">
        <f aca="false">Q98*Inputs!$C$78*Q69</f>
        <v>3.024</v>
      </c>
      <c r="R115" s="16" t="n">
        <f aca="false">R98*Inputs!$C$78*R69</f>
        <v>3.024</v>
      </c>
      <c r="S115" s="16" t="n">
        <f aca="false">S98*Inputs!$C$78*S69</f>
        <v>3.024</v>
      </c>
      <c r="T115" s="16" t="n">
        <f aca="false">T98*Inputs!$C$78*T69</f>
        <v>3.024</v>
      </c>
      <c r="U115" s="16" t="n">
        <f aca="false">U98*Inputs!$C$78*U69</f>
        <v>3.024</v>
      </c>
      <c r="V115" s="16" t="n">
        <f aca="false">V98*Inputs!$C$78*V69</f>
        <v>3.024</v>
      </c>
      <c r="W115" s="16" t="n">
        <f aca="false">W98*Inputs!$C$78*W69</f>
        <v>3.024</v>
      </c>
      <c r="X115" s="16" t="n">
        <f aca="false">X98*Inputs!$C$78*X69</f>
        <v>3.024</v>
      </c>
      <c r="Y115" s="16" t="n">
        <f aca="false">Y98*Inputs!$C$78*Y69</f>
        <v>3.024</v>
      </c>
      <c r="Z115" s="16" t="n">
        <f aca="false">Z98*Inputs!$C$78*Z69</f>
        <v>3.024</v>
      </c>
      <c r="AA115" s="16" t="n">
        <f aca="false">AA98*Inputs!$C$78*AA69</f>
        <v>3.024</v>
      </c>
      <c r="AB115" s="16" t="n">
        <f aca="false">AB98*Inputs!$C$78*AB69</f>
        <v>6.53184</v>
      </c>
      <c r="AC115" s="16" t="n">
        <f aca="false">AC98*Inputs!$C$78*AC69</f>
        <v>6.53184</v>
      </c>
      <c r="AD115" s="16" t="n">
        <f aca="false">AD98*Inputs!$C$78*AD69</f>
        <v>6.53184</v>
      </c>
      <c r="AE115" s="16" t="n">
        <f aca="false">AE98*Inputs!$C$78*AE69</f>
        <v>6.53184</v>
      </c>
      <c r="AF115" s="16" t="n">
        <f aca="false">AF98*Inputs!$C$78*AF69</f>
        <v>6.53184</v>
      </c>
      <c r="AG115" s="16" t="n">
        <f aca="false">AG98*Inputs!$C$78*AG69</f>
        <v>6.53184</v>
      </c>
      <c r="AH115" s="16" t="n">
        <f aca="false">AH98*Inputs!$C$78*AH69</f>
        <v>6.53184</v>
      </c>
      <c r="AI115" s="16" t="n">
        <f aca="false">AI98*Inputs!$C$78*AI69</f>
        <v>6.53184</v>
      </c>
      <c r="AJ115" s="16" t="n">
        <f aca="false">AJ98*Inputs!$C$78*AJ69</f>
        <v>6.53184</v>
      </c>
      <c r="AK115" s="16" t="n">
        <f aca="false">AK98*Inputs!$C$78*AK69</f>
        <v>6.53184</v>
      </c>
      <c r="AL115" s="16" t="n">
        <f aca="false">AL98*Inputs!$C$78*AL69</f>
        <v>6.53184</v>
      </c>
      <c r="AM115" s="16" t="n">
        <f aca="false">AM98*Inputs!$C$78*AM69</f>
        <v>6.53184</v>
      </c>
      <c r="AN115" s="16" t="n">
        <f aca="false">AN98*Inputs!$C$78*AN69</f>
        <v>10.5815808</v>
      </c>
      <c r="AO115" s="16" t="n">
        <f aca="false">AO98*Inputs!$C$78*AO69</f>
        <v>10.5815808</v>
      </c>
      <c r="AP115" s="16" t="n">
        <f aca="false">AP98*Inputs!$C$78*AP69</f>
        <v>10.5815808</v>
      </c>
      <c r="AQ115" s="16" t="n">
        <f aca="false">AQ98*Inputs!$C$78*AQ69</f>
        <v>10.5815808</v>
      </c>
      <c r="AR115" s="16" t="n">
        <f aca="false">AR98*Inputs!$C$78*AR69</f>
        <v>10.5815808</v>
      </c>
      <c r="AS115" s="16" t="n">
        <f aca="false">AS98*Inputs!$C$78*AS69</f>
        <v>10.5815808</v>
      </c>
      <c r="AT115" s="16" t="n">
        <f aca="false">AT98*Inputs!$C$78*AT69</f>
        <v>10.5815808</v>
      </c>
      <c r="AU115" s="16" t="n">
        <f aca="false">AU98*Inputs!$C$78*AU69</f>
        <v>10.5815808</v>
      </c>
      <c r="AV115" s="16" t="n">
        <f aca="false">AV98*Inputs!$C$78*AV69</f>
        <v>10.5815808</v>
      </c>
      <c r="AW115" s="16" t="n">
        <f aca="false">AW98*Inputs!$C$78*AW69</f>
        <v>10.5815808</v>
      </c>
      <c r="AX115" s="16" t="n">
        <f aca="false">AX98*Inputs!$C$78*AX69</f>
        <v>10.5815808</v>
      </c>
      <c r="AY115" s="16" t="n">
        <f aca="false">AY98*Inputs!$C$78*AY69</f>
        <v>10.5815808</v>
      </c>
      <c r="AZ115" s="16" t="n">
        <f aca="false">AZ98*Inputs!$C$78*AZ69</f>
        <v>17.142160896</v>
      </c>
      <c r="BA115" s="16" t="n">
        <f aca="false">BA98*Inputs!$C$78*BA69</f>
        <v>17.142160896</v>
      </c>
      <c r="BB115" s="16" t="n">
        <f aca="false">BB98*Inputs!$C$78*BB69</f>
        <v>17.142160896</v>
      </c>
      <c r="BC115" s="16" t="n">
        <f aca="false">BC98*Inputs!$C$78*BC69</f>
        <v>17.142160896</v>
      </c>
      <c r="BD115" s="16" t="n">
        <f aca="false">BD98*Inputs!$C$78*BD69</f>
        <v>17.142160896</v>
      </c>
      <c r="BE115" s="16" t="n">
        <f aca="false">BE98*Inputs!$C$78*BE69</f>
        <v>17.142160896</v>
      </c>
      <c r="BF115" s="16" t="n">
        <f aca="false">BF98*Inputs!$C$78*BF69</f>
        <v>17.142160896</v>
      </c>
      <c r="BG115" s="16" t="n">
        <f aca="false">BG98*Inputs!$C$78*BG69</f>
        <v>17.142160896</v>
      </c>
      <c r="BH115" s="16" t="n">
        <f aca="false">BH98*Inputs!$C$78*BH69</f>
        <v>17.142160896</v>
      </c>
      <c r="BI115" s="16" t="n">
        <f aca="false">BI98*Inputs!$C$78*BI69</f>
        <v>17.142160896</v>
      </c>
      <c r="BJ115" s="16" t="n">
        <f aca="false">BJ98*Inputs!$C$78*BJ69</f>
        <v>17.142160896</v>
      </c>
      <c r="BK115" s="16" t="n">
        <f aca="false">BK98*Inputs!$C$78*BK69</f>
        <v>17.142160896</v>
      </c>
    </row>
    <row r="116" customFormat="false" ht="15" hidden="false" customHeight="true" outlineLevel="0" collapsed="false">
      <c r="A116" s="12" t="s">
        <v>1987</v>
      </c>
      <c r="B116" s="4" t="s">
        <v>44</v>
      </c>
      <c r="D116" s="16" t="n">
        <f aca="false">D99*Inputs!$C$80*D69</f>
        <v>0</v>
      </c>
      <c r="E116" s="16" t="n">
        <f aca="false">E99*Inputs!$C$80*E69</f>
        <v>0</v>
      </c>
      <c r="F116" s="16" t="n">
        <f aca="false">F99*Inputs!$C$80*F69</f>
        <v>0</v>
      </c>
      <c r="G116" s="16" t="n">
        <f aca="false">G99*Inputs!$C$80*G69</f>
        <v>0</v>
      </c>
      <c r="H116" s="16" t="n">
        <f aca="false">H99*Inputs!$C$80*H69</f>
        <v>0</v>
      </c>
      <c r="I116" s="16" t="n">
        <f aca="false">I99*Inputs!$C$80*I69</f>
        <v>0</v>
      </c>
      <c r="J116" s="16" t="n">
        <f aca="false">J99*Inputs!$C$80*J69</f>
        <v>0</v>
      </c>
      <c r="K116" s="16" t="n">
        <f aca="false">K99*Inputs!$C$80*K69</f>
        <v>0</v>
      </c>
      <c r="L116" s="16" t="n">
        <f aca="false">L99*Inputs!$C$80*L69</f>
        <v>0</v>
      </c>
      <c r="M116" s="16" t="n">
        <f aca="false">M99*Inputs!$C$80*M69</f>
        <v>0</v>
      </c>
      <c r="N116" s="16" t="n">
        <f aca="false">N99*Inputs!$C$80*N69</f>
        <v>0</v>
      </c>
      <c r="O116" s="16" t="n">
        <f aca="false">O99*Inputs!$C$80*O69</f>
        <v>0</v>
      </c>
      <c r="P116" s="16" t="n">
        <f aca="false">P99*Inputs!$C$80*P69</f>
        <v>0</v>
      </c>
      <c r="Q116" s="16" t="n">
        <f aca="false">Q99*Inputs!$C$80*Q69</f>
        <v>0</v>
      </c>
      <c r="R116" s="16" t="n">
        <f aca="false">R99*Inputs!$C$80*R69</f>
        <v>0</v>
      </c>
      <c r="S116" s="16" t="n">
        <f aca="false">S99*Inputs!$C$80*S69</f>
        <v>0</v>
      </c>
      <c r="T116" s="16" t="n">
        <f aca="false">T99*Inputs!$C$80*T69</f>
        <v>0</v>
      </c>
      <c r="U116" s="16" t="n">
        <f aca="false">U99*Inputs!$C$80*U69</f>
        <v>0</v>
      </c>
      <c r="V116" s="16" t="n">
        <f aca="false">V99*Inputs!$C$80*V69</f>
        <v>0</v>
      </c>
      <c r="W116" s="16" t="n">
        <f aca="false">W99*Inputs!$C$80*W69</f>
        <v>0</v>
      </c>
      <c r="X116" s="16" t="n">
        <f aca="false">X99*Inputs!$C$80*X69</f>
        <v>0</v>
      </c>
      <c r="Y116" s="16" t="n">
        <f aca="false">Y99*Inputs!$C$80*Y69</f>
        <v>0</v>
      </c>
      <c r="Z116" s="16" t="n">
        <f aca="false">Z99*Inputs!$C$80*Z69</f>
        <v>0</v>
      </c>
      <c r="AA116" s="16" t="n">
        <f aca="false">AA99*Inputs!$C$80*AA69</f>
        <v>0</v>
      </c>
      <c r="AB116" s="16" t="n">
        <f aca="false">AB99*Inputs!$C$80*AB69</f>
        <v>1.306368</v>
      </c>
      <c r="AC116" s="16" t="n">
        <f aca="false">AC99*Inputs!$C$80*AC69</f>
        <v>1.306368</v>
      </c>
      <c r="AD116" s="16" t="n">
        <f aca="false">AD99*Inputs!$C$80*AD69</f>
        <v>1.306368</v>
      </c>
      <c r="AE116" s="16" t="n">
        <f aca="false">AE99*Inputs!$C$80*AE69</f>
        <v>1.306368</v>
      </c>
      <c r="AF116" s="16" t="n">
        <f aca="false">AF99*Inputs!$C$80*AF69</f>
        <v>1.306368</v>
      </c>
      <c r="AG116" s="16" t="n">
        <f aca="false">AG99*Inputs!$C$80*AG69</f>
        <v>1.306368</v>
      </c>
      <c r="AH116" s="16" t="n">
        <f aca="false">AH99*Inputs!$C$80*AH69</f>
        <v>1.306368</v>
      </c>
      <c r="AI116" s="16" t="n">
        <f aca="false">AI99*Inputs!$C$80*AI69</f>
        <v>1.306368</v>
      </c>
      <c r="AJ116" s="16" t="n">
        <f aca="false">AJ99*Inputs!$C$80*AJ69</f>
        <v>1.306368</v>
      </c>
      <c r="AK116" s="16" t="n">
        <f aca="false">AK99*Inputs!$C$80*AK69</f>
        <v>1.306368</v>
      </c>
      <c r="AL116" s="16" t="n">
        <f aca="false">AL99*Inputs!$C$80*AL69</f>
        <v>1.306368</v>
      </c>
      <c r="AM116" s="16" t="n">
        <f aca="false">AM99*Inputs!$C$80*AM69</f>
        <v>1.306368</v>
      </c>
      <c r="AN116" s="16" t="n">
        <f aca="false">AN99*Inputs!$C$80*AN69</f>
        <v>1.41087744</v>
      </c>
      <c r="AO116" s="16" t="n">
        <f aca="false">AO99*Inputs!$C$80*AO69</f>
        <v>1.41087744</v>
      </c>
      <c r="AP116" s="16" t="n">
        <f aca="false">AP99*Inputs!$C$80*AP69</f>
        <v>1.41087744</v>
      </c>
      <c r="AQ116" s="16" t="n">
        <f aca="false">AQ99*Inputs!$C$80*AQ69</f>
        <v>1.41087744</v>
      </c>
      <c r="AR116" s="16" t="n">
        <f aca="false">AR99*Inputs!$C$80*AR69</f>
        <v>1.41087744</v>
      </c>
      <c r="AS116" s="16" t="n">
        <f aca="false">AS99*Inputs!$C$80*AS69</f>
        <v>1.41087744</v>
      </c>
      <c r="AT116" s="16" t="n">
        <f aca="false">AT99*Inputs!$C$80*AT69</f>
        <v>1.41087744</v>
      </c>
      <c r="AU116" s="16" t="n">
        <f aca="false">AU99*Inputs!$C$80*AU69</f>
        <v>1.41087744</v>
      </c>
      <c r="AV116" s="16" t="n">
        <f aca="false">AV99*Inputs!$C$80*AV69</f>
        <v>1.41087744</v>
      </c>
      <c r="AW116" s="16" t="n">
        <f aca="false">AW99*Inputs!$C$80*AW69</f>
        <v>1.41087744</v>
      </c>
      <c r="AX116" s="16" t="n">
        <f aca="false">AX99*Inputs!$C$80*AX69</f>
        <v>1.41087744</v>
      </c>
      <c r="AY116" s="16" t="n">
        <f aca="false">AY99*Inputs!$C$80*AY69</f>
        <v>1.41087744</v>
      </c>
      <c r="AZ116" s="16" t="n">
        <f aca="false">AZ99*Inputs!$C$80*AZ69</f>
        <v>3.0474952704</v>
      </c>
      <c r="BA116" s="16" t="n">
        <f aca="false">BA99*Inputs!$C$80*BA69</f>
        <v>3.0474952704</v>
      </c>
      <c r="BB116" s="16" t="n">
        <f aca="false">BB99*Inputs!$C$80*BB69</f>
        <v>3.0474952704</v>
      </c>
      <c r="BC116" s="16" t="n">
        <f aca="false">BC99*Inputs!$C$80*BC69</f>
        <v>3.0474952704</v>
      </c>
      <c r="BD116" s="16" t="n">
        <f aca="false">BD99*Inputs!$C$80*BD69</f>
        <v>3.0474952704</v>
      </c>
      <c r="BE116" s="16" t="n">
        <f aca="false">BE99*Inputs!$C$80*BE69</f>
        <v>3.0474952704</v>
      </c>
      <c r="BF116" s="16" t="n">
        <f aca="false">BF99*Inputs!$C$80*BF69</f>
        <v>3.0474952704</v>
      </c>
      <c r="BG116" s="16" t="n">
        <f aca="false">BG99*Inputs!$C$80*BG69</f>
        <v>3.0474952704</v>
      </c>
      <c r="BH116" s="16" t="n">
        <f aca="false">BH99*Inputs!$C$80*BH69</f>
        <v>3.0474952704</v>
      </c>
      <c r="BI116" s="16" t="n">
        <f aca="false">BI99*Inputs!$C$80*BI69</f>
        <v>3.0474952704</v>
      </c>
      <c r="BJ116" s="16" t="n">
        <f aca="false">BJ99*Inputs!$C$80*BJ69</f>
        <v>3.0474952704</v>
      </c>
      <c r="BK116" s="16" t="n">
        <f aca="false">BK99*Inputs!$C$80*BK69</f>
        <v>3.0474952704</v>
      </c>
    </row>
    <row r="117" customFormat="false" ht="15" hidden="false" customHeight="true" outlineLevel="0" collapsed="false">
      <c r="A117" s="12" t="s">
        <v>1988</v>
      </c>
      <c r="B117" s="4" t="s">
        <v>44</v>
      </c>
      <c r="D117" s="16" t="n">
        <f aca="false">D100*Inputs!$C$79*D69</f>
        <v>0</v>
      </c>
      <c r="E117" s="16" t="n">
        <f aca="false">E100*Inputs!$C$79*E69</f>
        <v>0</v>
      </c>
      <c r="F117" s="16" t="n">
        <f aca="false">F100*Inputs!$C$79*F69</f>
        <v>0</v>
      </c>
      <c r="G117" s="16" t="n">
        <f aca="false">G100*Inputs!$C$79*G69</f>
        <v>0</v>
      </c>
      <c r="H117" s="16" t="n">
        <f aca="false">H100*Inputs!$C$79*H69</f>
        <v>0</v>
      </c>
      <c r="I117" s="16" t="n">
        <f aca="false">I100*Inputs!$C$79*I69</f>
        <v>0</v>
      </c>
      <c r="J117" s="16" t="n">
        <f aca="false">J100*Inputs!$C$79*J69</f>
        <v>0</v>
      </c>
      <c r="K117" s="16" t="n">
        <f aca="false">K100*Inputs!$C$79*K69</f>
        <v>0</v>
      </c>
      <c r="L117" s="16" t="n">
        <f aca="false">L100*Inputs!$C$79*L69</f>
        <v>0</v>
      </c>
      <c r="M117" s="16" t="n">
        <f aca="false">M100*Inputs!$C$79*M69</f>
        <v>0</v>
      </c>
      <c r="N117" s="16" t="n">
        <f aca="false">N100*Inputs!$C$79*N69</f>
        <v>0</v>
      </c>
      <c r="O117" s="16" t="n">
        <f aca="false">O100*Inputs!$C$79*O69</f>
        <v>0</v>
      </c>
      <c r="P117" s="16" t="n">
        <f aca="false">P100*Inputs!$C$79*P69</f>
        <v>0</v>
      </c>
      <c r="Q117" s="16" t="n">
        <f aca="false">Q100*Inputs!$C$79*Q69</f>
        <v>0</v>
      </c>
      <c r="R117" s="16" t="n">
        <f aca="false">R100*Inputs!$C$79*R69</f>
        <v>0</v>
      </c>
      <c r="S117" s="16" t="n">
        <f aca="false">S100*Inputs!$C$79*S69</f>
        <v>0</v>
      </c>
      <c r="T117" s="16" t="n">
        <f aca="false">T100*Inputs!$C$79*T69</f>
        <v>0</v>
      </c>
      <c r="U117" s="16" t="n">
        <f aca="false">U100*Inputs!$C$79*U69</f>
        <v>0</v>
      </c>
      <c r="V117" s="16" t="n">
        <f aca="false">V100*Inputs!$C$79*V69</f>
        <v>0</v>
      </c>
      <c r="W117" s="16" t="n">
        <f aca="false">W100*Inputs!$C$79*W69</f>
        <v>0</v>
      </c>
      <c r="X117" s="16" t="n">
        <f aca="false">X100*Inputs!$C$79*X69</f>
        <v>0</v>
      </c>
      <c r="Y117" s="16" t="n">
        <f aca="false">Y100*Inputs!$C$79*Y69</f>
        <v>0</v>
      </c>
      <c r="Z117" s="16" t="n">
        <f aca="false">Z100*Inputs!$C$79*Z69</f>
        <v>0</v>
      </c>
      <c r="AA117" s="16" t="n">
        <f aca="false">AA100*Inputs!$C$79*AA69</f>
        <v>0</v>
      </c>
      <c r="AB117" s="16" t="n">
        <f aca="false">AB100*Inputs!$C$79*AB69</f>
        <v>0</v>
      </c>
      <c r="AC117" s="16" t="n">
        <f aca="false">AC100*Inputs!$C$79*AC69</f>
        <v>0</v>
      </c>
      <c r="AD117" s="16" t="n">
        <f aca="false">AD100*Inputs!$C$79*AD69</f>
        <v>0</v>
      </c>
      <c r="AE117" s="16" t="n">
        <f aca="false">AE100*Inputs!$C$79*AE69</f>
        <v>0</v>
      </c>
      <c r="AF117" s="16" t="n">
        <f aca="false">AF100*Inputs!$C$79*AF69</f>
        <v>0</v>
      </c>
      <c r="AG117" s="16" t="n">
        <f aca="false">AG100*Inputs!$C$79*AG69</f>
        <v>0</v>
      </c>
      <c r="AH117" s="16" t="n">
        <f aca="false">AH100*Inputs!$C$79*AH69</f>
        <v>0</v>
      </c>
      <c r="AI117" s="16" t="n">
        <f aca="false">AI100*Inputs!$C$79*AI69</f>
        <v>0</v>
      </c>
      <c r="AJ117" s="16" t="n">
        <f aca="false">AJ100*Inputs!$C$79*AJ69</f>
        <v>0</v>
      </c>
      <c r="AK117" s="16" t="n">
        <f aca="false">AK100*Inputs!$C$79*AK69</f>
        <v>0</v>
      </c>
      <c r="AL117" s="16" t="n">
        <f aca="false">AL100*Inputs!$C$79*AL69</f>
        <v>0</v>
      </c>
      <c r="AM117" s="16" t="n">
        <f aca="false">AM100*Inputs!$C$79*AM69</f>
        <v>0</v>
      </c>
      <c r="AN117" s="16" t="n">
        <f aca="false">AN100*Inputs!$C$79*AN69</f>
        <v>2.3514624</v>
      </c>
      <c r="AO117" s="16" t="n">
        <f aca="false">AO100*Inputs!$C$79*AO69</f>
        <v>2.3514624</v>
      </c>
      <c r="AP117" s="16" t="n">
        <f aca="false">AP100*Inputs!$C$79*AP69</f>
        <v>2.3514624</v>
      </c>
      <c r="AQ117" s="16" t="n">
        <f aca="false">AQ100*Inputs!$C$79*AQ69</f>
        <v>2.3514624</v>
      </c>
      <c r="AR117" s="16" t="n">
        <f aca="false">AR100*Inputs!$C$79*AR69</f>
        <v>2.3514624</v>
      </c>
      <c r="AS117" s="16" t="n">
        <f aca="false">AS100*Inputs!$C$79*AS69</f>
        <v>2.3514624</v>
      </c>
      <c r="AT117" s="16" t="n">
        <f aca="false">AT100*Inputs!$C$79*AT69</f>
        <v>2.3514624</v>
      </c>
      <c r="AU117" s="16" t="n">
        <f aca="false">AU100*Inputs!$C$79*AU69</f>
        <v>2.3514624</v>
      </c>
      <c r="AV117" s="16" t="n">
        <f aca="false">AV100*Inputs!$C$79*AV69</f>
        <v>2.3514624</v>
      </c>
      <c r="AW117" s="16" t="n">
        <f aca="false">AW100*Inputs!$C$79*AW69</f>
        <v>2.3514624</v>
      </c>
      <c r="AX117" s="16" t="n">
        <f aca="false">AX100*Inputs!$C$79*AX69</f>
        <v>2.3514624</v>
      </c>
      <c r="AY117" s="16" t="n">
        <f aca="false">AY100*Inputs!$C$79*AY69</f>
        <v>2.3514624</v>
      </c>
      <c r="AZ117" s="16" t="n">
        <f aca="false">AZ100*Inputs!$C$79*AZ69</f>
        <v>2.539579392</v>
      </c>
      <c r="BA117" s="16" t="n">
        <f aca="false">BA100*Inputs!$C$79*BA69</f>
        <v>2.539579392</v>
      </c>
      <c r="BB117" s="16" t="n">
        <f aca="false">BB100*Inputs!$C$79*BB69</f>
        <v>2.539579392</v>
      </c>
      <c r="BC117" s="16" t="n">
        <f aca="false">BC100*Inputs!$C$79*BC69</f>
        <v>2.539579392</v>
      </c>
      <c r="BD117" s="16" t="n">
        <f aca="false">BD100*Inputs!$C$79*BD69</f>
        <v>2.539579392</v>
      </c>
      <c r="BE117" s="16" t="n">
        <f aca="false">BE100*Inputs!$C$79*BE69</f>
        <v>2.539579392</v>
      </c>
      <c r="BF117" s="16" t="n">
        <f aca="false">BF100*Inputs!$C$79*BF69</f>
        <v>2.539579392</v>
      </c>
      <c r="BG117" s="16" t="n">
        <f aca="false">BG100*Inputs!$C$79*BG69</f>
        <v>2.539579392</v>
      </c>
      <c r="BH117" s="16" t="n">
        <f aca="false">BH100*Inputs!$C$79*BH69</f>
        <v>2.539579392</v>
      </c>
      <c r="BI117" s="16" t="n">
        <f aca="false">BI100*Inputs!$C$79*BI69</f>
        <v>2.539579392</v>
      </c>
      <c r="BJ117" s="16" t="n">
        <f aca="false">BJ100*Inputs!$C$79*BJ69</f>
        <v>2.539579392</v>
      </c>
      <c r="BK117" s="16" t="n">
        <f aca="false">BK100*Inputs!$C$79*BK69</f>
        <v>2.539579392</v>
      </c>
    </row>
    <row r="118" customFormat="false" ht="15" hidden="false" customHeight="true" outlineLevel="0" collapsed="false">
      <c r="A118" s="12" t="s">
        <v>1989</v>
      </c>
      <c r="B118" s="4" t="s">
        <v>44</v>
      </c>
      <c r="D118" s="16" t="n">
        <f aca="false">D101*Inputs!$C$81*D69</f>
        <v>0</v>
      </c>
      <c r="E118" s="16" t="n">
        <f aca="false">E101*Inputs!$C$81*E69</f>
        <v>0</v>
      </c>
      <c r="F118" s="16" t="n">
        <f aca="false">F101*Inputs!$C$81*F69</f>
        <v>0</v>
      </c>
      <c r="G118" s="16" t="n">
        <f aca="false">G101*Inputs!$C$81*G69</f>
        <v>0</v>
      </c>
      <c r="H118" s="16" t="n">
        <f aca="false">H101*Inputs!$C$81*H69</f>
        <v>0</v>
      </c>
      <c r="I118" s="16" t="n">
        <f aca="false">I101*Inputs!$C$81*I69</f>
        <v>0</v>
      </c>
      <c r="J118" s="16" t="n">
        <f aca="false">J101*Inputs!$C$81*J69</f>
        <v>0</v>
      </c>
      <c r="K118" s="16" t="n">
        <f aca="false">K101*Inputs!$C$81*K69</f>
        <v>0</v>
      </c>
      <c r="L118" s="16" t="n">
        <f aca="false">L101*Inputs!$C$81*L69</f>
        <v>0</v>
      </c>
      <c r="M118" s="16" t="n">
        <f aca="false">M101*Inputs!$C$81*M69</f>
        <v>0</v>
      </c>
      <c r="N118" s="16" t="n">
        <f aca="false">N101*Inputs!$C$81*N69</f>
        <v>0</v>
      </c>
      <c r="O118" s="16" t="n">
        <f aca="false">O101*Inputs!$C$81*O69</f>
        <v>0</v>
      </c>
      <c r="P118" s="16" t="n">
        <f aca="false">P101*Inputs!$C$81*P69</f>
        <v>0.8064</v>
      </c>
      <c r="Q118" s="16" t="n">
        <f aca="false">Q101*Inputs!$C$81*Q69</f>
        <v>0.8064</v>
      </c>
      <c r="R118" s="16" t="n">
        <f aca="false">R101*Inputs!$C$81*R69</f>
        <v>0.8064</v>
      </c>
      <c r="S118" s="16" t="n">
        <f aca="false">S101*Inputs!$C$81*S69</f>
        <v>0.8064</v>
      </c>
      <c r="T118" s="16" t="n">
        <f aca="false">T101*Inputs!$C$81*T69</f>
        <v>0.8064</v>
      </c>
      <c r="U118" s="16" t="n">
        <f aca="false">U101*Inputs!$C$81*U69</f>
        <v>0.8064</v>
      </c>
      <c r="V118" s="16" t="n">
        <f aca="false">V101*Inputs!$C$81*V69</f>
        <v>0.8064</v>
      </c>
      <c r="W118" s="16" t="n">
        <f aca="false">W101*Inputs!$C$81*W69</f>
        <v>0.8064</v>
      </c>
      <c r="X118" s="16" t="n">
        <f aca="false">X101*Inputs!$C$81*X69</f>
        <v>0.8064</v>
      </c>
      <c r="Y118" s="16" t="n">
        <f aca="false">Y101*Inputs!$C$81*Y69</f>
        <v>0.8064</v>
      </c>
      <c r="Z118" s="16" t="n">
        <f aca="false">Z101*Inputs!$C$81*Z69</f>
        <v>0.8064</v>
      </c>
      <c r="AA118" s="16" t="n">
        <f aca="false">AA101*Inputs!$C$81*AA69</f>
        <v>0.8064</v>
      </c>
      <c r="AB118" s="16" t="n">
        <f aca="false">AB101*Inputs!$C$81*AB69</f>
        <v>0.870912</v>
      </c>
      <c r="AC118" s="16" t="n">
        <f aca="false">AC101*Inputs!$C$81*AC69</f>
        <v>0.870912</v>
      </c>
      <c r="AD118" s="16" t="n">
        <f aca="false">AD101*Inputs!$C$81*AD69</f>
        <v>0.870912</v>
      </c>
      <c r="AE118" s="16" t="n">
        <f aca="false">AE101*Inputs!$C$81*AE69</f>
        <v>0.870912</v>
      </c>
      <c r="AF118" s="16" t="n">
        <f aca="false">AF101*Inputs!$C$81*AF69</f>
        <v>0.870912</v>
      </c>
      <c r="AG118" s="16" t="n">
        <f aca="false">AG101*Inputs!$C$81*AG69</f>
        <v>0.870912</v>
      </c>
      <c r="AH118" s="16" t="n">
        <f aca="false">AH101*Inputs!$C$81*AH69</f>
        <v>0.870912</v>
      </c>
      <c r="AI118" s="16" t="n">
        <f aca="false">AI101*Inputs!$C$81*AI69</f>
        <v>0.870912</v>
      </c>
      <c r="AJ118" s="16" t="n">
        <f aca="false">AJ101*Inputs!$C$81*AJ69</f>
        <v>0.870912</v>
      </c>
      <c r="AK118" s="16" t="n">
        <f aca="false">AK101*Inputs!$C$81*AK69</f>
        <v>0.870912</v>
      </c>
      <c r="AL118" s="16" t="n">
        <f aca="false">AL101*Inputs!$C$81*AL69</f>
        <v>0.870912</v>
      </c>
      <c r="AM118" s="16" t="n">
        <f aca="false">AM101*Inputs!$C$81*AM69</f>
        <v>0.870912</v>
      </c>
      <c r="AN118" s="16" t="n">
        <f aca="false">AN101*Inputs!$C$81*AN69</f>
        <v>1.88116992</v>
      </c>
      <c r="AO118" s="16" t="n">
        <f aca="false">AO101*Inputs!$C$81*AO69</f>
        <v>1.88116992</v>
      </c>
      <c r="AP118" s="16" t="n">
        <f aca="false">AP101*Inputs!$C$81*AP69</f>
        <v>1.88116992</v>
      </c>
      <c r="AQ118" s="16" t="n">
        <f aca="false">AQ101*Inputs!$C$81*AQ69</f>
        <v>1.88116992</v>
      </c>
      <c r="AR118" s="16" t="n">
        <f aca="false">AR101*Inputs!$C$81*AR69</f>
        <v>1.88116992</v>
      </c>
      <c r="AS118" s="16" t="n">
        <f aca="false">AS101*Inputs!$C$81*AS69</f>
        <v>1.88116992</v>
      </c>
      <c r="AT118" s="16" t="n">
        <f aca="false">AT101*Inputs!$C$81*AT69</f>
        <v>1.88116992</v>
      </c>
      <c r="AU118" s="16" t="n">
        <f aca="false">AU101*Inputs!$C$81*AU69</f>
        <v>1.88116992</v>
      </c>
      <c r="AV118" s="16" t="n">
        <f aca="false">AV101*Inputs!$C$81*AV69</f>
        <v>1.88116992</v>
      </c>
      <c r="AW118" s="16" t="n">
        <f aca="false">AW101*Inputs!$C$81*AW69</f>
        <v>1.88116992</v>
      </c>
      <c r="AX118" s="16" t="n">
        <f aca="false">AX101*Inputs!$C$81*AX69</f>
        <v>1.88116992</v>
      </c>
      <c r="AY118" s="16" t="n">
        <f aca="false">AY101*Inputs!$C$81*AY69</f>
        <v>1.88116992</v>
      </c>
      <c r="AZ118" s="16" t="n">
        <f aca="false">AZ101*Inputs!$C$81*AZ69</f>
        <v>2.0316635136</v>
      </c>
      <c r="BA118" s="16" t="n">
        <f aca="false">BA101*Inputs!$C$81*BA69</f>
        <v>2.0316635136</v>
      </c>
      <c r="BB118" s="16" t="n">
        <f aca="false">BB101*Inputs!$C$81*BB69</f>
        <v>2.0316635136</v>
      </c>
      <c r="BC118" s="16" t="n">
        <f aca="false">BC101*Inputs!$C$81*BC69</f>
        <v>2.0316635136</v>
      </c>
      <c r="BD118" s="16" t="n">
        <f aca="false">BD101*Inputs!$C$81*BD69</f>
        <v>2.0316635136</v>
      </c>
      <c r="BE118" s="16" t="n">
        <f aca="false">BE101*Inputs!$C$81*BE69</f>
        <v>2.0316635136</v>
      </c>
      <c r="BF118" s="16" t="n">
        <f aca="false">BF101*Inputs!$C$81*BF69</f>
        <v>2.0316635136</v>
      </c>
      <c r="BG118" s="16" t="n">
        <f aca="false">BG101*Inputs!$C$81*BG69</f>
        <v>2.0316635136</v>
      </c>
      <c r="BH118" s="16" t="n">
        <f aca="false">BH101*Inputs!$C$81*BH69</f>
        <v>2.0316635136</v>
      </c>
      <c r="BI118" s="16" t="n">
        <f aca="false">BI101*Inputs!$C$81*BI69</f>
        <v>2.0316635136</v>
      </c>
      <c r="BJ118" s="16" t="n">
        <f aca="false">BJ101*Inputs!$C$81*BJ69</f>
        <v>2.0316635136</v>
      </c>
      <c r="BK118" s="16" t="n">
        <f aca="false">BK101*Inputs!$C$81*BK69</f>
        <v>2.0316635136</v>
      </c>
    </row>
    <row r="119" customFormat="false" ht="15" hidden="false" customHeight="true" outlineLevel="0" collapsed="false">
      <c r="A119" s="12" t="s">
        <v>1990</v>
      </c>
      <c r="B119" s="4" t="s">
        <v>44</v>
      </c>
      <c r="D119" s="16" t="n">
        <f aca="false">D102*Inputs!$C$82*D69</f>
        <v>0</v>
      </c>
      <c r="E119" s="16" t="n">
        <f aca="false">E102*Inputs!$C$82*E69</f>
        <v>0</v>
      </c>
      <c r="F119" s="16" t="n">
        <f aca="false">F102*Inputs!$C$82*F69</f>
        <v>0</v>
      </c>
      <c r="G119" s="16" t="n">
        <f aca="false">G102*Inputs!$C$82*G69</f>
        <v>0</v>
      </c>
      <c r="H119" s="16" t="n">
        <f aca="false">H102*Inputs!$C$82*H69</f>
        <v>0</v>
      </c>
      <c r="I119" s="16" t="n">
        <f aca="false">I102*Inputs!$C$82*I69</f>
        <v>0</v>
      </c>
      <c r="J119" s="16" t="n">
        <f aca="false">J102*Inputs!$C$82*J69</f>
        <v>0</v>
      </c>
      <c r="K119" s="16" t="n">
        <f aca="false">K102*Inputs!$C$82*K69</f>
        <v>0</v>
      </c>
      <c r="L119" s="16" t="n">
        <f aca="false">L102*Inputs!$C$82*L69</f>
        <v>0</v>
      </c>
      <c r="M119" s="16" t="n">
        <f aca="false">M102*Inputs!$C$82*M69</f>
        <v>0</v>
      </c>
      <c r="N119" s="16" t="n">
        <f aca="false">N102*Inputs!$C$82*N69</f>
        <v>0</v>
      </c>
      <c r="O119" s="16" t="n">
        <f aca="false">O102*Inputs!$C$82*O69</f>
        <v>0</v>
      </c>
      <c r="P119" s="16" t="n">
        <f aca="false">P102*Inputs!$C$82*P69</f>
        <v>0</v>
      </c>
      <c r="Q119" s="16" t="n">
        <f aca="false">Q102*Inputs!$C$82*Q69</f>
        <v>0</v>
      </c>
      <c r="R119" s="16" t="n">
        <f aca="false">R102*Inputs!$C$82*R69</f>
        <v>0</v>
      </c>
      <c r="S119" s="16" t="n">
        <f aca="false">S102*Inputs!$C$82*S69</f>
        <v>0</v>
      </c>
      <c r="T119" s="16" t="n">
        <f aca="false">T102*Inputs!$C$82*T69</f>
        <v>0</v>
      </c>
      <c r="U119" s="16" t="n">
        <f aca="false">U102*Inputs!$C$82*U69</f>
        <v>0</v>
      </c>
      <c r="V119" s="16" t="n">
        <f aca="false">V102*Inputs!$C$82*V69</f>
        <v>0</v>
      </c>
      <c r="W119" s="16" t="n">
        <f aca="false">W102*Inputs!$C$82*W69</f>
        <v>0</v>
      </c>
      <c r="X119" s="16" t="n">
        <f aca="false">X102*Inputs!$C$82*X69</f>
        <v>0</v>
      </c>
      <c r="Y119" s="16" t="n">
        <f aca="false">Y102*Inputs!$C$82*Y69</f>
        <v>0</v>
      </c>
      <c r="Z119" s="16" t="n">
        <f aca="false">Z102*Inputs!$C$82*Z69</f>
        <v>0</v>
      </c>
      <c r="AA119" s="16" t="n">
        <f aca="false">AA102*Inputs!$C$82*AA69</f>
        <v>0</v>
      </c>
      <c r="AB119" s="16" t="n">
        <f aca="false">AB102*Inputs!$C$82*AB69</f>
        <v>2.17728</v>
      </c>
      <c r="AC119" s="16" t="n">
        <f aca="false">AC102*Inputs!$C$82*AC69</f>
        <v>2.17728</v>
      </c>
      <c r="AD119" s="16" t="n">
        <f aca="false">AD102*Inputs!$C$82*AD69</f>
        <v>2.17728</v>
      </c>
      <c r="AE119" s="16" t="n">
        <f aca="false">AE102*Inputs!$C$82*AE69</f>
        <v>2.17728</v>
      </c>
      <c r="AF119" s="16" t="n">
        <f aca="false">AF102*Inputs!$C$82*AF69</f>
        <v>2.17728</v>
      </c>
      <c r="AG119" s="16" t="n">
        <f aca="false">AG102*Inputs!$C$82*AG69</f>
        <v>2.17728</v>
      </c>
      <c r="AH119" s="16" t="n">
        <f aca="false">AH102*Inputs!$C$82*AH69</f>
        <v>2.17728</v>
      </c>
      <c r="AI119" s="16" t="n">
        <f aca="false">AI102*Inputs!$C$82*AI69</f>
        <v>2.17728</v>
      </c>
      <c r="AJ119" s="16" t="n">
        <f aca="false">AJ102*Inputs!$C$82*AJ69</f>
        <v>2.17728</v>
      </c>
      <c r="AK119" s="16" t="n">
        <f aca="false">AK102*Inputs!$C$82*AK69</f>
        <v>2.17728</v>
      </c>
      <c r="AL119" s="16" t="n">
        <f aca="false">AL102*Inputs!$C$82*AL69</f>
        <v>2.17728</v>
      </c>
      <c r="AM119" s="16" t="n">
        <f aca="false">AM102*Inputs!$C$82*AM69</f>
        <v>2.17728</v>
      </c>
      <c r="AN119" s="16" t="n">
        <f aca="false">AN102*Inputs!$C$82*AN69</f>
        <v>2.3514624</v>
      </c>
      <c r="AO119" s="16" t="n">
        <f aca="false">AO102*Inputs!$C$82*AO69</f>
        <v>2.3514624</v>
      </c>
      <c r="AP119" s="16" t="n">
        <f aca="false">AP102*Inputs!$C$82*AP69</f>
        <v>2.3514624</v>
      </c>
      <c r="AQ119" s="16" t="n">
        <f aca="false">AQ102*Inputs!$C$82*AQ69</f>
        <v>2.3514624</v>
      </c>
      <c r="AR119" s="16" t="n">
        <f aca="false">AR102*Inputs!$C$82*AR69</f>
        <v>2.3514624</v>
      </c>
      <c r="AS119" s="16" t="n">
        <f aca="false">AS102*Inputs!$C$82*AS69</f>
        <v>2.3514624</v>
      </c>
      <c r="AT119" s="16" t="n">
        <f aca="false">AT102*Inputs!$C$82*AT69</f>
        <v>2.3514624</v>
      </c>
      <c r="AU119" s="16" t="n">
        <f aca="false">AU102*Inputs!$C$82*AU69</f>
        <v>2.3514624</v>
      </c>
      <c r="AV119" s="16" t="n">
        <f aca="false">AV102*Inputs!$C$82*AV69</f>
        <v>2.3514624</v>
      </c>
      <c r="AW119" s="16" t="n">
        <f aca="false">AW102*Inputs!$C$82*AW69</f>
        <v>2.3514624</v>
      </c>
      <c r="AX119" s="16" t="n">
        <f aca="false">AX102*Inputs!$C$82*AX69</f>
        <v>2.3514624</v>
      </c>
      <c r="AY119" s="16" t="n">
        <f aca="false">AY102*Inputs!$C$82*AY69</f>
        <v>2.3514624</v>
      </c>
      <c r="AZ119" s="16" t="n">
        <f aca="false">AZ102*Inputs!$C$82*AZ69</f>
        <v>2.539579392</v>
      </c>
      <c r="BA119" s="16" t="n">
        <f aca="false">BA102*Inputs!$C$82*BA69</f>
        <v>2.539579392</v>
      </c>
      <c r="BB119" s="16" t="n">
        <f aca="false">BB102*Inputs!$C$82*BB69</f>
        <v>2.539579392</v>
      </c>
      <c r="BC119" s="16" t="n">
        <f aca="false">BC102*Inputs!$C$82*BC69</f>
        <v>2.539579392</v>
      </c>
      <c r="BD119" s="16" t="n">
        <f aca="false">BD102*Inputs!$C$82*BD69</f>
        <v>2.539579392</v>
      </c>
      <c r="BE119" s="16" t="n">
        <f aca="false">BE102*Inputs!$C$82*BE69</f>
        <v>2.539579392</v>
      </c>
      <c r="BF119" s="16" t="n">
        <f aca="false">BF102*Inputs!$C$82*BF69</f>
        <v>2.539579392</v>
      </c>
      <c r="BG119" s="16" t="n">
        <f aca="false">BG102*Inputs!$C$82*BG69</f>
        <v>2.539579392</v>
      </c>
      <c r="BH119" s="16" t="n">
        <f aca="false">BH102*Inputs!$C$82*BH69</f>
        <v>2.539579392</v>
      </c>
      <c r="BI119" s="16" t="n">
        <f aca="false">BI102*Inputs!$C$82*BI69</f>
        <v>2.539579392</v>
      </c>
      <c r="BJ119" s="16" t="n">
        <f aca="false">BJ102*Inputs!$C$82*BJ69</f>
        <v>2.539579392</v>
      </c>
      <c r="BK119" s="16" t="n">
        <f aca="false">BK102*Inputs!$C$82*BK69</f>
        <v>2.539579392</v>
      </c>
    </row>
    <row r="120" customFormat="false" ht="15" hidden="false" customHeight="true" outlineLevel="0" collapsed="false">
      <c r="A120" s="5" t="s">
        <v>1991</v>
      </c>
      <c r="B120" s="4" t="s">
        <v>44</v>
      </c>
      <c r="D120" s="52" t="n">
        <f aca="false">D107+D109+D110+D111+D112+D113</f>
        <v>1.12</v>
      </c>
      <c r="E120" s="52" t="n">
        <f aca="false">E107+E109+E110+E111+E112+E113</f>
        <v>1.12</v>
      </c>
      <c r="F120" s="52" t="n">
        <f aca="false">F107+F109+F110+F111+F112+F113</f>
        <v>5.22666666666667</v>
      </c>
      <c r="G120" s="52" t="n">
        <f aca="false">G107+G109+G110+G111+G112+G113</f>
        <v>5.22666666666667</v>
      </c>
      <c r="H120" s="52" t="n">
        <f aca="false">H107+H109+H110+H111+H112+H113</f>
        <v>5.22666666666667</v>
      </c>
      <c r="I120" s="52" t="n">
        <f aca="false">I107+I109+I110+I111+I112+I113</f>
        <v>5.22666666666667</v>
      </c>
      <c r="J120" s="52" t="n">
        <f aca="false">J107+J109+J110+J111+J112+J113</f>
        <v>5.22666666666667</v>
      </c>
      <c r="K120" s="52" t="n">
        <f aca="false">K107+K109+K110+K111+K112+K113</f>
        <v>5.22666666666667</v>
      </c>
      <c r="L120" s="52" t="n">
        <f aca="false">L107+L109+L110+L111+L112+L113</f>
        <v>5.22666666666667</v>
      </c>
      <c r="M120" s="52" t="n">
        <f aca="false">M107+M109+M110+M111+M112+M113</f>
        <v>5.22666666666667</v>
      </c>
      <c r="N120" s="52" t="n">
        <f aca="false">N107+N109+N110+N111+N112+N113</f>
        <v>5.22666666666667</v>
      </c>
      <c r="O120" s="52" t="n">
        <f aca="false">O107+O109+O110+O111+O112+O113</f>
        <v>5.22666666666667</v>
      </c>
      <c r="P120" s="52" t="n">
        <f aca="false">P107+P109+P110+P111+P112+P113</f>
        <v>12.8016</v>
      </c>
      <c r="Q120" s="52" t="n">
        <f aca="false">Q107+Q109+Q110+Q111+Q112+Q113</f>
        <v>12.8016</v>
      </c>
      <c r="R120" s="52" t="n">
        <f aca="false">R107+R109+R110+R111+R112+R113</f>
        <v>12.8016</v>
      </c>
      <c r="S120" s="52" t="n">
        <f aca="false">S107+S109+S110+S111+S112+S113</f>
        <v>12.8016</v>
      </c>
      <c r="T120" s="52" t="n">
        <f aca="false">T107+T109+T110+T111+T112+T113</f>
        <v>12.8016</v>
      </c>
      <c r="U120" s="52" t="n">
        <f aca="false">U107+U109+U110+U111+U112+U113</f>
        <v>12.8016</v>
      </c>
      <c r="V120" s="52" t="n">
        <f aca="false">V107+V109+V110+V111+V112+V113</f>
        <v>12.8016</v>
      </c>
      <c r="W120" s="52" t="n">
        <f aca="false">W107+W109+W110+W111+W112+W113</f>
        <v>12.8016</v>
      </c>
      <c r="X120" s="52" t="n">
        <f aca="false">X107+X109+X110+X111+X112+X113</f>
        <v>12.8016</v>
      </c>
      <c r="Y120" s="52" t="n">
        <f aca="false">Y107+Y109+Y110+Y111+Y112+Y113</f>
        <v>12.8016</v>
      </c>
      <c r="Z120" s="52" t="n">
        <f aca="false">Z107+Z109+Z110+Z111+Z112+Z113</f>
        <v>12.8016</v>
      </c>
      <c r="AA120" s="52" t="n">
        <f aca="false">AA107+AA109+AA110+AA111+AA112+AA113</f>
        <v>12.8016</v>
      </c>
      <c r="AB120" s="52" t="n">
        <f aca="false">AB107+AB109+AB110+AB111+AB112+AB113</f>
        <v>18.615744</v>
      </c>
      <c r="AC120" s="52" t="n">
        <f aca="false">AC107+AC109+AC110+AC111+AC112+AC113</f>
        <v>18.615744</v>
      </c>
      <c r="AD120" s="52" t="n">
        <f aca="false">AD107+AD109+AD110+AD111+AD112+AD113</f>
        <v>18.615744</v>
      </c>
      <c r="AE120" s="52" t="n">
        <f aca="false">AE107+AE109+AE110+AE111+AE112+AE113</f>
        <v>18.615744</v>
      </c>
      <c r="AF120" s="52" t="n">
        <f aca="false">AF107+AF109+AF110+AF111+AF112+AF113</f>
        <v>18.615744</v>
      </c>
      <c r="AG120" s="52" t="n">
        <f aca="false">AG107+AG109+AG110+AG111+AG112+AG113</f>
        <v>18.615744</v>
      </c>
      <c r="AH120" s="52" t="n">
        <f aca="false">AH107+AH109+AH110+AH111+AH112+AH113</f>
        <v>18.615744</v>
      </c>
      <c r="AI120" s="52" t="n">
        <f aca="false">AI107+AI109+AI110+AI111+AI112+AI113</f>
        <v>18.615744</v>
      </c>
      <c r="AJ120" s="52" t="n">
        <f aca="false">AJ107+AJ109+AJ110+AJ111+AJ112+AJ113</f>
        <v>18.615744</v>
      </c>
      <c r="AK120" s="52" t="n">
        <f aca="false">AK107+AK109+AK110+AK111+AK112+AK113</f>
        <v>18.615744</v>
      </c>
      <c r="AL120" s="52" t="n">
        <f aca="false">AL107+AL109+AL110+AL111+AL112+AL113</f>
        <v>18.615744</v>
      </c>
      <c r="AM120" s="52" t="n">
        <f aca="false">AM107+AM109+AM110+AM111+AM112+AM113</f>
        <v>18.615744</v>
      </c>
      <c r="AN120" s="52" t="n">
        <f aca="false">AN107+AN109+AN110+AN111+AN112+AN113</f>
        <v>25.63094016</v>
      </c>
      <c r="AO120" s="52" t="n">
        <f aca="false">AO107+AO109+AO110+AO111+AO112+AO113</f>
        <v>25.63094016</v>
      </c>
      <c r="AP120" s="52" t="n">
        <f aca="false">AP107+AP109+AP110+AP111+AP112+AP113</f>
        <v>25.63094016</v>
      </c>
      <c r="AQ120" s="52" t="n">
        <f aca="false">AQ107+AQ109+AQ110+AQ111+AQ112+AQ113</f>
        <v>25.63094016</v>
      </c>
      <c r="AR120" s="52" t="n">
        <f aca="false">AR107+AR109+AR110+AR111+AR112+AR113</f>
        <v>25.63094016</v>
      </c>
      <c r="AS120" s="52" t="n">
        <f aca="false">AS107+AS109+AS110+AS111+AS112+AS113</f>
        <v>25.63094016</v>
      </c>
      <c r="AT120" s="52" t="n">
        <f aca="false">AT107+AT109+AT110+AT111+AT112+AT113</f>
        <v>25.63094016</v>
      </c>
      <c r="AU120" s="52" t="n">
        <f aca="false">AU107+AU109+AU110+AU111+AU112+AU113</f>
        <v>25.63094016</v>
      </c>
      <c r="AV120" s="52" t="n">
        <f aca="false">AV107+AV109+AV110+AV111+AV112+AV113</f>
        <v>25.63094016</v>
      </c>
      <c r="AW120" s="52" t="n">
        <f aca="false">AW107+AW109+AW110+AW111+AW112+AW113</f>
        <v>25.63094016</v>
      </c>
      <c r="AX120" s="52" t="n">
        <f aca="false">AX107+AX109+AX110+AX111+AX112+AX113</f>
        <v>25.63094016</v>
      </c>
      <c r="AY120" s="52" t="n">
        <f aca="false">AY107+AY109+AY110+AY111+AY112+AY113</f>
        <v>25.63094016</v>
      </c>
      <c r="AZ120" s="52" t="n">
        <f aca="false">AZ107+AZ109+AZ110+AZ111+AZ112+AZ113</f>
        <v>36.3159853056</v>
      </c>
      <c r="BA120" s="52" t="n">
        <f aca="false">BA107+BA109+BA110+BA111+BA112+BA113</f>
        <v>36.3159853056</v>
      </c>
      <c r="BB120" s="52" t="n">
        <f aca="false">BB107+BB109+BB110+BB111+BB112+BB113</f>
        <v>36.3159853056</v>
      </c>
      <c r="BC120" s="52" t="n">
        <f aca="false">BC107+BC109+BC110+BC111+BC112+BC113</f>
        <v>36.3159853056</v>
      </c>
      <c r="BD120" s="52" t="n">
        <f aca="false">BD107+BD109+BD110+BD111+BD112+BD113</f>
        <v>36.3159853056</v>
      </c>
      <c r="BE120" s="52" t="n">
        <f aca="false">BE107+BE109+BE110+BE111+BE112+BE113</f>
        <v>36.3159853056</v>
      </c>
      <c r="BF120" s="52" t="n">
        <f aca="false">BF107+BF109+BF110+BF111+BF112+BF113</f>
        <v>36.3159853056</v>
      </c>
      <c r="BG120" s="52" t="n">
        <f aca="false">BG107+BG109+BG110+BG111+BG112+BG113</f>
        <v>36.3159853056</v>
      </c>
      <c r="BH120" s="52" t="n">
        <f aca="false">BH107+BH109+BH110+BH111+BH112+BH113</f>
        <v>36.3159853056</v>
      </c>
      <c r="BI120" s="52" t="n">
        <f aca="false">BI107+BI109+BI110+BI111+BI112+BI113</f>
        <v>36.3159853056</v>
      </c>
      <c r="BJ120" s="52" t="n">
        <f aca="false">BJ107+BJ109+BJ110+BJ111+BJ112+BJ113</f>
        <v>36.3159853056</v>
      </c>
      <c r="BK120" s="52" t="n">
        <f aca="false">BK107+BK109+BK110+BK111+BK112+BK113</f>
        <v>36.3159853056</v>
      </c>
    </row>
    <row r="121" customFormat="false" ht="15" hidden="false" customHeight="true" outlineLevel="0" collapsed="false">
      <c r="A121" s="5" t="s">
        <v>1992</v>
      </c>
      <c r="B121" s="4" t="s">
        <v>44</v>
      </c>
      <c r="D121" s="52" t="n">
        <f aca="false">D108+D114+D115+D116+D117</f>
        <v>1.12</v>
      </c>
      <c r="E121" s="52" t="n">
        <f aca="false">E108+E114+E115+E116+E117</f>
        <v>1.12</v>
      </c>
      <c r="F121" s="52" t="n">
        <f aca="false">F108+F114+F115+F116+F117</f>
        <v>1.12</v>
      </c>
      <c r="G121" s="52" t="n">
        <f aca="false">G108+G114+G115+G116+G117</f>
        <v>3.82666666666667</v>
      </c>
      <c r="H121" s="52" t="n">
        <f aca="false">H108+H114+H115+H116+H117</f>
        <v>3.82666666666667</v>
      </c>
      <c r="I121" s="52" t="n">
        <f aca="false">I108+I114+I115+I116+I117</f>
        <v>3.82666666666667</v>
      </c>
      <c r="J121" s="52" t="n">
        <f aca="false">J108+J114+J115+J116+J117</f>
        <v>3.82666666666667</v>
      </c>
      <c r="K121" s="52" t="n">
        <f aca="false">K108+K114+K115+K116+K117</f>
        <v>3.82666666666667</v>
      </c>
      <c r="L121" s="52" t="n">
        <f aca="false">L108+L114+L115+L116+L117</f>
        <v>3.82666666666667</v>
      </c>
      <c r="M121" s="52" t="n">
        <f aca="false">M108+M114+M115+M116+M117</f>
        <v>3.82666666666667</v>
      </c>
      <c r="N121" s="52" t="n">
        <f aca="false">N108+N114+N115+N116+N117</f>
        <v>3.82666666666667</v>
      </c>
      <c r="O121" s="52" t="n">
        <f aca="false">O108+O114+O115+O116+O117</f>
        <v>3.82666666666667</v>
      </c>
      <c r="P121" s="52" t="n">
        <f aca="false">P108+P114+P115+P116+P117</f>
        <v>9.8784</v>
      </c>
      <c r="Q121" s="52" t="n">
        <f aca="false">Q108+Q114+Q115+Q116+Q117</f>
        <v>9.8784</v>
      </c>
      <c r="R121" s="52" t="n">
        <f aca="false">R108+R114+R115+R116+R117</f>
        <v>9.8784</v>
      </c>
      <c r="S121" s="52" t="n">
        <f aca="false">S108+S114+S115+S116+S117</f>
        <v>9.8784</v>
      </c>
      <c r="T121" s="52" t="n">
        <f aca="false">T108+T114+T115+T116+T117</f>
        <v>9.8784</v>
      </c>
      <c r="U121" s="52" t="n">
        <f aca="false">U108+U114+U115+U116+U117</f>
        <v>9.8784</v>
      </c>
      <c r="V121" s="52" t="n">
        <f aca="false">V108+V114+V115+V116+V117</f>
        <v>9.8784</v>
      </c>
      <c r="W121" s="52" t="n">
        <f aca="false">W108+W114+W115+W116+W117</f>
        <v>9.8784</v>
      </c>
      <c r="X121" s="52" t="n">
        <f aca="false">X108+X114+X115+X116+X117</f>
        <v>9.8784</v>
      </c>
      <c r="Y121" s="52" t="n">
        <f aca="false">Y108+Y114+Y115+Y116+Y117</f>
        <v>9.8784</v>
      </c>
      <c r="Z121" s="52" t="n">
        <f aca="false">Z108+Z114+Z115+Z116+Z117</f>
        <v>9.8784</v>
      </c>
      <c r="AA121" s="52" t="n">
        <f aca="false">AA108+AA114+AA115+AA116+AA117</f>
        <v>9.8784</v>
      </c>
      <c r="AB121" s="52" t="n">
        <f aca="false">AB108+AB114+AB115+AB116+AB117</f>
        <v>24.385536</v>
      </c>
      <c r="AC121" s="52" t="n">
        <f aca="false">AC108+AC114+AC115+AC116+AC117</f>
        <v>24.385536</v>
      </c>
      <c r="AD121" s="52" t="n">
        <f aca="false">AD108+AD114+AD115+AD116+AD117</f>
        <v>24.385536</v>
      </c>
      <c r="AE121" s="52" t="n">
        <f aca="false">AE108+AE114+AE115+AE116+AE117</f>
        <v>24.385536</v>
      </c>
      <c r="AF121" s="52" t="n">
        <f aca="false">AF108+AF114+AF115+AF116+AF117</f>
        <v>24.385536</v>
      </c>
      <c r="AG121" s="52" t="n">
        <f aca="false">AG108+AG114+AG115+AG116+AG117</f>
        <v>24.385536</v>
      </c>
      <c r="AH121" s="52" t="n">
        <f aca="false">AH108+AH114+AH115+AH116+AH117</f>
        <v>24.385536</v>
      </c>
      <c r="AI121" s="52" t="n">
        <f aca="false">AI108+AI114+AI115+AI116+AI117</f>
        <v>24.385536</v>
      </c>
      <c r="AJ121" s="52" t="n">
        <f aca="false">AJ108+AJ114+AJ115+AJ116+AJ117</f>
        <v>24.385536</v>
      </c>
      <c r="AK121" s="52" t="n">
        <f aca="false">AK108+AK114+AK115+AK116+AK117</f>
        <v>24.385536</v>
      </c>
      <c r="AL121" s="52" t="n">
        <f aca="false">AL108+AL114+AL115+AL116+AL117</f>
        <v>24.385536</v>
      </c>
      <c r="AM121" s="52" t="n">
        <f aca="false">AM108+AM114+AM115+AM116+AM117</f>
        <v>24.385536</v>
      </c>
      <c r="AN121" s="52" t="n">
        <f aca="false">AN108+AN114+AN115+AN116+AN117</f>
        <v>45.38322432</v>
      </c>
      <c r="AO121" s="52" t="n">
        <f aca="false">AO108+AO114+AO115+AO116+AO117</f>
        <v>45.38322432</v>
      </c>
      <c r="AP121" s="52" t="n">
        <f aca="false">AP108+AP114+AP115+AP116+AP117</f>
        <v>45.38322432</v>
      </c>
      <c r="AQ121" s="52" t="n">
        <f aca="false">AQ108+AQ114+AQ115+AQ116+AQ117</f>
        <v>45.38322432</v>
      </c>
      <c r="AR121" s="52" t="n">
        <f aca="false">AR108+AR114+AR115+AR116+AR117</f>
        <v>45.38322432</v>
      </c>
      <c r="AS121" s="52" t="n">
        <f aca="false">AS108+AS114+AS115+AS116+AS117</f>
        <v>45.38322432</v>
      </c>
      <c r="AT121" s="52" t="n">
        <f aca="false">AT108+AT114+AT115+AT116+AT117</f>
        <v>45.38322432</v>
      </c>
      <c r="AU121" s="52" t="n">
        <f aca="false">AU108+AU114+AU115+AU116+AU117</f>
        <v>45.38322432</v>
      </c>
      <c r="AV121" s="52" t="n">
        <f aca="false">AV108+AV114+AV115+AV116+AV117</f>
        <v>45.38322432</v>
      </c>
      <c r="AW121" s="52" t="n">
        <f aca="false">AW108+AW114+AW115+AW116+AW117</f>
        <v>45.38322432</v>
      </c>
      <c r="AX121" s="52" t="n">
        <f aca="false">AX108+AX114+AX115+AX116+AX117</f>
        <v>45.38322432</v>
      </c>
      <c r="AY121" s="52" t="n">
        <f aca="false">AY108+AY114+AY115+AY116+AY117</f>
        <v>45.38322432</v>
      </c>
      <c r="AZ121" s="52" t="n">
        <f aca="false">AZ108+AZ114+AZ115+AZ116+AZ117</f>
        <v>68.6956225536</v>
      </c>
      <c r="BA121" s="52" t="n">
        <f aca="false">BA108+BA114+BA115+BA116+BA117</f>
        <v>68.6956225536</v>
      </c>
      <c r="BB121" s="52" t="n">
        <f aca="false">BB108+BB114+BB115+BB116+BB117</f>
        <v>68.6956225536</v>
      </c>
      <c r="BC121" s="52" t="n">
        <f aca="false">BC108+BC114+BC115+BC116+BC117</f>
        <v>68.6956225536</v>
      </c>
      <c r="BD121" s="52" t="n">
        <f aca="false">BD108+BD114+BD115+BD116+BD117</f>
        <v>68.6956225536</v>
      </c>
      <c r="BE121" s="52" t="n">
        <f aca="false">BE108+BE114+BE115+BE116+BE117</f>
        <v>68.6956225536</v>
      </c>
      <c r="BF121" s="52" t="n">
        <f aca="false">BF108+BF114+BF115+BF116+BF117</f>
        <v>68.6956225536</v>
      </c>
      <c r="BG121" s="52" t="n">
        <f aca="false">BG108+BG114+BG115+BG116+BG117</f>
        <v>68.6956225536</v>
      </c>
      <c r="BH121" s="52" t="n">
        <f aca="false">BH108+BH114+BH115+BH116+BH117</f>
        <v>68.6956225536</v>
      </c>
      <c r="BI121" s="52" t="n">
        <f aca="false">BI108+BI114+BI115+BI116+BI117</f>
        <v>68.6956225536</v>
      </c>
      <c r="BJ121" s="52" t="n">
        <f aca="false">BJ108+BJ114+BJ115+BJ116+BJ117</f>
        <v>68.6956225536</v>
      </c>
      <c r="BK121" s="52" t="n">
        <f aca="false">BK108+BK114+BK115+BK116+BK117</f>
        <v>68.6956225536</v>
      </c>
    </row>
    <row r="122" customFormat="false" ht="15" hidden="false" customHeight="true" outlineLevel="0" collapsed="false">
      <c r="A122" s="5" t="s">
        <v>1993</v>
      </c>
      <c r="B122" s="4" t="s">
        <v>44</v>
      </c>
      <c r="D122" s="52" t="n">
        <f aca="false">D106+D118+D119</f>
        <v>1.12</v>
      </c>
      <c r="E122" s="52" t="n">
        <f aca="false">E106+E118+E119</f>
        <v>1.12</v>
      </c>
      <c r="F122" s="52" t="n">
        <f aca="false">F106+F118+F119</f>
        <v>1.12</v>
      </c>
      <c r="G122" s="52" t="n">
        <f aca="false">G106+G118+G119</f>
        <v>1.12</v>
      </c>
      <c r="H122" s="52" t="n">
        <f aca="false">H106+H118+H119</f>
        <v>1.12</v>
      </c>
      <c r="I122" s="52" t="n">
        <f aca="false">I106+I118+I119</f>
        <v>1.12</v>
      </c>
      <c r="J122" s="52" t="n">
        <f aca="false">J106+J118+J119</f>
        <v>1.12</v>
      </c>
      <c r="K122" s="52" t="n">
        <f aca="false">K106+K118+K119</f>
        <v>1.12</v>
      </c>
      <c r="L122" s="52" t="n">
        <f aca="false">L106+L118+L119</f>
        <v>1.12</v>
      </c>
      <c r="M122" s="52" t="n">
        <f aca="false">M106+M118+M119</f>
        <v>1.12</v>
      </c>
      <c r="N122" s="52" t="n">
        <f aca="false">N106+N118+N119</f>
        <v>1.12</v>
      </c>
      <c r="O122" s="52" t="n">
        <f aca="false">O106+O118+O119</f>
        <v>1.12</v>
      </c>
      <c r="P122" s="52" t="n">
        <f aca="false">P106+P118+P119</f>
        <v>2.016</v>
      </c>
      <c r="Q122" s="52" t="n">
        <f aca="false">Q106+Q118+Q119</f>
        <v>2.016</v>
      </c>
      <c r="R122" s="52" t="n">
        <f aca="false">R106+R118+R119</f>
        <v>2.016</v>
      </c>
      <c r="S122" s="52" t="n">
        <f aca="false">S106+S118+S119</f>
        <v>2.016</v>
      </c>
      <c r="T122" s="52" t="n">
        <f aca="false">T106+T118+T119</f>
        <v>2.016</v>
      </c>
      <c r="U122" s="52" t="n">
        <f aca="false">U106+U118+U119</f>
        <v>2.016</v>
      </c>
      <c r="V122" s="52" t="n">
        <f aca="false">V106+V118+V119</f>
        <v>2.016</v>
      </c>
      <c r="W122" s="52" t="n">
        <f aca="false">W106+W118+W119</f>
        <v>2.016</v>
      </c>
      <c r="X122" s="52" t="n">
        <f aca="false">X106+X118+X119</f>
        <v>2.016</v>
      </c>
      <c r="Y122" s="52" t="n">
        <f aca="false">Y106+Y118+Y119</f>
        <v>2.016</v>
      </c>
      <c r="Z122" s="52" t="n">
        <f aca="false">Z106+Z118+Z119</f>
        <v>2.016</v>
      </c>
      <c r="AA122" s="52" t="n">
        <f aca="false">AA106+AA118+AA119</f>
        <v>2.016</v>
      </c>
      <c r="AB122" s="52" t="n">
        <f aca="false">AB106+AB118+AB119</f>
        <v>4.35456</v>
      </c>
      <c r="AC122" s="52" t="n">
        <f aca="false">AC106+AC118+AC119</f>
        <v>4.35456</v>
      </c>
      <c r="AD122" s="52" t="n">
        <f aca="false">AD106+AD118+AD119</f>
        <v>4.35456</v>
      </c>
      <c r="AE122" s="52" t="n">
        <f aca="false">AE106+AE118+AE119</f>
        <v>4.35456</v>
      </c>
      <c r="AF122" s="52" t="n">
        <f aca="false">AF106+AF118+AF119</f>
        <v>4.35456</v>
      </c>
      <c r="AG122" s="52" t="n">
        <f aca="false">AG106+AG118+AG119</f>
        <v>4.35456</v>
      </c>
      <c r="AH122" s="52" t="n">
        <f aca="false">AH106+AH118+AH119</f>
        <v>4.35456</v>
      </c>
      <c r="AI122" s="52" t="n">
        <f aca="false">AI106+AI118+AI119</f>
        <v>4.35456</v>
      </c>
      <c r="AJ122" s="52" t="n">
        <f aca="false">AJ106+AJ118+AJ119</f>
        <v>4.35456</v>
      </c>
      <c r="AK122" s="52" t="n">
        <f aca="false">AK106+AK118+AK119</f>
        <v>4.35456</v>
      </c>
      <c r="AL122" s="52" t="n">
        <f aca="false">AL106+AL118+AL119</f>
        <v>4.35456</v>
      </c>
      <c r="AM122" s="52" t="n">
        <f aca="false">AM106+AM118+AM119</f>
        <v>4.35456</v>
      </c>
      <c r="AN122" s="52" t="n">
        <f aca="false">AN106+AN118+AN119</f>
        <v>5.64350976</v>
      </c>
      <c r="AO122" s="52" t="n">
        <f aca="false">AO106+AO118+AO119</f>
        <v>5.64350976</v>
      </c>
      <c r="AP122" s="52" t="n">
        <f aca="false">AP106+AP118+AP119</f>
        <v>5.64350976</v>
      </c>
      <c r="AQ122" s="52" t="n">
        <f aca="false">AQ106+AQ118+AQ119</f>
        <v>5.64350976</v>
      </c>
      <c r="AR122" s="52" t="n">
        <f aca="false">AR106+AR118+AR119</f>
        <v>5.64350976</v>
      </c>
      <c r="AS122" s="52" t="n">
        <f aca="false">AS106+AS118+AS119</f>
        <v>5.64350976</v>
      </c>
      <c r="AT122" s="52" t="n">
        <f aca="false">AT106+AT118+AT119</f>
        <v>5.64350976</v>
      </c>
      <c r="AU122" s="52" t="n">
        <f aca="false">AU106+AU118+AU119</f>
        <v>5.64350976</v>
      </c>
      <c r="AV122" s="52" t="n">
        <f aca="false">AV106+AV118+AV119</f>
        <v>5.64350976</v>
      </c>
      <c r="AW122" s="52" t="n">
        <f aca="false">AW106+AW118+AW119</f>
        <v>5.64350976</v>
      </c>
      <c r="AX122" s="52" t="n">
        <f aca="false">AX106+AX118+AX119</f>
        <v>5.64350976</v>
      </c>
      <c r="AY122" s="52" t="n">
        <f aca="false">AY106+AY118+AY119</f>
        <v>5.64350976</v>
      </c>
      <c r="AZ122" s="52" t="n">
        <f aca="false">AZ106+AZ118+AZ119</f>
        <v>6.0949905408</v>
      </c>
      <c r="BA122" s="52" t="n">
        <f aca="false">BA106+BA118+BA119</f>
        <v>6.0949905408</v>
      </c>
      <c r="BB122" s="52" t="n">
        <f aca="false">BB106+BB118+BB119</f>
        <v>6.0949905408</v>
      </c>
      <c r="BC122" s="52" t="n">
        <f aca="false">BC106+BC118+BC119</f>
        <v>6.0949905408</v>
      </c>
      <c r="BD122" s="52" t="n">
        <f aca="false">BD106+BD118+BD119</f>
        <v>6.0949905408</v>
      </c>
      <c r="BE122" s="52" t="n">
        <f aca="false">BE106+BE118+BE119</f>
        <v>6.0949905408</v>
      </c>
      <c r="BF122" s="52" t="n">
        <f aca="false">BF106+BF118+BF119</f>
        <v>6.0949905408</v>
      </c>
      <c r="BG122" s="52" t="n">
        <f aca="false">BG106+BG118+BG119</f>
        <v>6.0949905408</v>
      </c>
      <c r="BH122" s="52" t="n">
        <f aca="false">BH106+BH118+BH119</f>
        <v>6.0949905408</v>
      </c>
      <c r="BI122" s="52" t="n">
        <f aca="false">BI106+BI118+BI119</f>
        <v>6.0949905408</v>
      </c>
      <c r="BJ122" s="52" t="n">
        <f aca="false">BJ106+BJ118+BJ119</f>
        <v>6.0949905408</v>
      </c>
      <c r="BK122" s="52" t="n">
        <f aca="false">BK106+BK118+BK119</f>
        <v>6.0949905408</v>
      </c>
    </row>
    <row r="124" customFormat="false" ht="15" hidden="false" customHeight="true" outlineLevel="0" collapsed="false">
      <c r="A124" s="10" t="s">
        <v>1994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customFormat="false" ht="15" hidden="false" customHeight="true" outlineLevel="0" collapsed="false">
      <c r="A125" s="12" t="s">
        <v>735</v>
      </c>
      <c r="B125" s="4" t="s">
        <v>44</v>
      </c>
      <c r="D125" s="16" t="n">
        <f aca="false">INDEX(Inputs!$C$136:$G$136,1,D7)*Inputs!$C$128</f>
        <v>1</v>
      </c>
      <c r="E125" s="16" t="n">
        <f aca="false">INDEX(Inputs!$C$136:$G$136,1,E7)*Inputs!$C$128</f>
        <v>1</v>
      </c>
      <c r="F125" s="16" t="n">
        <f aca="false">INDEX(Inputs!$C$136:$G$136,1,F7)*Inputs!$C$128</f>
        <v>1</v>
      </c>
      <c r="G125" s="16" t="n">
        <f aca="false">INDEX(Inputs!$C$136:$G$136,1,G7)*Inputs!$C$128</f>
        <v>1</v>
      </c>
      <c r="H125" s="16" t="n">
        <f aca="false">INDEX(Inputs!$C$136:$G$136,1,H7)*Inputs!$C$128</f>
        <v>1</v>
      </c>
      <c r="I125" s="16" t="n">
        <f aca="false">INDEX(Inputs!$C$136:$G$136,1,I7)*Inputs!$C$128</f>
        <v>1</v>
      </c>
      <c r="J125" s="16" t="n">
        <f aca="false">INDEX(Inputs!$C$136:$G$136,1,J7)*Inputs!$C$128</f>
        <v>1</v>
      </c>
      <c r="K125" s="16" t="n">
        <f aca="false">INDEX(Inputs!$C$136:$G$136,1,K7)*Inputs!$C$128</f>
        <v>1</v>
      </c>
      <c r="L125" s="16" t="n">
        <f aca="false">INDEX(Inputs!$C$136:$G$136,1,L7)*Inputs!$C$128</f>
        <v>1</v>
      </c>
      <c r="M125" s="16" t="n">
        <f aca="false">INDEX(Inputs!$C$136:$G$136,1,M7)*Inputs!$C$128</f>
        <v>1</v>
      </c>
      <c r="N125" s="16" t="n">
        <f aca="false">INDEX(Inputs!$C$136:$G$136,1,N7)*Inputs!$C$128</f>
        <v>1</v>
      </c>
      <c r="O125" s="16" t="n">
        <f aca="false">INDEX(Inputs!$C$136:$G$136,1,O7)*Inputs!$C$128</f>
        <v>1</v>
      </c>
      <c r="P125" s="16" t="n">
        <f aca="false">INDEX(Inputs!$C$136:$G$136,1,P7)*Inputs!$C$128</f>
        <v>2</v>
      </c>
      <c r="Q125" s="16" t="n">
        <f aca="false">INDEX(Inputs!$C$136:$G$136,1,Q7)*Inputs!$C$128</f>
        <v>2</v>
      </c>
      <c r="R125" s="16" t="n">
        <f aca="false">INDEX(Inputs!$C$136:$G$136,1,R7)*Inputs!$C$128</f>
        <v>2</v>
      </c>
      <c r="S125" s="16" t="n">
        <f aca="false">INDEX(Inputs!$C$136:$G$136,1,S7)*Inputs!$C$128</f>
        <v>2</v>
      </c>
      <c r="T125" s="16" t="n">
        <f aca="false">INDEX(Inputs!$C$136:$G$136,1,T7)*Inputs!$C$128</f>
        <v>2</v>
      </c>
      <c r="U125" s="16" t="n">
        <f aca="false">INDEX(Inputs!$C$136:$G$136,1,U7)*Inputs!$C$128</f>
        <v>2</v>
      </c>
      <c r="V125" s="16" t="n">
        <f aca="false">INDEX(Inputs!$C$136:$G$136,1,V7)*Inputs!$C$128</f>
        <v>2</v>
      </c>
      <c r="W125" s="16" t="n">
        <f aca="false">INDEX(Inputs!$C$136:$G$136,1,W7)*Inputs!$C$128</f>
        <v>2</v>
      </c>
      <c r="X125" s="16" t="n">
        <f aca="false">INDEX(Inputs!$C$136:$G$136,1,X7)*Inputs!$C$128</f>
        <v>2</v>
      </c>
      <c r="Y125" s="16" t="n">
        <f aca="false">INDEX(Inputs!$C$136:$G$136,1,Y7)*Inputs!$C$128</f>
        <v>2</v>
      </c>
      <c r="Z125" s="16" t="n">
        <f aca="false">INDEX(Inputs!$C$136:$G$136,1,Z7)*Inputs!$C$128</f>
        <v>2</v>
      </c>
      <c r="AA125" s="16" t="n">
        <f aca="false">INDEX(Inputs!$C$136:$G$136,1,AA7)*Inputs!$C$128</f>
        <v>2</v>
      </c>
      <c r="AB125" s="16" t="n">
        <f aca="false">INDEX(Inputs!$C$136:$G$136,1,AB7)*Inputs!$C$128</f>
        <v>3.5</v>
      </c>
      <c r="AC125" s="16" t="n">
        <f aca="false">INDEX(Inputs!$C$136:$G$136,1,AC7)*Inputs!$C$128</f>
        <v>3.5</v>
      </c>
      <c r="AD125" s="16" t="n">
        <f aca="false">INDEX(Inputs!$C$136:$G$136,1,AD7)*Inputs!$C$128</f>
        <v>3.5</v>
      </c>
      <c r="AE125" s="16" t="n">
        <f aca="false">INDEX(Inputs!$C$136:$G$136,1,AE7)*Inputs!$C$128</f>
        <v>3.5</v>
      </c>
      <c r="AF125" s="16" t="n">
        <f aca="false">INDEX(Inputs!$C$136:$G$136,1,AF7)*Inputs!$C$128</f>
        <v>3.5</v>
      </c>
      <c r="AG125" s="16" t="n">
        <f aca="false">INDEX(Inputs!$C$136:$G$136,1,AG7)*Inputs!$C$128</f>
        <v>3.5</v>
      </c>
      <c r="AH125" s="16" t="n">
        <f aca="false">INDEX(Inputs!$C$136:$G$136,1,AH7)*Inputs!$C$128</f>
        <v>3.5</v>
      </c>
      <c r="AI125" s="16" t="n">
        <f aca="false">INDEX(Inputs!$C$136:$G$136,1,AI7)*Inputs!$C$128</f>
        <v>3.5</v>
      </c>
      <c r="AJ125" s="16" t="n">
        <f aca="false">INDEX(Inputs!$C$136:$G$136,1,AJ7)*Inputs!$C$128</f>
        <v>3.5</v>
      </c>
      <c r="AK125" s="16" t="n">
        <f aca="false">INDEX(Inputs!$C$136:$G$136,1,AK7)*Inputs!$C$128</f>
        <v>3.5</v>
      </c>
      <c r="AL125" s="16" t="n">
        <f aca="false">INDEX(Inputs!$C$136:$G$136,1,AL7)*Inputs!$C$128</f>
        <v>3.5</v>
      </c>
      <c r="AM125" s="16" t="n">
        <f aca="false">INDEX(Inputs!$C$136:$G$136,1,AM7)*Inputs!$C$128</f>
        <v>3.5</v>
      </c>
      <c r="AN125" s="16" t="n">
        <f aca="false">INDEX(Inputs!$C$136:$G$136,1,AN7)*Inputs!$C$128</f>
        <v>5</v>
      </c>
      <c r="AO125" s="16" t="n">
        <f aca="false">INDEX(Inputs!$C$136:$G$136,1,AO7)*Inputs!$C$128</f>
        <v>5</v>
      </c>
      <c r="AP125" s="16" t="n">
        <f aca="false">INDEX(Inputs!$C$136:$G$136,1,AP7)*Inputs!$C$128</f>
        <v>5</v>
      </c>
      <c r="AQ125" s="16" t="n">
        <f aca="false">INDEX(Inputs!$C$136:$G$136,1,AQ7)*Inputs!$C$128</f>
        <v>5</v>
      </c>
      <c r="AR125" s="16" t="n">
        <f aca="false">INDEX(Inputs!$C$136:$G$136,1,AR7)*Inputs!$C$128</f>
        <v>5</v>
      </c>
      <c r="AS125" s="16" t="n">
        <f aca="false">INDEX(Inputs!$C$136:$G$136,1,AS7)*Inputs!$C$128</f>
        <v>5</v>
      </c>
      <c r="AT125" s="16" t="n">
        <f aca="false">INDEX(Inputs!$C$136:$G$136,1,AT7)*Inputs!$C$128</f>
        <v>5</v>
      </c>
      <c r="AU125" s="16" t="n">
        <f aca="false">INDEX(Inputs!$C$136:$G$136,1,AU7)*Inputs!$C$128</f>
        <v>5</v>
      </c>
      <c r="AV125" s="16" t="n">
        <f aca="false">INDEX(Inputs!$C$136:$G$136,1,AV7)*Inputs!$C$128</f>
        <v>5</v>
      </c>
      <c r="AW125" s="16" t="n">
        <f aca="false">INDEX(Inputs!$C$136:$G$136,1,AW7)*Inputs!$C$128</f>
        <v>5</v>
      </c>
      <c r="AX125" s="16" t="n">
        <f aca="false">INDEX(Inputs!$C$136:$G$136,1,AX7)*Inputs!$C$128</f>
        <v>5</v>
      </c>
      <c r="AY125" s="16" t="n">
        <f aca="false">INDEX(Inputs!$C$136:$G$136,1,AY7)*Inputs!$C$128</f>
        <v>5</v>
      </c>
      <c r="AZ125" s="16" t="n">
        <f aca="false">INDEX(Inputs!$C$136:$G$136,1,AZ7)*Inputs!$C$128</f>
        <v>6</v>
      </c>
      <c r="BA125" s="16" t="n">
        <f aca="false">INDEX(Inputs!$C$136:$G$136,1,BA7)*Inputs!$C$128</f>
        <v>6</v>
      </c>
      <c r="BB125" s="16" t="n">
        <f aca="false">INDEX(Inputs!$C$136:$G$136,1,BB7)*Inputs!$C$128</f>
        <v>6</v>
      </c>
      <c r="BC125" s="16" t="n">
        <f aca="false">INDEX(Inputs!$C$136:$G$136,1,BC7)*Inputs!$C$128</f>
        <v>6</v>
      </c>
      <c r="BD125" s="16" t="n">
        <f aca="false">INDEX(Inputs!$C$136:$G$136,1,BD7)*Inputs!$C$128</f>
        <v>6</v>
      </c>
      <c r="BE125" s="16" t="n">
        <f aca="false">INDEX(Inputs!$C$136:$G$136,1,BE7)*Inputs!$C$128</f>
        <v>6</v>
      </c>
      <c r="BF125" s="16" t="n">
        <f aca="false">INDEX(Inputs!$C$136:$G$136,1,BF7)*Inputs!$C$128</f>
        <v>6</v>
      </c>
      <c r="BG125" s="16" t="n">
        <f aca="false">INDEX(Inputs!$C$136:$G$136,1,BG7)*Inputs!$C$128</f>
        <v>6</v>
      </c>
      <c r="BH125" s="16" t="n">
        <f aca="false">INDEX(Inputs!$C$136:$G$136,1,BH7)*Inputs!$C$128</f>
        <v>6</v>
      </c>
      <c r="BI125" s="16" t="n">
        <f aca="false">INDEX(Inputs!$C$136:$G$136,1,BI7)*Inputs!$C$128</f>
        <v>6</v>
      </c>
      <c r="BJ125" s="16" t="n">
        <f aca="false">INDEX(Inputs!$C$136:$G$136,1,BJ7)*Inputs!$C$128</f>
        <v>6</v>
      </c>
      <c r="BK125" s="16" t="n">
        <f aca="false">INDEX(Inputs!$C$136:$G$136,1,BK7)*Inputs!$C$128</f>
        <v>6</v>
      </c>
    </row>
    <row r="126" customFormat="false" ht="15" hidden="false" customHeight="true" outlineLevel="0" collapsed="false">
      <c r="A126" s="12" t="s">
        <v>736</v>
      </c>
      <c r="B126" s="4" t="s">
        <v>44</v>
      </c>
      <c r="D126" s="16" t="n">
        <f aca="false">(D97+D98+D91+D100)*Inputs!$C$87*D68*Inputs!$C$128</f>
        <v>0.6</v>
      </c>
      <c r="E126" s="16" t="n">
        <f aca="false">(E97+E98+E91+E100)*Inputs!$C$87*E68*Inputs!$C$128</f>
        <v>0.6</v>
      </c>
      <c r="F126" s="16" t="n">
        <f aca="false">(F97+F98+F91+F100)*Inputs!$C$87*F68*Inputs!$C$128</f>
        <v>0.6</v>
      </c>
      <c r="G126" s="16" t="n">
        <f aca="false">(G97+G98+G91+G100)*Inputs!$C$87*G68*Inputs!$C$128</f>
        <v>1.8</v>
      </c>
      <c r="H126" s="16" t="n">
        <f aca="false">(H97+H98+H91+H100)*Inputs!$C$87*H68*Inputs!$C$128</f>
        <v>1.8</v>
      </c>
      <c r="I126" s="16" t="n">
        <f aca="false">(I97+I98+I91+I100)*Inputs!$C$87*I68*Inputs!$C$128</f>
        <v>1.8</v>
      </c>
      <c r="J126" s="16" t="n">
        <f aca="false">(J97+J98+J91+J100)*Inputs!$C$87*J68*Inputs!$C$128</f>
        <v>1.8</v>
      </c>
      <c r="K126" s="16" t="n">
        <f aca="false">(K97+K98+K91+K100)*Inputs!$C$87*K68*Inputs!$C$128</f>
        <v>1.8</v>
      </c>
      <c r="L126" s="16" t="n">
        <f aca="false">(L97+L98+L91+L100)*Inputs!$C$87*L68*Inputs!$C$128</f>
        <v>1.8</v>
      </c>
      <c r="M126" s="16" t="n">
        <f aca="false">(M97+M98+M91+M100)*Inputs!$C$87*M68*Inputs!$C$128</f>
        <v>1.8</v>
      </c>
      <c r="N126" s="16" t="n">
        <f aca="false">(N97+N98+N91+N100)*Inputs!$C$87*N68*Inputs!$C$128</f>
        <v>1.8</v>
      </c>
      <c r="O126" s="16" t="n">
        <f aca="false">(O97+O98+O91+O100)*Inputs!$C$87*O68*Inputs!$C$128</f>
        <v>1.8</v>
      </c>
      <c r="P126" s="16" t="n">
        <f aca="false">(P97+P98+P91+P100)*Inputs!$C$87*P68*Inputs!$C$128</f>
        <v>4.41</v>
      </c>
      <c r="Q126" s="16" t="n">
        <f aca="false">(Q97+Q98+Q91+Q100)*Inputs!$C$87*Q68*Inputs!$C$128</f>
        <v>4.41</v>
      </c>
      <c r="R126" s="16" t="n">
        <f aca="false">(R97+R98+R91+R100)*Inputs!$C$87*R68*Inputs!$C$128</f>
        <v>4.41</v>
      </c>
      <c r="S126" s="16" t="n">
        <f aca="false">(S97+S98+S91+S100)*Inputs!$C$87*S68*Inputs!$C$128</f>
        <v>4.41</v>
      </c>
      <c r="T126" s="16" t="n">
        <f aca="false">(T97+T98+T91+T100)*Inputs!$C$87*T68*Inputs!$C$128</f>
        <v>4.41</v>
      </c>
      <c r="U126" s="16" t="n">
        <f aca="false">(U97+U98+U91+U100)*Inputs!$C$87*U68*Inputs!$C$128</f>
        <v>4.41</v>
      </c>
      <c r="V126" s="16" t="n">
        <f aca="false">(V97+V98+V91+V100)*Inputs!$C$87*V68*Inputs!$C$128</f>
        <v>4.41</v>
      </c>
      <c r="W126" s="16" t="n">
        <f aca="false">(W97+W98+W91+W100)*Inputs!$C$87*W68*Inputs!$C$128</f>
        <v>4.41</v>
      </c>
      <c r="X126" s="16" t="n">
        <f aca="false">(X97+X98+X91+X100)*Inputs!$C$87*X68*Inputs!$C$128</f>
        <v>4.41</v>
      </c>
      <c r="Y126" s="16" t="n">
        <f aca="false">(Y97+Y98+Y91+Y100)*Inputs!$C$87*Y68*Inputs!$C$128</f>
        <v>4.41</v>
      </c>
      <c r="Z126" s="16" t="n">
        <f aca="false">(Z97+Z98+Z91+Z100)*Inputs!$C$87*Z68*Inputs!$C$128</f>
        <v>4.41</v>
      </c>
      <c r="AA126" s="16" t="n">
        <f aca="false">(AA97+AA98+AA91+AA100)*Inputs!$C$87*AA68*Inputs!$C$128</f>
        <v>4.41</v>
      </c>
      <c r="AB126" s="16" t="n">
        <f aca="false">(AB97+AB98+AB91+AB100)*Inputs!$C$87*AB68*Inputs!$C$128</f>
        <v>9.9225</v>
      </c>
      <c r="AC126" s="16" t="n">
        <f aca="false">(AC97+AC98+AC91+AC100)*Inputs!$C$87*AC68*Inputs!$C$128</f>
        <v>9.9225</v>
      </c>
      <c r="AD126" s="16" t="n">
        <f aca="false">(AD97+AD98+AD91+AD100)*Inputs!$C$87*AD68*Inputs!$C$128</f>
        <v>9.9225</v>
      </c>
      <c r="AE126" s="16" t="n">
        <f aca="false">(AE97+AE98+AE91+AE100)*Inputs!$C$87*AE68*Inputs!$C$128</f>
        <v>9.9225</v>
      </c>
      <c r="AF126" s="16" t="n">
        <f aca="false">(AF97+AF98+AF91+AF100)*Inputs!$C$87*AF68*Inputs!$C$128</f>
        <v>9.9225</v>
      </c>
      <c r="AG126" s="16" t="n">
        <f aca="false">(AG97+AG98+AG91+AG100)*Inputs!$C$87*AG68*Inputs!$C$128</f>
        <v>9.9225</v>
      </c>
      <c r="AH126" s="16" t="n">
        <f aca="false">(AH97+AH98+AH91+AH100)*Inputs!$C$87*AH68*Inputs!$C$128</f>
        <v>9.9225</v>
      </c>
      <c r="AI126" s="16" t="n">
        <f aca="false">(AI97+AI98+AI91+AI100)*Inputs!$C$87*AI68*Inputs!$C$128</f>
        <v>9.9225</v>
      </c>
      <c r="AJ126" s="16" t="n">
        <f aca="false">(AJ97+AJ98+AJ91+AJ100)*Inputs!$C$87*AJ68*Inputs!$C$128</f>
        <v>9.9225</v>
      </c>
      <c r="AK126" s="16" t="n">
        <f aca="false">(AK97+AK98+AK91+AK100)*Inputs!$C$87*AK68*Inputs!$C$128</f>
        <v>9.9225</v>
      </c>
      <c r="AL126" s="16" t="n">
        <f aca="false">(AL97+AL98+AL91+AL100)*Inputs!$C$87*AL68*Inputs!$C$128</f>
        <v>9.9225</v>
      </c>
      <c r="AM126" s="16" t="n">
        <f aca="false">(AM97+AM98+AM91+AM100)*Inputs!$C$87*AM68*Inputs!$C$128</f>
        <v>9.9225</v>
      </c>
      <c r="AN126" s="16" t="n">
        <f aca="false">(AN97+AN98+AN91+AN100)*Inputs!$C$87*AN68*Inputs!$C$128</f>
        <v>18.05895</v>
      </c>
      <c r="AO126" s="16" t="n">
        <f aca="false">(AO97+AO98+AO91+AO100)*Inputs!$C$87*AO68*Inputs!$C$128</f>
        <v>18.05895</v>
      </c>
      <c r="AP126" s="16" t="n">
        <f aca="false">(AP97+AP98+AP91+AP100)*Inputs!$C$87*AP68*Inputs!$C$128</f>
        <v>18.05895</v>
      </c>
      <c r="AQ126" s="16" t="n">
        <f aca="false">(AQ97+AQ98+AQ91+AQ100)*Inputs!$C$87*AQ68*Inputs!$C$128</f>
        <v>18.05895</v>
      </c>
      <c r="AR126" s="16" t="n">
        <f aca="false">(AR97+AR98+AR91+AR100)*Inputs!$C$87*AR68*Inputs!$C$128</f>
        <v>18.05895</v>
      </c>
      <c r="AS126" s="16" t="n">
        <f aca="false">(AS97+AS98+AS91+AS100)*Inputs!$C$87*AS68*Inputs!$C$128</f>
        <v>18.05895</v>
      </c>
      <c r="AT126" s="16" t="n">
        <f aca="false">(AT97+AT98+AT91+AT100)*Inputs!$C$87*AT68*Inputs!$C$128</f>
        <v>18.05895</v>
      </c>
      <c r="AU126" s="16" t="n">
        <f aca="false">(AU97+AU98+AU91+AU100)*Inputs!$C$87*AU68*Inputs!$C$128</f>
        <v>18.05895</v>
      </c>
      <c r="AV126" s="16" t="n">
        <f aca="false">(AV97+AV98+AV91+AV100)*Inputs!$C$87*AV68*Inputs!$C$128</f>
        <v>18.05895</v>
      </c>
      <c r="AW126" s="16" t="n">
        <f aca="false">(AW97+AW98+AW91+AW100)*Inputs!$C$87*AW68*Inputs!$C$128</f>
        <v>18.05895</v>
      </c>
      <c r="AX126" s="16" t="n">
        <f aca="false">(AX97+AX98+AX91+AX100)*Inputs!$C$87*AX68*Inputs!$C$128</f>
        <v>18.05895</v>
      </c>
      <c r="AY126" s="16" t="n">
        <f aca="false">(AY97+AY98+AY91+AY100)*Inputs!$C$87*AY68*Inputs!$C$128</f>
        <v>18.05895</v>
      </c>
      <c r="AZ126" s="16" t="n">
        <f aca="false">(AZ97+AZ98+AZ91+AZ100)*Inputs!$C$87*AZ68*Inputs!$C$128</f>
        <v>26.254935</v>
      </c>
      <c r="BA126" s="16" t="n">
        <f aca="false">(BA97+BA98+BA91+BA100)*Inputs!$C$87*BA68*Inputs!$C$128</f>
        <v>26.254935</v>
      </c>
      <c r="BB126" s="16" t="n">
        <f aca="false">(BB97+BB98+BB91+BB100)*Inputs!$C$87*BB68*Inputs!$C$128</f>
        <v>26.254935</v>
      </c>
      <c r="BC126" s="16" t="n">
        <f aca="false">(BC97+BC98+BC91+BC100)*Inputs!$C$87*BC68*Inputs!$C$128</f>
        <v>26.254935</v>
      </c>
      <c r="BD126" s="16" t="n">
        <f aca="false">(BD97+BD98+BD91+BD100)*Inputs!$C$87*BD68*Inputs!$C$128</f>
        <v>26.254935</v>
      </c>
      <c r="BE126" s="16" t="n">
        <f aca="false">(BE97+BE98+BE91+BE100)*Inputs!$C$87*BE68*Inputs!$C$128</f>
        <v>26.254935</v>
      </c>
      <c r="BF126" s="16" t="n">
        <f aca="false">(BF97+BF98+BF91+BF100)*Inputs!$C$87*BF68*Inputs!$C$128</f>
        <v>26.254935</v>
      </c>
      <c r="BG126" s="16" t="n">
        <f aca="false">(BG97+BG98+BG91+BG100)*Inputs!$C$87*BG68*Inputs!$C$128</f>
        <v>26.254935</v>
      </c>
      <c r="BH126" s="16" t="n">
        <f aca="false">(BH97+BH98+BH91+BH100)*Inputs!$C$87*BH68*Inputs!$C$128</f>
        <v>26.254935</v>
      </c>
      <c r="BI126" s="16" t="n">
        <f aca="false">(BI97+BI98+BI91+BI100)*Inputs!$C$87*BI68*Inputs!$C$128</f>
        <v>26.254935</v>
      </c>
      <c r="BJ126" s="16" t="n">
        <f aca="false">(BJ97+BJ98+BJ91+BJ100)*Inputs!$C$87*BJ68*Inputs!$C$128</f>
        <v>26.254935</v>
      </c>
      <c r="BK126" s="16" t="n">
        <f aca="false">(BK97+BK98+BK91+BK100)*Inputs!$C$87*BK68*Inputs!$C$128</f>
        <v>26.254935</v>
      </c>
    </row>
    <row r="127" customFormat="false" ht="15" hidden="false" customHeight="true" outlineLevel="0" collapsed="false">
      <c r="A127" s="12" t="s">
        <v>1995</v>
      </c>
      <c r="B127" s="4" t="s">
        <v>44</v>
      </c>
      <c r="D127" s="16" t="n">
        <f aca="false">(D30*Inputs!$C$88+D31*Inputs!$C$89)*D50</f>
        <v>0</v>
      </c>
      <c r="E127" s="16" t="n">
        <f aca="false">(E30*Inputs!$C$88+E31*Inputs!$C$89)*E50</f>
        <v>0</v>
      </c>
      <c r="F127" s="16" t="n">
        <f aca="false">(F30*Inputs!$C$88+F31*Inputs!$C$89)*F50</f>
        <v>0</v>
      </c>
      <c r="G127" s="16" t="n">
        <f aca="false">(G30*Inputs!$C$88+G31*Inputs!$C$89)*G50</f>
        <v>0</v>
      </c>
      <c r="H127" s="16" t="n">
        <f aca="false">(H30*Inputs!$C$88+H31*Inputs!$C$89)*H50</f>
        <v>0</v>
      </c>
      <c r="I127" s="16" t="n">
        <f aca="false">(I30*Inputs!$C$88+I31*Inputs!$C$89)*I50</f>
        <v>0</v>
      </c>
      <c r="J127" s="16" t="n">
        <f aca="false">(J30*Inputs!$C$88+J31*Inputs!$C$89)*J50</f>
        <v>0.56925</v>
      </c>
      <c r="K127" s="16" t="n">
        <f aca="false">(K30*Inputs!$C$88+K31*Inputs!$C$89)*K50</f>
        <v>0.56925</v>
      </c>
      <c r="L127" s="16" t="n">
        <f aca="false">(L30*Inputs!$C$88+L31*Inputs!$C$89)*L50</f>
        <v>0.56925</v>
      </c>
      <c r="M127" s="16" t="n">
        <f aca="false">(M30*Inputs!$C$88+M31*Inputs!$C$89)*M50</f>
        <v>0.759</v>
      </c>
      <c r="N127" s="16" t="n">
        <f aca="false">(N30*Inputs!$C$88+N31*Inputs!$C$89)*N50</f>
        <v>0.94875</v>
      </c>
      <c r="O127" s="16" t="n">
        <f aca="false">(O30*Inputs!$C$88+O31*Inputs!$C$89)*O50</f>
        <v>1.1385</v>
      </c>
      <c r="P127" s="16" t="n">
        <f aca="false">(P30*Inputs!$C$88+P31*Inputs!$C$89)*P50</f>
        <v>1.3946625</v>
      </c>
      <c r="Q127" s="16" t="n">
        <f aca="false">(Q30*Inputs!$C$88+Q31*Inputs!$C$89)*Q50</f>
        <v>1.5939</v>
      </c>
      <c r="R127" s="16" t="n">
        <f aca="false">(R30*Inputs!$C$88+R31*Inputs!$C$89)*R50</f>
        <v>1.7931375</v>
      </c>
      <c r="S127" s="16" t="n">
        <f aca="false">(S30*Inputs!$C$88+S31*Inputs!$C$89)*S50</f>
        <v>1.7931375</v>
      </c>
      <c r="T127" s="16" t="n">
        <f aca="false">(T30*Inputs!$C$88+T31*Inputs!$C$89)*T50</f>
        <v>1.7931375</v>
      </c>
      <c r="U127" s="16" t="n">
        <f aca="false">(U30*Inputs!$C$88+U31*Inputs!$C$89)*U50</f>
        <v>1.7931375</v>
      </c>
      <c r="V127" s="16" t="n">
        <f aca="false">(V30*Inputs!$C$88+V31*Inputs!$C$89)*V50</f>
        <v>12.1709858655</v>
      </c>
      <c r="W127" s="16" t="n">
        <f aca="false">(W30*Inputs!$C$88+W31*Inputs!$C$89)*W50</f>
        <v>12.7686983655</v>
      </c>
      <c r="X127" s="16" t="n">
        <f aca="false">(X30*Inputs!$C$88+X31*Inputs!$C$89)*X50</f>
        <v>13.3664108655</v>
      </c>
      <c r="Y127" s="16" t="n">
        <f aca="false">(Y30*Inputs!$C$88+Y31*Inputs!$C$89)*Y50</f>
        <v>13.9641233655</v>
      </c>
      <c r="Z127" s="16" t="n">
        <f aca="false">(Z30*Inputs!$C$88+Z31*Inputs!$C$89)*Z50</f>
        <v>14.5618358655</v>
      </c>
      <c r="AA127" s="16" t="n">
        <f aca="false">(AA30*Inputs!$C$88+AA31*Inputs!$C$89)*AA50</f>
        <v>15.1595483655</v>
      </c>
      <c r="AB127" s="16" t="n">
        <f aca="false">(AB30*Inputs!$C$88+AB31*Inputs!$C$89)*AB50</f>
        <v>15.917525783775</v>
      </c>
      <c r="AC127" s="16" t="n">
        <f aca="false">(AC30*Inputs!$C$88+AC31*Inputs!$C$89)*AC50</f>
        <v>15.917525783775</v>
      </c>
      <c r="AD127" s="16" t="n">
        <f aca="false">(AD30*Inputs!$C$88+AD31*Inputs!$C$89)*AD50</f>
        <v>15.917525783775</v>
      </c>
      <c r="AE127" s="16" t="n">
        <f aca="false">(AE30*Inputs!$C$88+AE31*Inputs!$C$89)*AE50</f>
        <v>15.917525783775</v>
      </c>
      <c r="AF127" s="16" t="n">
        <f aca="false">(AF30*Inputs!$C$88+AF31*Inputs!$C$89)*AF50</f>
        <v>15.917525783775</v>
      </c>
      <c r="AG127" s="16" t="n">
        <f aca="false">(AG30*Inputs!$C$88+AG31*Inputs!$C$89)*AG50</f>
        <v>15.917525783775</v>
      </c>
      <c r="AH127" s="16" t="n">
        <f aca="false">(AH30*Inputs!$C$88+AH31*Inputs!$C$89)*AH50</f>
        <v>37.397208288825</v>
      </c>
      <c r="AI127" s="16" t="n">
        <f aca="false">(AI30*Inputs!$C$88+AI31*Inputs!$C$89)*AI50</f>
        <v>38.652404538825</v>
      </c>
      <c r="AJ127" s="16" t="n">
        <f aca="false">(AJ30*Inputs!$C$88+AJ31*Inputs!$C$89)*AJ50</f>
        <v>39.907600788825</v>
      </c>
      <c r="AK127" s="16" t="n">
        <f aca="false">(AK30*Inputs!$C$88+AK31*Inputs!$C$89)*AK50</f>
        <v>41.162797038825</v>
      </c>
      <c r="AL127" s="16" t="n">
        <f aca="false">(AL30*Inputs!$C$88+AL31*Inputs!$C$89)*AL50</f>
        <v>42.417993288825</v>
      </c>
      <c r="AM127" s="16" t="n">
        <f aca="false">(AM30*Inputs!$C$88+AM31*Inputs!$C$89)*AM50</f>
        <v>43.673189538825</v>
      </c>
      <c r="AN127" s="16" t="n">
        <f aca="false">(AN30*Inputs!$C$88+AN31*Inputs!$C$89)*AN50</f>
        <v>45.8568490157663</v>
      </c>
      <c r="AO127" s="16" t="n">
        <f aca="false">(AO30*Inputs!$C$88+AO31*Inputs!$C$89)*AO50</f>
        <v>45.8568490157663</v>
      </c>
      <c r="AP127" s="16" t="n">
        <f aca="false">(AP30*Inputs!$C$88+AP31*Inputs!$C$89)*AP50</f>
        <v>45.8568490157663</v>
      </c>
      <c r="AQ127" s="16" t="n">
        <f aca="false">(AQ30*Inputs!$C$88+AQ31*Inputs!$C$89)*AQ50</f>
        <v>45.8568490157663</v>
      </c>
      <c r="AR127" s="16" t="n">
        <f aca="false">(AR30*Inputs!$C$88+AR31*Inputs!$C$89)*AR50</f>
        <v>45.8568490157663</v>
      </c>
      <c r="AS127" s="16" t="n">
        <f aca="false">(AS30*Inputs!$C$88+AS31*Inputs!$C$89)*AS50</f>
        <v>45.8568490157663</v>
      </c>
      <c r="AT127" s="16" t="n">
        <f aca="false">(AT30*Inputs!$C$88+AT31*Inputs!$C$89)*AT50</f>
        <v>69.1793233491938</v>
      </c>
      <c r="AU127" s="16" t="n">
        <f aca="false">(AU30*Inputs!$C$88+AU31*Inputs!$C$89)*AU50</f>
        <v>70.9365980991938</v>
      </c>
      <c r="AV127" s="16" t="n">
        <f aca="false">(AV30*Inputs!$C$88+AV31*Inputs!$C$89)*AV50</f>
        <v>72.6938728491938</v>
      </c>
      <c r="AW127" s="16" t="n">
        <f aca="false">(AW30*Inputs!$C$88+AW31*Inputs!$C$89)*AW50</f>
        <v>74.4511475991938</v>
      </c>
      <c r="AX127" s="16" t="n">
        <f aca="false">(AX30*Inputs!$C$88+AX31*Inputs!$C$89)*AX50</f>
        <v>76.2084223491938</v>
      </c>
      <c r="AY127" s="16" t="n">
        <f aca="false">(AY30*Inputs!$C$88+AY31*Inputs!$C$89)*AY50</f>
        <v>77.9656970991938</v>
      </c>
      <c r="AZ127" s="16" t="n">
        <f aca="false">(AZ30*Inputs!$C$88+AZ31*Inputs!$C$89)*AZ50</f>
        <v>81.8639819541535</v>
      </c>
      <c r="BA127" s="16" t="n">
        <f aca="false">(BA30*Inputs!$C$88+BA31*Inputs!$C$89)*BA50</f>
        <v>81.8639819541535</v>
      </c>
      <c r="BB127" s="16" t="n">
        <f aca="false">(BB30*Inputs!$C$88+BB31*Inputs!$C$89)*BB50</f>
        <v>81.8639819541535</v>
      </c>
      <c r="BC127" s="16" t="n">
        <f aca="false">(BC30*Inputs!$C$88+BC31*Inputs!$C$89)*BC50</f>
        <v>81.8639819541535</v>
      </c>
      <c r="BD127" s="16" t="n">
        <f aca="false">(BD30*Inputs!$C$88+BD31*Inputs!$C$89)*BD50</f>
        <v>81.8639819541535</v>
      </c>
      <c r="BE127" s="16" t="n">
        <f aca="false">(BE30*Inputs!$C$88+BE31*Inputs!$C$89)*BE50</f>
        <v>81.8639819541535</v>
      </c>
      <c r="BF127" s="16" t="n">
        <f aca="false">(BF30*Inputs!$C$88+BF31*Inputs!$C$89)*BF50</f>
        <v>106.121937693315</v>
      </c>
      <c r="BG127" s="16" t="n">
        <f aca="false">(BG30*Inputs!$C$88+BG31*Inputs!$C$89)*BG50</f>
        <v>107.736433869877</v>
      </c>
      <c r="BH127" s="16" t="n">
        <f aca="false">(BH30*Inputs!$C$88+BH31*Inputs!$C$89)*BH50</f>
        <v>109.35093004644</v>
      </c>
      <c r="BI127" s="16" t="n">
        <f aca="false">(BI30*Inputs!$C$88+BI31*Inputs!$C$89)*BI50</f>
        <v>110.965426223002</v>
      </c>
      <c r="BJ127" s="16" t="n">
        <f aca="false">(BJ30*Inputs!$C$88+BJ31*Inputs!$C$89)*BJ50</f>
        <v>112.579922399565</v>
      </c>
      <c r="BK127" s="16" t="n">
        <f aca="false">(BK30*Inputs!$C$88+BK31*Inputs!$C$89)*BK50</f>
        <v>114.194418576127</v>
      </c>
    </row>
    <row r="128" customFormat="false" ht="15" hidden="false" customHeight="true" outlineLevel="0" collapsed="false">
      <c r="A128" s="12" t="s">
        <v>738</v>
      </c>
      <c r="B128" s="4" t="s">
        <v>44</v>
      </c>
      <c r="D128" s="16" t="n">
        <f aca="false">IF(INDEX(Inputs!$C$135:$G$135,1,D7)&gt;0,Inputs!$C$90*D68,0)</f>
        <v>0</v>
      </c>
      <c r="E128" s="16" t="n">
        <f aca="false">IF(INDEX(Inputs!$C$135:$G$135,1,E7)&gt;0,Inputs!$C$90*E68,0)</f>
        <v>0</v>
      </c>
      <c r="F128" s="16" t="n">
        <f aca="false">IF(INDEX(Inputs!$C$135:$G$135,1,F7)&gt;0,Inputs!$C$90*F68,0)</f>
        <v>0</v>
      </c>
      <c r="G128" s="16" t="n">
        <f aca="false">IF(INDEX(Inputs!$C$135:$G$135,1,G7)&gt;0,Inputs!$C$90*G68,0)</f>
        <v>0</v>
      </c>
      <c r="H128" s="16" t="n">
        <f aca="false">IF(INDEX(Inputs!$C$135:$G$135,1,H7)&gt;0,Inputs!$C$90*H68,0)</f>
        <v>0</v>
      </c>
      <c r="I128" s="16" t="n">
        <f aca="false">IF(INDEX(Inputs!$C$135:$G$135,1,I7)&gt;0,Inputs!$C$90*I68,0)</f>
        <v>0</v>
      </c>
      <c r="J128" s="16" t="n">
        <f aca="false">IF(INDEX(Inputs!$C$135:$G$135,1,J7)&gt;0,Inputs!$C$90*J68,0)</f>
        <v>0</v>
      </c>
      <c r="K128" s="16" t="n">
        <f aca="false">IF(INDEX(Inputs!$C$135:$G$135,1,K7)&gt;0,Inputs!$C$90*K68,0)</f>
        <v>0</v>
      </c>
      <c r="L128" s="16" t="n">
        <f aca="false">IF(INDEX(Inputs!$C$135:$G$135,1,L7)&gt;0,Inputs!$C$90*L68,0)</f>
        <v>0</v>
      </c>
      <c r="M128" s="16" t="n">
        <f aca="false">IF(INDEX(Inputs!$C$135:$G$135,1,M7)&gt;0,Inputs!$C$90*M68,0)</f>
        <v>0</v>
      </c>
      <c r="N128" s="16" t="n">
        <f aca="false">IF(INDEX(Inputs!$C$135:$G$135,1,N7)&gt;0,Inputs!$C$90*N68,0)</f>
        <v>0</v>
      </c>
      <c r="O128" s="16" t="n">
        <f aca="false">IF(INDEX(Inputs!$C$135:$G$135,1,O7)&gt;0,Inputs!$C$90*O68,0)</f>
        <v>0</v>
      </c>
      <c r="P128" s="16" t="n">
        <f aca="false">IF(INDEX(Inputs!$C$135:$G$135,1,P7)&gt;0,Inputs!$C$90*P68,0)</f>
        <v>1.575</v>
      </c>
      <c r="Q128" s="16" t="n">
        <f aca="false">IF(INDEX(Inputs!$C$135:$G$135,1,Q7)&gt;0,Inputs!$C$90*Q68,0)</f>
        <v>1.575</v>
      </c>
      <c r="R128" s="16" t="n">
        <f aca="false">IF(INDEX(Inputs!$C$135:$G$135,1,R7)&gt;0,Inputs!$C$90*R68,0)</f>
        <v>1.575</v>
      </c>
      <c r="S128" s="16" t="n">
        <f aca="false">IF(INDEX(Inputs!$C$135:$G$135,1,S7)&gt;0,Inputs!$C$90*S68,0)</f>
        <v>1.575</v>
      </c>
      <c r="T128" s="16" t="n">
        <f aca="false">IF(INDEX(Inputs!$C$135:$G$135,1,T7)&gt;0,Inputs!$C$90*T68,0)</f>
        <v>1.575</v>
      </c>
      <c r="U128" s="16" t="n">
        <f aca="false">IF(INDEX(Inputs!$C$135:$G$135,1,U7)&gt;0,Inputs!$C$90*U68,0)</f>
        <v>1.575</v>
      </c>
      <c r="V128" s="16" t="n">
        <f aca="false">IF(INDEX(Inputs!$C$135:$G$135,1,V7)&gt;0,Inputs!$C$90*V68,0)</f>
        <v>1.575</v>
      </c>
      <c r="W128" s="16" t="n">
        <f aca="false">IF(INDEX(Inputs!$C$135:$G$135,1,W7)&gt;0,Inputs!$C$90*W68,0)</f>
        <v>1.575</v>
      </c>
      <c r="X128" s="16" t="n">
        <f aca="false">IF(INDEX(Inputs!$C$135:$G$135,1,X7)&gt;0,Inputs!$C$90*X68,0)</f>
        <v>1.575</v>
      </c>
      <c r="Y128" s="16" t="n">
        <f aca="false">IF(INDEX(Inputs!$C$135:$G$135,1,Y7)&gt;0,Inputs!$C$90*Y68,0)</f>
        <v>1.575</v>
      </c>
      <c r="Z128" s="16" t="n">
        <f aca="false">IF(INDEX(Inputs!$C$135:$G$135,1,Z7)&gt;0,Inputs!$C$90*Z68,0)</f>
        <v>1.575</v>
      </c>
      <c r="AA128" s="16" t="n">
        <f aca="false">IF(INDEX(Inputs!$C$135:$G$135,1,AA7)&gt;0,Inputs!$C$90*AA68,0)</f>
        <v>1.575</v>
      </c>
      <c r="AB128" s="16" t="n">
        <f aca="false">IF(INDEX(Inputs!$C$135:$G$135,1,AB7)&gt;0,Inputs!$C$90*AB68,0)</f>
        <v>1.65375</v>
      </c>
      <c r="AC128" s="16" t="n">
        <f aca="false">IF(INDEX(Inputs!$C$135:$G$135,1,AC7)&gt;0,Inputs!$C$90*AC68,0)</f>
        <v>1.65375</v>
      </c>
      <c r="AD128" s="16" t="n">
        <f aca="false">IF(INDEX(Inputs!$C$135:$G$135,1,AD7)&gt;0,Inputs!$C$90*AD68,0)</f>
        <v>1.65375</v>
      </c>
      <c r="AE128" s="16" t="n">
        <f aca="false">IF(INDEX(Inputs!$C$135:$G$135,1,AE7)&gt;0,Inputs!$C$90*AE68,0)</f>
        <v>1.65375</v>
      </c>
      <c r="AF128" s="16" t="n">
        <f aca="false">IF(INDEX(Inputs!$C$135:$G$135,1,AF7)&gt;0,Inputs!$C$90*AF68,0)</f>
        <v>1.65375</v>
      </c>
      <c r="AG128" s="16" t="n">
        <f aca="false">IF(INDEX(Inputs!$C$135:$G$135,1,AG7)&gt;0,Inputs!$C$90*AG68,0)</f>
        <v>1.65375</v>
      </c>
      <c r="AH128" s="16" t="n">
        <f aca="false">IF(INDEX(Inputs!$C$135:$G$135,1,AH7)&gt;0,Inputs!$C$90*AH68,0)</f>
        <v>1.65375</v>
      </c>
      <c r="AI128" s="16" t="n">
        <f aca="false">IF(INDEX(Inputs!$C$135:$G$135,1,AI7)&gt;0,Inputs!$C$90*AI68,0)</f>
        <v>1.65375</v>
      </c>
      <c r="AJ128" s="16" t="n">
        <f aca="false">IF(INDEX(Inputs!$C$135:$G$135,1,AJ7)&gt;0,Inputs!$C$90*AJ68,0)</f>
        <v>1.65375</v>
      </c>
      <c r="AK128" s="16" t="n">
        <f aca="false">IF(INDEX(Inputs!$C$135:$G$135,1,AK7)&gt;0,Inputs!$C$90*AK68,0)</f>
        <v>1.65375</v>
      </c>
      <c r="AL128" s="16" t="n">
        <f aca="false">IF(INDEX(Inputs!$C$135:$G$135,1,AL7)&gt;0,Inputs!$C$90*AL68,0)</f>
        <v>1.65375</v>
      </c>
      <c r="AM128" s="16" t="n">
        <f aca="false">IF(INDEX(Inputs!$C$135:$G$135,1,AM7)&gt;0,Inputs!$C$90*AM68,0)</f>
        <v>1.65375</v>
      </c>
      <c r="AN128" s="16" t="n">
        <f aca="false">IF(INDEX(Inputs!$C$135:$G$135,1,AN7)&gt;0,Inputs!$C$90*AN68,0)</f>
        <v>1.7364375</v>
      </c>
      <c r="AO128" s="16" t="n">
        <f aca="false">IF(INDEX(Inputs!$C$135:$G$135,1,AO7)&gt;0,Inputs!$C$90*AO68,0)</f>
        <v>1.7364375</v>
      </c>
      <c r="AP128" s="16" t="n">
        <f aca="false">IF(INDEX(Inputs!$C$135:$G$135,1,AP7)&gt;0,Inputs!$C$90*AP68,0)</f>
        <v>1.7364375</v>
      </c>
      <c r="AQ128" s="16" t="n">
        <f aca="false">IF(INDEX(Inputs!$C$135:$G$135,1,AQ7)&gt;0,Inputs!$C$90*AQ68,0)</f>
        <v>1.7364375</v>
      </c>
      <c r="AR128" s="16" t="n">
        <f aca="false">IF(INDEX(Inputs!$C$135:$G$135,1,AR7)&gt;0,Inputs!$C$90*AR68,0)</f>
        <v>1.7364375</v>
      </c>
      <c r="AS128" s="16" t="n">
        <f aca="false">IF(INDEX(Inputs!$C$135:$G$135,1,AS7)&gt;0,Inputs!$C$90*AS68,0)</f>
        <v>1.7364375</v>
      </c>
      <c r="AT128" s="16" t="n">
        <f aca="false">IF(INDEX(Inputs!$C$135:$G$135,1,AT7)&gt;0,Inputs!$C$90*AT68,0)</f>
        <v>1.7364375</v>
      </c>
      <c r="AU128" s="16" t="n">
        <f aca="false">IF(INDEX(Inputs!$C$135:$G$135,1,AU7)&gt;0,Inputs!$C$90*AU68,0)</f>
        <v>1.7364375</v>
      </c>
      <c r="AV128" s="16" t="n">
        <f aca="false">IF(INDEX(Inputs!$C$135:$G$135,1,AV7)&gt;0,Inputs!$C$90*AV68,0)</f>
        <v>1.7364375</v>
      </c>
      <c r="AW128" s="16" t="n">
        <f aca="false">IF(INDEX(Inputs!$C$135:$G$135,1,AW7)&gt;0,Inputs!$C$90*AW68,0)</f>
        <v>1.7364375</v>
      </c>
      <c r="AX128" s="16" t="n">
        <f aca="false">IF(INDEX(Inputs!$C$135:$G$135,1,AX7)&gt;0,Inputs!$C$90*AX68,0)</f>
        <v>1.7364375</v>
      </c>
      <c r="AY128" s="16" t="n">
        <f aca="false">IF(INDEX(Inputs!$C$135:$G$135,1,AY7)&gt;0,Inputs!$C$90*AY68,0)</f>
        <v>1.7364375</v>
      </c>
      <c r="AZ128" s="16" t="n">
        <f aca="false">IF(INDEX(Inputs!$C$135:$G$135,1,AZ7)&gt;0,Inputs!$C$90*AZ68,0)</f>
        <v>1.823259375</v>
      </c>
      <c r="BA128" s="16" t="n">
        <f aca="false">IF(INDEX(Inputs!$C$135:$G$135,1,BA7)&gt;0,Inputs!$C$90*BA68,0)</f>
        <v>1.823259375</v>
      </c>
      <c r="BB128" s="16" t="n">
        <f aca="false">IF(INDEX(Inputs!$C$135:$G$135,1,BB7)&gt;0,Inputs!$C$90*BB68,0)</f>
        <v>1.823259375</v>
      </c>
      <c r="BC128" s="16" t="n">
        <f aca="false">IF(INDEX(Inputs!$C$135:$G$135,1,BC7)&gt;0,Inputs!$C$90*BC68,0)</f>
        <v>1.823259375</v>
      </c>
      <c r="BD128" s="16" t="n">
        <f aca="false">IF(INDEX(Inputs!$C$135:$G$135,1,BD7)&gt;0,Inputs!$C$90*BD68,0)</f>
        <v>1.823259375</v>
      </c>
      <c r="BE128" s="16" t="n">
        <f aca="false">IF(INDEX(Inputs!$C$135:$G$135,1,BE7)&gt;0,Inputs!$C$90*BE68,0)</f>
        <v>1.823259375</v>
      </c>
      <c r="BF128" s="16" t="n">
        <f aca="false">IF(INDEX(Inputs!$C$135:$G$135,1,BF7)&gt;0,Inputs!$C$90*BF68,0)</f>
        <v>1.823259375</v>
      </c>
      <c r="BG128" s="16" t="n">
        <f aca="false">IF(INDEX(Inputs!$C$135:$G$135,1,BG7)&gt;0,Inputs!$C$90*BG68,0)</f>
        <v>1.823259375</v>
      </c>
      <c r="BH128" s="16" t="n">
        <f aca="false">IF(INDEX(Inputs!$C$135:$G$135,1,BH7)&gt;0,Inputs!$C$90*BH68,0)</f>
        <v>1.823259375</v>
      </c>
      <c r="BI128" s="16" t="n">
        <f aca="false">IF(INDEX(Inputs!$C$135:$G$135,1,BI7)&gt;0,Inputs!$C$90*BI68,0)</f>
        <v>1.823259375</v>
      </c>
      <c r="BJ128" s="16" t="n">
        <f aca="false">IF(INDEX(Inputs!$C$135:$G$135,1,BJ7)&gt;0,Inputs!$C$90*BJ68,0)</f>
        <v>1.823259375</v>
      </c>
      <c r="BK128" s="16" t="n">
        <f aca="false">IF(INDEX(Inputs!$C$135:$G$135,1,BK7)&gt;0,Inputs!$C$90*BK68,0)</f>
        <v>1.823259375</v>
      </c>
    </row>
    <row r="129" customFormat="false" ht="15" hidden="false" customHeight="true" outlineLevel="0" collapsed="false">
      <c r="A129" s="5" t="s">
        <v>739</v>
      </c>
      <c r="B129" s="4" t="s">
        <v>44</v>
      </c>
      <c r="D129" s="52" t="n">
        <f aca="false">D121+D125+D126+D127+D128</f>
        <v>2.72</v>
      </c>
      <c r="E129" s="52" t="n">
        <f aca="false">E121+E125+E126+E127+E128</f>
        <v>2.72</v>
      </c>
      <c r="F129" s="52" t="n">
        <f aca="false">F121+F125+F126+F127+F128</f>
        <v>2.72</v>
      </c>
      <c r="G129" s="52" t="n">
        <f aca="false">G121+G125+G126+G127+G128</f>
        <v>6.62666666666667</v>
      </c>
      <c r="H129" s="52" t="n">
        <f aca="false">H121+H125+H126+H127+H128</f>
        <v>6.62666666666667</v>
      </c>
      <c r="I129" s="52" t="n">
        <f aca="false">I121+I125+I126+I127+I128</f>
        <v>6.62666666666667</v>
      </c>
      <c r="J129" s="52" t="n">
        <f aca="false">J121+J125+J126+J127+J128</f>
        <v>7.19591666666667</v>
      </c>
      <c r="K129" s="52" t="n">
        <f aca="false">K121+K125+K126+K127+K128</f>
        <v>7.19591666666667</v>
      </c>
      <c r="L129" s="52" t="n">
        <f aca="false">L121+L125+L126+L127+L128</f>
        <v>7.19591666666667</v>
      </c>
      <c r="M129" s="52" t="n">
        <f aca="false">M121+M125+M126+M127+M128</f>
        <v>7.38566666666667</v>
      </c>
      <c r="N129" s="52" t="n">
        <f aca="false">N121+N125+N126+N127+N128</f>
        <v>7.57541666666667</v>
      </c>
      <c r="O129" s="52" t="n">
        <f aca="false">O121+O125+O126+O127+O128</f>
        <v>7.76516666666667</v>
      </c>
      <c r="P129" s="52" t="n">
        <f aca="false">P121+P125+P126+P127+P128</f>
        <v>19.2580625</v>
      </c>
      <c r="Q129" s="52" t="n">
        <f aca="false">Q121+Q125+Q126+Q127+Q128</f>
        <v>19.4573</v>
      </c>
      <c r="R129" s="52" t="n">
        <f aca="false">R121+R125+R126+R127+R128</f>
        <v>19.6565375</v>
      </c>
      <c r="S129" s="52" t="n">
        <f aca="false">S121+S125+S126+S127+S128</f>
        <v>19.6565375</v>
      </c>
      <c r="T129" s="52" t="n">
        <f aca="false">T121+T125+T126+T127+T128</f>
        <v>19.6565375</v>
      </c>
      <c r="U129" s="52" t="n">
        <f aca="false">U121+U125+U126+U127+U128</f>
        <v>19.6565375</v>
      </c>
      <c r="V129" s="52" t="n">
        <f aca="false">V121+V125+V126+V127+V128</f>
        <v>30.0343858655</v>
      </c>
      <c r="W129" s="52" t="n">
        <f aca="false">W121+W125+W126+W127+W128</f>
        <v>30.6320983655</v>
      </c>
      <c r="X129" s="52" t="n">
        <f aca="false">X121+X125+X126+X127+X128</f>
        <v>31.2298108655</v>
      </c>
      <c r="Y129" s="52" t="n">
        <f aca="false">Y121+Y125+Y126+Y127+Y128</f>
        <v>31.8275233655</v>
      </c>
      <c r="Z129" s="52" t="n">
        <f aca="false">Z121+Z125+Z126+Z127+Z128</f>
        <v>32.4252358655</v>
      </c>
      <c r="AA129" s="52" t="n">
        <f aca="false">AA121+AA125+AA126+AA127+AA128</f>
        <v>33.0229483655</v>
      </c>
      <c r="AB129" s="52" t="n">
        <f aca="false">AB121+AB125+AB126+AB127+AB128</f>
        <v>55.379311783775</v>
      </c>
      <c r="AC129" s="52" t="n">
        <f aca="false">AC121+AC125+AC126+AC127+AC128</f>
        <v>55.379311783775</v>
      </c>
      <c r="AD129" s="52" t="n">
        <f aca="false">AD121+AD125+AD126+AD127+AD128</f>
        <v>55.379311783775</v>
      </c>
      <c r="AE129" s="52" t="n">
        <f aca="false">AE121+AE125+AE126+AE127+AE128</f>
        <v>55.379311783775</v>
      </c>
      <c r="AF129" s="52" t="n">
        <f aca="false">AF121+AF125+AF126+AF127+AF128</f>
        <v>55.379311783775</v>
      </c>
      <c r="AG129" s="52" t="n">
        <f aca="false">AG121+AG125+AG126+AG127+AG128</f>
        <v>55.379311783775</v>
      </c>
      <c r="AH129" s="52" t="n">
        <f aca="false">AH121+AH125+AH126+AH127+AH128</f>
        <v>76.858994288825</v>
      </c>
      <c r="AI129" s="52" t="n">
        <f aca="false">AI121+AI125+AI126+AI127+AI128</f>
        <v>78.114190538825</v>
      </c>
      <c r="AJ129" s="52" t="n">
        <f aca="false">AJ121+AJ125+AJ126+AJ127+AJ128</f>
        <v>79.369386788825</v>
      </c>
      <c r="AK129" s="52" t="n">
        <f aca="false">AK121+AK125+AK126+AK127+AK128</f>
        <v>80.624583038825</v>
      </c>
      <c r="AL129" s="52" t="n">
        <f aca="false">AL121+AL125+AL126+AL127+AL128</f>
        <v>81.879779288825</v>
      </c>
      <c r="AM129" s="52" t="n">
        <f aca="false">AM121+AM125+AM126+AM127+AM128</f>
        <v>83.134975538825</v>
      </c>
      <c r="AN129" s="52" t="n">
        <f aca="false">AN121+AN125+AN126+AN127+AN128</f>
        <v>116.035460835766</v>
      </c>
      <c r="AO129" s="52" t="n">
        <f aca="false">AO121+AO125+AO126+AO127+AO128</f>
        <v>116.035460835766</v>
      </c>
      <c r="AP129" s="52" t="n">
        <f aca="false">AP121+AP125+AP126+AP127+AP128</f>
        <v>116.035460835766</v>
      </c>
      <c r="AQ129" s="52" t="n">
        <f aca="false">AQ121+AQ125+AQ126+AQ127+AQ128</f>
        <v>116.035460835766</v>
      </c>
      <c r="AR129" s="52" t="n">
        <f aca="false">AR121+AR125+AR126+AR127+AR128</f>
        <v>116.035460835766</v>
      </c>
      <c r="AS129" s="52" t="n">
        <f aca="false">AS121+AS125+AS126+AS127+AS128</f>
        <v>116.035460835766</v>
      </c>
      <c r="AT129" s="52" t="n">
        <f aca="false">AT121+AT125+AT126+AT127+AT128</f>
        <v>139.357935169194</v>
      </c>
      <c r="AU129" s="52" t="n">
        <f aca="false">AU121+AU125+AU126+AU127+AU128</f>
        <v>141.115209919194</v>
      </c>
      <c r="AV129" s="52" t="n">
        <f aca="false">AV121+AV125+AV126+AV127+AV128</f>
        <v>142.872484669194</v>
      </c>
      <c r="AW129" s="52" t="n">
        <f aca="false">AW121+AW125+AW126+AW127+AW128</f>
        <v>144.629759419194</v>
      </c>
      <c r="AX129" s="52" t="n">
        <f aca="false">AX121+AX125+AX126+AX127+AX128</f>
        <v>146.387034169194</v>
      </c>
      <c r="AY129" s="52" t="n">
        <f aca="false">AY121+AY125+AY126+AY127+AY128</f>
        <v>148.144308919194</v>
      </c>
      <c r="AZ129" s="52" t="n">
        <f aca="false">AZ121+AZ125+AZ126+AZ127+AZ128</f>
        <v>184.637798882754</v>
      </c>
      <c r="BA129" s="52" t="n">
        <f aca="false">BA121+BA125+BA126+BA127+BA128</f>
        <v>184.637798882754</v>
      </c>
      <c r="BB129" s="52" t="n">
        <f aca="false">BB121+BB125+BB126+BB127+BB128</f>
        <v>184.637798882754</v>
      </c>
      <c r="BC129" s="52" t="n">
        <f aca="false">BC121+BC125+BC126+BC127+BC128</f>
        <v>184.637798882754</v>
      </c>
      <c r="BD129" s="52" t="n">
        <f aca="false">BD121+BD125+BD126+BD127+BD128</f>
        <v>184.637798882754</v>
      </c>
      <c r="BE129" s="52" t="n">
        <f aca="false">BE121+BE125+BE126+BE127+BE128</f>
        <v>184.637798882754</v>
      </c>
      <c r="BF129" s="52" t="n">
        <f aca="false">BF121+BF125+BF126+BF127+BF128</f>
        <v>208.895754621915</v>
      </c>
      <c r="BG129" s="52" t="n">
        <f aca="false">BG121+BG125+BG126+BG127+BG128</f>
        <v>210.510250798477</v>
      </c>
      <c r="BH129" s="52" t="n">
        <f aca="false">BH121+BH125+BH126+BH127+BH128</f>
        <v>212.12474697504</v>
      </c>
      <c r="BI129" s="52" t="n">
        <f aca="false">BI121+BI125+BI126+BI127+BI128</f>
        <v>213.739243151602</v>
      </c>
      <c r="BJ129" s="52" t="n">
        <f aca="false">BJ121+BJ125+BJ126+BJ127+BJ128</f>
        <v>215.353739328165</v>
      </c>
      <c r="BK129" s="52" t="n">
        <f aca="false">BK121+BK125+BK126+BK127+BK128</f>
        <v>216.968235504727</v>
      </c>
    </row>
    <row r="130" customFormat="false" ht="15" hidden="false" customHeight="true" outlineLevel="0" collapsed="false">
      <c r="A130" s="12" t="s">
        <v>732</v>
      </c>
      <c r="B130" s="4" t="s">
        <v>44</v>
      </c>
      <c r="D130" s="16" t="n">
        <f aca="false">((D90+D92+D93+D94+D95+D96)*Inputs!$C$91+Inputs!$C$92)*D68</f>
        <v>0.9</v>
      </c>
      <c r="E130" s="16" t="n">
        <f aca="false">((E90+E92+E93+E94+E95+E96)*Inputs!$C$91+Inputs!$C$92)*E68</f>
        <v>0.9</v>
      </c>
      <c r="F130" s="16" t="n">
        <f aca="false">((F90+F92+F93+F94+F95+F96)*Inputs!$C$91+Inputs!$C$92)*F68</f>
        <v>1.35</v>
      </c>
      <c r="G130" s="16" t="n">
        <f aca="false">((G90+G92+G93+G94+G95+G96)*Inputs!$C$91+Inputs!$C$92)*G68</f>
        <v>1.35</v>
      </c>
      <c r="H130" s="16" t="n">
        <f aca="false">((H90+H92+H93+H94+H95+H96)*Inputs!$C$91+Inputs!$C$92)*H68</f>
        <v>1.35</v>
      </c>
      <c r="I130" s="16" t="n">
        <f aca="false">((I90+I92+I93+I94+I95+I96)*Inputs!$C$91+Inputs!$C$92)*I68</f>
        <v>1.35</v>
      </c>
      <c r="J130" s="16" t="n">
        <f aca="false">((J90+J92+J93+J94+J95+J96)*Inputs!$C$91+Inputs!$C$92)*J68</f>
        <v>1.35</v>
      </c>
      <c r="K130" s="16" t="n">
        <f aca="false">((K90+K92+K93+K94+K95+K96)*Inputs!$C$91+Inputs!$C$92)*K68</f>
        <v>1.35</v>
      </c>
      <c r="L130" s="16" t="n">
        <f aca="false">((L90+L92+L93+L94+L95+L96)*Inputs!$C$91+Inputs!$C$92)*L68</f>
        <v>1.35</v>
      </c>
      <c r="M130" s="16" t="n">
        <f aca="false">((M90+M92+M93+M94+M95+M96)*Inputs!$C$91+Inputs!$C$92)*M68</f>
        <v>1.35</v>
      </c>
      <c r="N130" s="16" t="n">
        <f aca="false">((N90+N92+N93+N94+N95+N96)*Inputs!$C$91+Inputs!$C$92)*N68</f>
        <v>1.35</v>
      </c>
      <c r="O130" s="16" t="n">
        <f aca="false">((O90+O92+O93+O94+O95+O96)*Inputs!$C$91+Inputs!$C$92)*O68</f>
        <v>1.35</v>
      </c>
      <c r="P130" s="16" t="n">
        <f aca="false">((P90+P92+P93+P94+P95+P96)*Inputs!$C$91+Inputs!$C$92)*P68</f>
        <v>2.0475</v>
      </c>
      <c r="Q130" s="16" t="n">
        <f aca="false">((Q90+Q92+Q93+Q94+Q95+Q96)*Inputs!$C$91+Inputs!$C$92)*Q68</f>
        <v>2.0475</v>
      </c>
      <c r="R130" s="16" t="n">
        <f aca="false">((R90+R92+R93+R94+R95+R96)*Inputs!$C$91+Inputs!$C$92)*R68</f>
        <v>2.0475</v>
      </c>
      <c r="S130" s="16" t="n">
        <f aca="false">((S90+S92+S93+S94+S95+S96)*Inputs!$C$91+Inputs!$C$92)*S68</f>
        <v>2.0475</v>
      </c>
      <c r="T130" s="16" t="n">
        <f aca="false">((T90+T92+T93+T94+T95+T96)*Inputs!$C$91+Inputs!$C$92)*T68</f>
        <v>2.0475</v>
      </c>
      <c r="U130" s="16" t="n">
        <f aca="false">((U90+U92+U93+U94+U95+U96)*Inputs!$C$91+Inputs!$C$92)*U68</f>
        <v>2.0475</v>
      </c>
      <c r="V130" s="16" t="n">
        <f aca="false">((V90+V92+V93+V94+V95+V96)*Inputs!$C$91+Inputs!$C$92)*V68</f>
        <v>2.0475</v>
      </c>
      <c r="W130" s="16" t="n">
        <f aca="false">((W90+W92+W93+W94+W95+W96)*Inputs!$C$91+Inputs!$C$92)*W68</f>
        <v>2.0475</v>
      </c>
      <c r="X130" s="16" t="n">
        <f aca="false">((X90+X92+X93+X94+X95+X96)*Inputs!$C$91+Inputs!$C$92)*X68</f>
        <v>2.0475</v>
      </c>
      <c r="Y130" s="16" t="n">
        <f aca="false">((Y90+Y92+Y93+Y94+Y95+Y96)*Inputs!$C$91+Inputs!$C$92)*Y68</f>
        <v>2.0475</v>
      </c>
      <c r="Z130" s="16" t="n">
        <f aca="false">((Z90+Z92+Z93+Z94+Z95+Z96)*Inputs!$C$91+Inputs!$C$92)*Z68</f>
        <v>2.0475</v>
      </c>
      <c r="AA130" s="16" t="n">
        <f aca="false">((AA90+AA92+AA93+AA94+AA95+AA96)*Inputs!$C$91+Inputs!$C$92)*AA68</f>
        <v>2.0475</v>
      </c>
      <c r="AB130" s="16" t="n">
        <f aca="false">((AB90+AB92+AB93+AB94+AB95+AB96)*Inputs!$C$91+Inputs!$C$92)*AB68</f>
        <v>2.646</v>
      </c>
      <c r="AC130" s="16" t="n">
        <f aca="false">((AC90+AC92+AC93+AC94+AC95+AC96)*Inputs!$C$91+Inputs!$C$92)*AC68</f>
        <v>2.646</v>
      </c>
      <c r="AD130" s="16" t="n">
        <f aca="false">((AD90+AD92+AD93+AD94+AD95+AD96)*Inputs!$C$91+Inputs!$C$92)*AD68</f>
        <v>2.646</v>
      </c>
      <c r="AE130" s="16" t="n">
        <f aca="false">((AE90+AE92+AE93+AE94+AE95+AE96)*Inputs!$C$91+Inputs!$C$92)*AE68</f>
        <v>2.646</v>
      </c>
      <c r="AF130" s="16" t="n">
        <f aca="false">((AF90+AF92+AF93+AF94+AF95+AF96)*Inputs!$C$91+Inputs!$C$92)*AF68</f>
        <v>2.646</v>
      </c>
      <c r="AG130" s="16" t="n">
        <f aca="false">((AG90+AG92+AG93+AG94+AG95+AG96)*Inputs!$C$91+Inputs!$C$92)*AG68</f>
        <v>2.646</v>
      </c>
      <c r="AH130" s="16" t="n">
        <f aca="false">((AH90+AH92+AH93+AH94+AH95+AH96)*Inputs!$C$91+Inputs!$C$92)*AH68</f>
        <v>2.646</v>
      </c>
      <c r="AI130" s="16" t="n">
        <f aca="false">((AI90+AI92+AI93+AI94+AI95+AI96)*Inputs!$C$91+Inputs!$C$92)*AI68</f>
        <v>2.646</v>
      </c>
      <c r="AJ130" s="16" t="n">
        <f aca="false">((AJ90+AJ92+AJ93+AJ94+AJ95+AJ96)*Inputs!$C$91+Inputs!$C$92)*AJ68</f>
        <v>2.646</v>
      </c>
      <c r="AK130" s="16" t="n">
        <f aca="false">((AK90+AK92+AK93+AK94+AK95+AK96)*Inputs!$C$91+Inputs!$C$92)*AK68</f>
        <v>2.646</v>
      </c>
      <c r="AL130" s="16" t="n">
        <f aca="false">((AL90+AL92+AL93+AL94+AL95+AL96)*Inputs!$C$91+Inputs!$C$92)*AL68</f>
        <v>2.646</v>
      </c>
      <c r="AM130" s="16" t="n">
        <f aca="false">((AM90+AM92+AM93+AM94+AM95+AM96)*Inputs!$C$91+Inputs!$C$92)*AM68</f>
        <v>2.646</v>
      </c>
      <c r="AN130" s="16" t="n">
        <f aca="false">((AN90+AN92+AN93+AN94+AN95+AN96)*Inputs!$C$91+Inputs!$C$92)*AN68</f>
        <v>3.29923125</v>
      </c>
      <c r="AO130" s="16" t="n">
        <f aca="false">((AO90+AO92+AO93+AO94+AO95+AO96)*Inputs!$C$91+Inputs!$C$92)*AO68</f>
        <v>3.29923125</v>
      </c>
      <c r="AP130" s="16" t="n">
        <f aca="false">((AP90+AP92+AP93+AP94+AP95+AP96)*Inputs!$C$91+Inputs!$C$92)*AP68</f>
        <v>3.29923125</v>
      </c>
      <c r="AQ130" s="16" t="n">
        <f aca="false">((AQ90+AQ92+AQ93+AQ94+AQ95+AQ96)*Inputs!$C$91+Inputs!$C$92)*AQ68</f>
        <v>3.29923125</v>
      </c>
      <c r="AR130" s="16" t="n">
        <f aca="false">((AR90+AR92+AR93+AR94+AR95+AR96)*Inputs!$C$91+Inputs!$C$92)*AR68</f>
        <v>3.29923125</v>
      </c>
      <c r="AS130" s="16" t="n">
        <f aca="false">((AS90+AS92+AS93+AS94+AS95+AS96)*Inputs!$C$91+Inputs!$C$92)*AS68</f>
        <v>3.29923125</v>
      </c>
      <c r="AT130" s="16" t="n">
        <f aca="false">((AT90+AT92+AT93+AT94+AT95+AT96)*Inputs!$C$91+Inputs!$C$92)*AT68</f>
        <v>3.29923125</v>
      </c>
      <c r="AU130" s="16" t="n">
        <f aca="false">((AU90+AU92+AU93+AU94+AU95+AU96)*Inputs!$C$91+Inputs!$C$92)*AU68</f>
        <v>3.29923125</v>
      </c>
      <c r="AV130" s="16" t="n">
        <f aca="false">((AV90+AV92+AV93+AV94+AV95+AV96)*Inputs!$C$91+Inputs!$C$92)*AV68</f>
        <v>3.29923125</v>
      </c>
      <c r="AW130" s="16" t="n">
        <f aca="false">((AW90+AW92+AW93+AW94+AW95+AW96)*Inputs!$C$91+Inputs!$C$92)*AW68</f>
        <v>3.29923125</v>
      </c>
      <c r="AX130" s="16" t="n">
        <f aca="false">((AX90+AX92+AX93+AX94+AX95+AX96)*Inputs!$C$91+Inputs!$C$92)*AX68</f>
        <v>3.29923125</v>
      </c>
      <c r="AY130" s="16" t="n">
        <f aca="false">((AY90+AY92+AY93+AY94+AY95+AY96)*Inputs!$C$91+Inputs!$C$92)*AY68</f>
        <v>3.29923125</v>
      </c>
      <c r="AZ130" s="16" t="n">
        <f aca="false">((AZ90+AZ92+AZ93+AZ94+AZ95+AZ96)*Inputs!$C$91+Inputs!$C$92)*AZ68</f>
        <v>4.1934965625</v>
      </c>
      <c r="BA130" s="16" t="n">
        <f aca="false">((BA90+BA92+BA93+BA94+BA95+BA96)*Inputs!$C$91+Inputs!$C$92)*BA68</f>
        <v>4.1934965625</v>
      </c>
      <c r="BB130" s="16" t="n">
        <f aca="false">((BB90+BB92+BB93+BB94+BB95+BB96)*Inputs!$C$91+Inputs!$C$92)*BB68</f>
        <v>4.1934965625</v>
      </c>
      <c r="BC130" s="16" t="n">
        <f aca="false">((BC90+BC92+BC93+BC94+BC95+BC96)*Inputs!$C$91+Inputs!$C$92)*BC68</f>
        <v>4.1934965625</v>
      </c>
      <c r="BD130" s="16" t="n">
        <f aca="false">((BD90+BD92+BD93+BD94+BD95+BD96)*Inputs!$C$91+Inputs!$C$92)*BD68</f>
        <v>4.1934965625</v>
      </c>
      <c r="BE130" s="16" t="n">
        <f aca="false">((BE90+BE92+BE93+BE94+BE95+BE96)*Inputs!$C$91+Inputs!$C$92)*BE68</f>
        <v>4.1934965625</v>
      </c>
      <c r="BF130" s="16" t="n">
        <f aca="false">((BF90+BF92+BF93+BF94+BF95+BF96)*Inputs!$C$91+Inputs!$C$92)*BF68</f>
        <v>4.1934965625</v>
      </c>
      <c r="BG130" s="16" t="n">
        <f aca="false">((BG90+BG92+BG93+BG94+BG95+BG96)*Inputs!$C$91+Inputs!$C$92)*BG68</f>
        <v>4.1934965625</v>
      </c>
      <c r="BH130" s="16" t="n">
        <f aca="false">((BH90+BH92+BH93+BH94+BH95+BH96)*Inputs!$C$91+Inputs!$C$92)*BH68</f>
        <v>4.1934965625</v>
      </c>
      <c r="BI130" s="16" t="n">
        <f aca="false">((BI90+BI92+BI93+BI94+BI95+BI96)*Inputs!$C$91+Inputs!$C$92)*BI68</f>
        <v>4.1934965625</v>
      </c>
      <c r="BJ130" s="16" t="n">
        <f aca="false">((BJ90+BJ92+BJ93+BJ94+BJ95+BJ96)*Inputs!$C$91+Inputs!$C$92)*BJ68</f>
        <v>4.1934965625</v>
      </c>
      <c r="BK130" s="16" t="n">
        <f aca="false">((BK90+BK92+BK93+BK94+BK95+BK96)*Inputs!$C$91+Inputs!$C$92)*BK68</f>
        <v>4.1934965625</v>
      </c>
    </row>
    <row r="131" customFormat="false" ht="15" hidden="false" customHeight="true" outlineLevel="0" collapsed="false">
      <c r="A131" s="5" t="s">
        <v>733</v>
      </c>
      <c r="B131" s="4" t="s">
        <v>44</v>
      </c>
      <c r="D131" s="52" t="n">
        <f aca="false">D120+D130</f>
        <v>2.02</v>
      </c>
      <c r="E131" s="52" t="n">
        <f aca="false">E120+E130</f>
        <v>2.02</v>
      </c>
      <c r="F131" s="52" t="n">
        <f aca="false">F120+F130</f>
        <v>6.57666666666667</v>
      </c>
      <c r="G131" s="52" t="n">
        <f aca="false">G120+G130</f>
        <v>6.57666666666667</v>
      </c>
      <c r="H131" s="52" t="n">
        <f aca="false">H120+H130</f>
        <v>6.57666666666667</v>
      </c>
      <c r="I131" s="52" t="n">
        <f aca="false">I120+I130</f>
        <v>6.57666666666667</v>
      </c>
      <c r="J131" s="52" t="n">
        <f aca="false">J120+J130</f>
        <v>6.57666666666667</v>
      </c>
      <c r="K131" s="52" t="n">
        <f aca="false">K120+K130</f>
        <v>6.57666666666667</v>
      </c>
      <c r="L131" s="52" t="n">
        <f aca="false">L120+L130</f>
        <v>6.57666666666667</v>
      </c>
      <c r="M131" s="52" t="n">
        <f aca="false">M120+M130</f>
        <v>6.57666666666667</v>
      </c>
      <c r="N131" s="52" t="n">
        <f aca="false">N120+N130</f>
        <v>6.57666666666667</v>
      </c>
      <c r="O131" s="52" t="n">
        <f aca="false">O120+O130</f>
        <v>6.57666666666667</v>
      </c>
      <c r="P131" s="52" t="n">
        <f aca="false">P120+P130</f>
        <v>14.8491</v>
      </c>
      <c r="Q131" s="52" t="n">
        <f aca="false">Q120+Q130</f>
        <v>14.8491</v>
      </c>
      <c r="R131" s="52" t="n">
        <f aca="false">R120+R130</f>
        <v>14.8491</v>
      </c>
      <c r="S131" s="52" t="n">
        <f aca="false">S120+S130</f>
        <v>14.8491</v>
      </c>
      <c r="T131" s="52" t="n">
        <f aca="false">T120+T130</f>
        <v>14.8491</v>
      </c>
      <c r="U131" s="52" t="n">
        <f aca="false">U120+U130</f>
        <v>14.8491</v>
      </c>
      <c r="V131" s="52" t="n">
        <f aca="false">V120+V130</f>
        <v>14.8491</v>
      </c>
      <c r="W131" s="52" t="n">
        <f aca="false">W120+W130</f>
        <v>14.8491</v>
      </c>
      <c r="X131" s="52" t="n">
        <f aca="false">X120+X130</f>
        <v>14.8491</v>
      </c>
      <c r="Y131" s="52" t="n">
        <f aca="false">Y120+Y130</f>
        <v>14.8491</v>
      </c>
      <c r="Z131" s="52" t="n">
        <f aca="false">Z120+Z130</f>
        <v>14.8491</v>
      </c>
      <c r="AA131" s="52" t="n">
        <f aca="false">AA120+AA130</f>
        <v>14.8491</v>
      </c>
      <c r="AB131" s="52" t="n">
        <f aca="false">AB120+AB130</f>
        <v>21.261744</v>
      </c>
      <c r="AC131" s="52" t="n">
        <f aca="false">AC120+AC130</f>
        <v>21.261744</v>
      </c>
      <c r="AD131" s="52" t="n">
        <f aca="false">AD120+AD130</f>
        <v>21.261744</v>
      </c>
      <c r="AE131" s="52" t="n">
        <f aca="false">AE120+AE130</f>
        <v>21.261744</v>
      </c>
      <c r="AF131" s="52" t="n">
        <f aca="false">AF120+AF130</f>
        <v>21.261744</v>
      </c>
      <c r="AG131" s="52" t="n">
        <f aca="false">AG120+AG130</f>
        <v>21.261744</v>
      </c>
      <c r="AH131" s="52" t="n">
        <f aca="false">AH120+AH130</f>
        <v>21.261744</v>
      </c>
      <c r="AI131" s="52" t="n">
        <f aca="false">AI120+AI130</f>
        <v>21.261744</v>
      </c>
      <c r="AJ131" s="52" t="n">
        <f aca="false">AJ120+AJ130</f>
        <v>21.261744</v>
      </c>
      <c r="AK131" s="52" t="n">
        <f aca="false">AK120+AK130</f>
        <v>21.261744</v>
      </c>
      <c r="AL131" s="52" t="n">
        <f aca="false">AL120+AL130</f>
        <v>21.261744</v>
      </c>
      <c r="AM131" s="52" t="n">
        <f aca="false">AM120+AM130</f>
        <v>21.261744</v>
      </c>
      <c r="AN131" s="52" t="n">
        <f aca="false">AN120+AN130</f>
        <v>28.93017141</v>
      </c>
      <c r="AO131" s="52" t="n">
        <f aca="false">AO120+AO130</f>
        <v>28.93017141</v>
      </c>
      <c r="AP131" s="52" t="n">
        <f aca="false">AP120+AP130</f>
        <v>28.93017141</v>
      </c>
      <c r="AQ131" s="52" t="n">
        <f aca="false">AQ120+AQ130</f>
        <v>28.93017141</v>
      </c>
      <c r="AR131" s="52" t="n">
        <f aca="false">AR120+AR130</f>
        <v>28.93017141</v>
      </c>
      <c r="AS131" s="52" t="n">
        <f aca="false">AS120+AS130</f>
        <v>28.93017141</v>
      </c>
      <c r="AT131" s="52" t="n">
        <f aca="false">AT120+AT130</f>
        <v>28.93017141</v>
      </c>
      <c r="AU131" s="52" t="n">
        <f aca="false">AU120+AU130</f>
        <v>28.93017141</v>
      </c>
      <c r="AV131" s="52" t="n">
        <f aca="false">AV120+AV130</f>
        <v>28.93017141</v>
      </c>
      <c r="AW131" s="52" t="n">
        <f aca="false">AW120+AW130</f>
        <v>28.93017141</v>
      </c>
      <c r="AX131" s="52" t="n">
        <f aca="false">AX120+AX130</f>
        <v>28.93017141</v>
      </c>
      <c r="AY131" s="52" t="n">
        <f aca="false">AY120+AY130</f>
        <v>28.93017141</v>
      </c>
      <c r="AZ131" s="52" t="n">
        <f aca="false">AZ120+AZ130</f>
        <v>40.5094818681</v>
      </c>
      <c r="BA131" s="52" t="n">
        <f aca="false">BA120+BA130</f>
        <v>40.5094818681</v>
      </c>
      <c r="BB131" s="52" t="n">
        <f aca="false">BB120+BB130</f>
        <v>40.5094818681</v>
      </c>
      <c r="BC131" s="52" t="n">
        <f aca="false">BC120+BC130</f>
        <v>40.5094818681</v>
      </c>
      <c r="BD131" s="52" t="n">
        <f aca="false">BD120+BD130</f>
        <v>40.5094818681</v>
      </c>
      <c r="BE131" s="52" t="n">
        <f aca="false">BE120+BE130</f>
        <v>40.5094818681</v>
      </c>
      <c r="BF131" s="52" t="n">
        <f aca="false">BF120+BF130</f>
        <v>40.5094818681</v>
      </c>
      <c r="BG131" s="52" t="n">
        <f aca="false">BG120+BG130</f>
        <v>40.5094818681</v>
      </c>
      <c r="BH131" s="52" t="n">
        <f aca="false">BH120+BH130</f>
        <v>40.5094818681</v>
      </c>
      <c r="BI131" s="52" t="n">
        <f aca="false">BI120+BI130</f>
        <v>40.5094818681</v>
      </c>
      <c r="BJ131" s="52" t="n">
        <f aca="false">BJ120+BJ130</f>
        <v>40.5094818681</v>
      </c>
      <c r="BK131" s="52" t="n">
        <f aca="false">BK120+BK130</f>
        <v>40.5094818681</v>
      </c>
    </row>
    <row r="132" customFormat="false" ht="15" hidden="false" customHeight="true" outlineLevel="0" collapsed="false">
      <c r="A132" s="12" t="s">
        <v>1996</v>
      </c>
      <c r="B132" s="4" t="s">
        <v>44</v>
      </c>
      <c r="D132" s="16" t="n">
        <f aca="false">D104*Inputs!$C$93*D68</f>
        <v>0.36</v>
      </c>
      <c r="E132" s="16" t="n">
        <f aca="false">E104*Inputs!$C$93*E68</f>
        <v>0.36</v>
      </c>
      <c r="F132" s="16" t="n">
        <f aca="false">F104*Inputs!$C$93*F68</f>
        <v>0.84</v>
      </c>
      <c r="G132" s="16" t="n">
        <f aca="false">G104*Inputs!$C$93*G68</f>
        <v>1.08</v>
      </c>
      <c r="H132" s="16" t="n">
        <f aca="false">H104*Inputs!$C$93*H68</f>
        <v>1.08</v>
      </c>
      <c r="I132" s="16" t="n">
        <f aca="false">I104*Inputs!$C$93*I68</f>
        <v>1.08</v>
      </c>
      <c r="J132" s="16" t="n">
        <f aca="false">J104*Inputs!$C$93*J68</f>
        <v>1.08</v>
      </c>
      <c r="K132" s="16" t="n">
        <f aca="false">K104*Inputs!$C$93*K68</f>
        <v>1.08</v>
      </c>
      <c r="L132" s="16" t="n">
        <f aca="false">L104*Inputs!$C$93*L68</f>
        <v>1.32</v>
      </c>
      <c r="M132" s="16" t="n">
        <f aca="false">M104*Inputs!$C$93*M68</f>
        <v>1.32</v>
      </c>
      <c r="N132" s="16" t="n">
        <f aca="false">N104*Inputs!$C$93*N68</f>
        <v>1.32</v>
      </c>
      <c r="O132" s="16" t="n">
        <f aca="false">O104*Inputs!$C$93*O68</f>
        <v>1.32</v>
      </c>
      <c r="P132" s="16" t="n">
        <f aca="false">P104*Inputs!$C$93*P68</f>
        <v>2.52</v>
      </c>
      <c r="Q132" s="16" t="n">
        <f aca="false">Q104*Inputs!$C$93*Q68</f>
        <v>2.646</v>
      </c>
      <c r="R132" s="16" t="n">
        <f aca="false">R104*Inputs!$C$93*R68</f>
        <v>2.646</v>
      </c>
      <c r="S132" s="16" t="n">
        <f aca="false">S104*Inputs!$C$93*S68</f>
        <v>2.646</v>
      </c>
      <c r="T132" s="16" t="n">
        <f aca="false">T104*Inputs!$C$93*T68</f>
        <v>2.772</v>
      </c>
      <c r="U132" s="16" t="n">
        <f aca="false">U104*Inputs!$C$93*U68</f>
        <v>2.898</v>
      </c>
      <c r="V132" s="16" t="n">
        <f aca="false">V104*Inputs!$C$93*V68</f>
        <v>2.898</v>
      </c>
      <c r="W132" s="16" t="n">
        <f aca="false">W104*Inputs!$C$93*W68</f>
        <v>3.024</v>
      </c>
      <c r="X132" s="16" t="n">
        <f aca="false">X104*Inputs!$C$93*X68</f>
        <v>3.15</v>
      </c>
      <c r="Y132" s="16" t="n">
        <f aca="false">Y104*Inputs!$C$93*Y68</f>
        <v>3.15</v>
      </c>
      <c r="Z132" s="16" t="n">
        <f aca="false">Z104*Inputs!$C$93*Z68</f>
        <v>3.15</v>
      </c>
      <c r="AA132" s="16" t="n">
        <f aca="false">AA104*Inputs!$C$93*AA68</f>
        <v>3.15</v>
      </c>
      <c r="AB132" s="16" t="n">
        <f aca="false">AB104*Inputs!$C$93*AB68</f>
        <v>5.0274</v>
      </c>
      <c r="AC132" s="16" t="n">
        <f aca="false">AC104*Inputs!$C$93*AC68</f>
        <v>5.1597</v>
      </c>
      <c r="AD132" s="16" t="n">
        <f aca="false">AD104*Inputs!$C$93*AD68</f>
        <v>5.292</v>
      </c>
      <c r="AE132" s="16" t="n">
        <f aca="false">AE104*Inputs!$C$93*AE68</f>
        <v>5.5566</v>
      </c>
      <c r="AF132" s="16" t="n">
        <f aca="false">AF104*Inputs!$C$93*AF68</f>
        <v>5.6889</v>
      </c>
      <c r="AG132" s="16" t="n">
        <f aca="false">AG104*Inputs!$C$93*AG68</f>
        <v>5.8212</v>
      </c>
      <c r="AH132" s="16" t="n">
        <f aca="false">AH104*Inputs!$C$93*AH68</f>
        <v>5.9535</v>
      </c>
      <c r="AI132" s="16" t="n">
        <f aca="false">AI104*Inputs!$C$93*AI68</f>
        <v>6.0858</v>
      </c>
      <c r="AJ132" s="16" t="n">
        <f aca="false">AJ104*Inputs!$C$93*AJ68</f>
        <v>6.4827</v>
      </c>
      <c r="AK132" s="16" t="n">
        <f aca="false">AK104*Inputs!$C$93*AK68</f>
        <v>6.7473</v>
      </c>
      <c r="AL132" s="16" t="n">
        <f aca="false">AL104*Inputs!$C$93*AL68</f>
        <v>6.7473</v>
      </c>
      <c r="AM132" s="16" t="n">
        <f aca="false">AM104*Inputs!$C$93*AM68</f>
        <v>7.0119</v>
      </c>
      <c r="AN132" s="16" t="n">
        <f aca="false">AN104*Inputs!$C$93*AN68</f>
        <v>9.44622</v>
      </c>
      <c r="AO132" s="16" t="n">
        <f aca="false">AO104*Inputs!$C$93*AO68</f>
        <v>9.585135</v>
      </c>
      <c r="AP132" s="16" t="n">
        <f aca="false">AP104*Inputs!$C$93*AP68</f>
        <v>9.72405</v>
      </c>
      <c r="AQ132" s="16" t="n">
        <f aca="false">AQ104*Inputs!$C$93*AQ68</f>
        <v>9.862965</v>
      </c>
      <c r="AR132" s="16" t="n">
        <f aca="false">AR104*Inputs!$C$93*AR68</f>
        <v>10.27971</v>
      </c>
      <c r="AS132" s="16" t="n">
        <f aca="false">AS104*Inputs!$C$93*AS68</f>
        <v>10.55754</v>
      </c>
      <c r="AT132" s="16" t="n">
        <f aca="false">AT104*Inputs!$C$93*AT68</f>
        <v>10.696455</v>
      </c>
      <c r="AU132" s="16" t="n">
        <f aca="false">AU104*Inputs!$C$93*AU68</f>
        <v>10.974285</v>
      </c>
      <c r="AV132" s="16" t="n">
        <f aca="false">AV104*Inputs!$C$93*AV68</f>
        <v>11.529945</v>
      </c>
      <c r="AW132" s="16" t="n">
        <f aca="false">AW104*Inputs!$C$93*AW68</f>
        <v>11.807775</v>
      </c>
      <c r="AX132" s="16" t="n">
        <f aca="false">AX104*Inputs!$C$93*AX68</f>
        <v>11.94669</v>
      </c>
      <c r="AY132" s="16" t="n">
        <f aca="false">AY104*Inputs!$C$93*AY68</f>
        <v>12.22452</v>
      </c>
      <c r="AZ132" s="16" t="n">
        <f aca="false">AZ104*Inputs!$C$93*AZ68</f>
        <v>15.169518</v>
      </c>
      <c r="BA132" s="16" t="n">
        <f aca="false">BA104*Inputs!$C$93*BA68</f>
        <v>15.31537875</v>
      </c>
      <c r="BB132" s="16" t="n">
        <f aca="false">BB104*Inputs!$C$93*BB68</f>
        <v>15.4612395</v>
      </c>
      <c r="BC132" s="16" t="n">
        <f aca="false">BC104*Inputs!$C$93*BC68</f>
        <v>15.89882175</v>
      </c>
      <c r="BD132" s="16" t="n">
        <f aca="false">BD104*Inputs!$C$93*BD68</f>
        <v>16.336404</v>
      </c>
      <c r="BE132" s="16" t="n">
        <f aca="false">BE104*Inputs!$C$93*BE68</f>
        <v>16.48226475</v>
      </c>
      <c r="BF132" s="16" t="n">
        <f aca="false">BF104*Inputs!$C$93*BF68</f>
        <v>16.919847</v>
      </c>
      <c r="BG132" s="16" t="n">
        <f aca="false">BG104*Inputs!$C$93*BG68</f>
        <v>17.2115685</v>
      </c>
      <c r="BH132" s="16" t="n">
        <f aca="false">BH104*Inputs!$C$93*BH68</f>
        <v>17.7950115</v>
      </c>
      <c r="BI132" s="16" t="n">
        <f aca="false">BI104*Inputs!$C$93*BI68</f>
        <v>18.23259375</v>
      </c>
      <c r="BJ132" s="16" t="n">
        <f aca="false">BJ104*Inputs!$C$93*BJ68</f>
        <v>18.3784545</v>
      </c>
      <c r="BK132" s="16" t="n">
        <f aca="false">BK104*Inputs!$C$93*BK68</f>
        <v>18.670176</v>
      </c>
    </row>
    <row r="133" customFormat="false" ht="15" hidden="false" customHeight="true" outlineLevel="0" collapsed="false">
      <c r="A133" s="12" t="s">
        <v>742</v>
      </c>
      <c r="B133" s="4" t="s">
        <v>44</v>
      </c>
      <c r="D133" s="16" t="n">
        <f aca="false">Inputs!$C$94*D68</f>
        <v>0.75</v>
      </c>
      <c r="E133" s="16" t="n">
        <f aca="false">Inputs!$C$94*E68</f>
        <v>0.75</v>
      </c>
      <c r="F133" s="16" t="n">
        <f aca="false">Inputs!$C$94*F68</f>
        <v>0.75</v>
      </c>
      <c r="G133" s="16" t="n">
        <f aca="false">Inputs!$C$94*G68</f>
        <v>0.75</v>
      </c>
      <c r="H133" s="16" t="n">
        <f aca="false">Inputs!$C$94*H68</f>
        <v>0.75</v>
      </c>
      <c r="I133" s="16" t="n">
        <f aca="false">Inputs!$C$94*I68</f>
        <v>0.75</v>
      </c>
      <c r="J133" s="16" t="n">
        <f aca="false">Inputs!$C$94*J68</f>
        <v>0.75</v>
      </c>
      <c r="K133" s="16" t="n">
        <f aca="false">Inputs!$C$94*K68</f>
        <v>0.75</v>
      </c>
      <c r="L133" s="16" t="n">
        <f aca="false">Inputs!$C$94*L68</f>
        <v>0.75</v>
      </c>
      <c r="M133" s="16" t="n">
        <f aca="false">Inputs!$C$94*M68</f>
        <v>0.75</v>
      </c>
      <c r="N133" s="16" t="n">
        <f aca="false">Inputs!$C$94*N68</f>
        <v>0.75</v>
      </c>
      <c r="O133" s="16" t="n">
        <f aca="false">Inputs!$C$94*O68</f>
        <v>0.75</v>
      </c>
      <c r="P133" s="16" t="n">
        <f aca="false">Inputs!$C$94*P68</f>
        <v>0.7875</v>
      </c>
      <c r="Q133" s="16" t="n">
        <f aca="false">Inputs!$C$94*Q68</f>
        <v>0.7875</v>
      </c>
      <c r="R133" s="16" t="n">
        <f aca="false">Inputs!$C$94*R68</f>
        <v>0.7875</v>
      </c>
      <c r="S133" s="16" t="n">
        <f aca="false">Inputs!$C$94*S68</f>
        <v>0.7875</v>
      </c>
      <c r="T133" s="16" t="n">
        <f aca="false">Inputs!$C$94*T68</f>
        <v>0.7875</v>
      </c>
      <c r="U133" s="16" t="n">
        <f aca="false">Inputs!$C$94*U68</f>
        <v>0.7875</v>
      </c>
      <c r="V133" s="16" t="n">
        <f aca="false">Inputs!$C$94*V68</f>
        <v>0.7875</v>
      </c>
      <c r="W133" s="16" t="n">
        <f aca="false">Inputs!$C$94*W68</f>
        <v>0.7875</v>
      </c>
      <c r="X133" s="16" t="n">
        <f aca="false">Inputs!$C$94*X68</f>
        <v>0.7875</v>
      </c>
      <c r="Y133" s="16" t="n">
        <f aca="false">Inputs!$C$94*Y68</f>
        <v>0.7875</v>
      </c>
      <c r="Z133" s="16" t="n">
        <f aca="false">Inputs!$C$94*Z68</f>
        <v>0.7875</v>
      </c>
      <c r="AA133" s="16" t="n">
        <f aca="false">Inputs!$C$94*AA68</f>
        <v>0.7875</v>
      </c>
      <c r="AB133" s="16" t="n">
        <f aca="false">Inputs!$C$94*AB68</f>
        <v>0.826875</v>
      </c>
      <c r="AC133" s="16" t="n">
        <f aca="false">Inputs!$C$94*AC68</f>
        <v>0.826875</v>
      </c>
      <c r="AD133" s="16" t="n">
        <f aca="false">Inputs!$C$94*AD68</f>
        <v>0.826875</v>
      </c>
      <c r="AE133" s="16" t="n">
        <f aca="false">Inputs!$C$94*AE68</f>
        <v>0.826875</v>
      </c>
      <c r="AF133" s="16" t="n">
        <f aca="false">Inputs!$C$94*AF68</f>
        <v>0.826875</v>
      </c>
      <c r="AG133" s="16" t="n">
        <f aca="false">Inputs!$C$94*AG68</f>
        <v>0.826875</v>
      </c>
      <c r="AH133" s="16" t="n">
        <f aca="false">Inputs!$C$94*AH68</f>
        <v>0.826875</v>
      </c>
      <c r="AI133" s="16" t="n">
        <f aca="false">Inputs!$C$94*AI68</f>
        <v>0.826875</v>
      </c>
      <c r="AJ133" s="16" t="n">
        <f aca="false">Inputs!$C$94*AJ68</f>
        <v>0.826875</v>
      </c>
      <c r="AK133" s="16" t="n">
        <f aca="false">Inputs!$C$94*AK68</f>
        <v>0.826875</v>
      </c>
      <c r="AL133" s="16" t="n">
        <f aca="false">Inputs!$C$94*AL68</f>
        <v>0.826875</v>
      </c>
      <c r="AM133" s="16" t="n">
        <f aca="false">Inputs!$C$94*AM68</f>
        <v>0.826875</v>
      </c>
      <c r="AN133" s="16" t="n">
        <f aca="false">Inputs!$C$94*AN68</f>
        <v>0.86821875</v>
      </c>
      <c r="AO133" s="16" t="n">
        <f aca="false">Inputs!$C$94*AO68</f>
        <v>0.86821875</v>
      </c>
      <c r="AP133" s="16" t="n">
        <f aca="false">Inputs!$C$94*AP68</f>
        <v>0.86821875</v>
      </c>
      <c r="AQ133" s="16" t="n">
        <f aca="false">Inputs!$C$94*AQ68</f>
        <v>0.86821875</v>
      </c>
      <c r="AR133" s="16" t="n">
        <f aca="false">Inputs!$C$94*AR68</f>
        <v>0.86821875</v>
      </c>
      <c r="AS133" s="16" t="n">
        <f aca="false">Inputs!$C$94*AS68</f>
        <v>0.86821875</v>
      </c>
      <c r="AT133" s="16" t="n">
        <f aca="false">Inputs!$C$94*AT68</f>
        <v>0.86821875</v>
      </c>
      <c r="AU133" s="16" t="n">
        <f aca="false">Inputs!$C$94*AU68</f>
        <v>0.86821875</v>
      </c>
      <c r="AV133" s="16" t="n">
        <f aca="false">Inputs!$C$94*AV68</f>
        <v>0.86821875</v>
      </c>
      <c r="AW133" s="16" t="n">
        <f aca="false">Inputs!$C$94*AW68</f>
        <v>0.86821875</v>
      </c>
      <c r="AX133" s="16" t="n">
        <f aca="false">Inputs!$C$94*AX68</f>
        <v>0.86821875</v>
      </c>
      <c r="AY133" s="16" t="n">
        <f aca="false">Inputs!$C$94*AY68</f>
        <v>0.86821875</v>
      </c>
      <c r="AZ133" s="16" t="n">
        <f aca="false">Inputs!$C$94*AZ68</f>
        <v>0.9116296875</v>
      </c>
      <c r="BA133" s="16" t="n">
        <f aca="false">Inputs!$C$94*BA68</f>
        <v>0.9116296875</v>
      </c>
      <c r="BB133" s="16" t="n">
        <f aca="false">Inputs!$C$94*BB68</f>
        <v>0.9116296875</v>
      </c>
      <c r="BC133" s="16" t="n">
        <f aca="false">Inputs!$C$94*BC68</f>
        <v>0.9116296875</v>
      </c>
      <c r="BD133" s="16" t="n">
        <f aca="false">Inputs!$C$94*BD68</f>
        <v>0.9116296875</v>
      </c>
      <c r="BE133" s="16" t="n">
        <f aca="false">Inputs!$C$94*BE68</f>
        <v>0.9116296875</v>
      </c>
      <c r="BF133" s="16" t="n">
        <f aca="false">Inputs!$C$94*BF68</f>
        <v>0.9116296875</v>
      </c>
      <c r="BG133" s="16" t="n">
        <f aca="false">Inputs!$C$94*BG68</f>
        <v>0.9116296875</v>
      </c>
      <c r="BH133" s="16" t="n">
        <f aca="false">Inputs!$C$94*BH68</f>
        <v>0.9116296875</v>
      </c>
      <c r="BI133" s="16" t="n">
        <f aca="false">Inputs!$C$94*BI68</f>
        <v>0.9116296875</v>
      </c>
      <c r="BJ133" s="16" t="n">
        <f aca="false">Inputs!$C$94*BJ68</f>
        <v>0.9116296875</v>
      </c>
      <c r="BK133" s="16" t="n">
        <f aca="false">Inputs!$C$94*BK68</f>
        <v>0.9116296875</v>
      </c>
    </row>
    <row r="134" customFormat="false" ht="15" hidden="false" customHeight="true" outlineLevel="0" collapsed="false">
      <c r="A134" s="12" t="s">
        <v>743</v>
      </c>
      <c r="B134" s="4" t="s">
        <v>44</v>
      </c>
      <c r="D134" s="16" t="n">
        <f aca="false">IF(D$6&gt;=Inputs!$C$96,Inputs!$C$95*D68,0)</f>
        <v>0</v>
      </c>
      <c r="E134" s="16" t="n">
        <f aca="false">IF(E$6&gt;=Inputs!$C$96,Inputs!$C$95*E68,0)</f>
        <v>0</v>
      </c>
      <c r="F134" s="16" t="n">
        <f aca="false">IF(F$6&gt;=Inputs!$C$96,Inputs!$C$95*F68,0)</f>
        <v>0</v>
      </c>
      <c r="G134" s="16" t="n">
        <f aca="false">IF(G$6&gt;=Inputs!$C$96,Inputs!$C$95*G68,0)</f>
        <v>0</v>
      </c>
      <c r="H134" s="16" t="n">
        <f aca="false">IF(H$6&gt;=Inputs!$C$96,Inputs!$C$95*H68,0)</f>
        <v>0</v>
      </c>
      <c r="I134" s="16" t="n">
        <f aca="false">IF(I$6&gt;=Inputs!$C$96,Inputs!$C$95*I68,0)</f>
        <v>0.25</v>
      </c>
      <c r="J134" s="16" t="n">
        <f aca="false">IF(J$6&gt;=Inputs!$C$96,Inputs!$C$95*J68,0)</f>
        <v>0.25</v>
      </c>
      <c r="K134" s="16" t="n">
        <f aca="false">IF(K$6&gt;=Inputs!$C$96,Inputs!$C$95*K68,0)</f>
        <v>0.25</v>
      </c>
      <c r="L134" s="16" t="n">
        <f aca="false">IF(L$6&gt;=Inputs!$C$96,Inputs!$C$95*L68,0)</f>
        <v>0.25</v>
      </c>
      <c r="M134" s="16" t="n">
        <f aca="false">IF(M$6&gt;=Inputs!$C$96,Inputs!$C$95*M68,0)</f>
        <v>0.25</v>
      </c>
      <c r="N134" s="16" t="n">
        <f aca="false">IF(N$6&gt;=Inputs!$C$96,Inputs!$C$95*N68,0)</f>
        <v>0.25</v>
      </c>
      <c r="O134" s="16" t="n">
        <f aca="false">IF(O$6&gt;=Inputs!$C$96,Inputs!$C$95*O68,0)</f>
        <v>0.25</v>
      </c>
      <c r="P134" s="16" t="n">
        <f aca="false">IF(P$6&gt;=Inputs!$C$96,Inputs!$C$95*P68,0)</f>
        <v>0.2625</v>
      </c>
      <c r="Q134" s="16" t="n">
        <f aca="false">IF(Q$6&gt;=Inputs!$C$96,Inputs!$C$95*Q68,0)</f>
        <v>0.2625</v>
      </c>
      <c r="R134" s="16" t="n">
        <f aca="false">IF(R$6&gt;=Inputs!$C$96,Inputs!$C$95*R68,0)</f>
        <v>0.2625</v>
      </c>
      <c r="S134" s="16" t="n">
        <f aca="false">IF(S$6&gt;=Inputs!$C$96,Inputs!$C$95*S68,0)</f>
        <v>0.2625</v>
      </c>
      <c r="T134" s="16" t="n">
        <f aca="false">IF(T$6&gt;=Inputs!$C$96,Inputs!$C$95*T68,0)</f>
        <v>0.2625</v>
      </c>
      <c r="U134" s="16" t="n">
        <f aca="false">IF(U$6&gt;=Inputs!$C$96,Inputs!$C$95*U68,0)</f>
        <v>0.2625</v>
      </c>
      <c r="V134" s="16" t="n">
        <f aca="false">IF(V$6&gt;=Inputs!$C$96,Inputs!$C$95*V68,0)</f>
        <v>0.2625</v>
      </c>
      <c r="W134" s="16" t="n">
        <f aca="false">IF(W$6&gt;=Inputs!$C$96,Inputs!$C$95*W68,0)</f>
        <v>0.2625</v>
      </c>
      <c r="X134" s="16" t="n">
        <f aca="false">IF(X$6&gt;=Inputs!$C$96,Inputs!$C$95*X68,0)</f>
        <v>0.2625</v>
      </c>
      <c r="Y134" s="16" t="n">
        <f aca="false">IF(Y$6&gt;=Inputs!$C$96,Inputs!$C$95*Y68,0)</f>
        <v>0.2625</v>
      </c>
      <c r="Z134" s="16" t="n">
        <f aca="false">IF(Z$6&gt;=Inputs!$C$96,Inputs!$C$95*Z68,0)</f>
        <v>0.2625</v>
      </c>
      <c r="AA134" s="16" t="n">
        <f aca="false">IF(AA$6&gt;=Inputs!$C$96,Inputs!$C$95*AA68,0)</f>
        <v>0.2625</v>
      </c>
      <c r="AB134" s="16" t="n">
        <f aca="false">IF(AB$6&gt;=Inputs!$C$96,Inputs!$C$95*AB68,0)</f>
        <v>0.275625</v>
      </c>
      <c r="AC134" s="16" t="n">
        <f aca="false">IF(AC$6&gt;=Inputs!$C$96,Inputs!$C$95*AC68,0)</f>
        <v>0.275625</v>
      </c>
      <c r="AD134" s="16" t="n">
        <f aca="false">IF(AD$6&gt;=Inputs!$C$96,Inputs!$C$95*AD68,0)</f>
        <v>0.275625</v>
      </c>
      <c r="AE134" s="16" t="n">
        <f aca="false">IF(AE$6&gt;=Inputs!$C$96,Inputs!$C$95*AE68,0)</f>
        <v>0.275625</v>
      </c>
      <c r="AF134" s="16" t="n">
        <f aca="false">IF(AF$6&gt;=Inputs!$C$96,Inputs!$C$95*AF68,0)</f>
        <v>0.275625</v>
      </c>
      <c r="AG134" s="16" t="n">
        <f aca="false">IF(AG$6&gt;=Inputs!$C$96,Inputs!$C$95*AG68,0)</f>
        <v>0.275625</v>
      </c>
      <c r="AH134" s="16" t="n">
        <f aca="false">IF(AH$6&gt;=Inputs!$C$96,Inputs!$C$95*AH68,0)</f>
        <v>0.275625</v>
      </c>
      <c r="AI134" s="16" t="n">
        <f aca="false">IF(AI$6&gt;=Inputs!$C$96,Inputs!$C$95*AI68,0)</f>
        <v>0.275625</v>
      </c>
      <c r="AJ134" s="16" t="n">
        <f aca="false">IF(AJ$6&gt;=Inputs!$C$96,Inputs!$C$95*AJ68,0)</f>
        <v>0.275625</v>
      </c>
      <c r="AK134" s="16" t="n">
        <f aca="false">IF(AK$6&gt;=Inputs!$C$96,Inputs!$C$95*AK68,0)</f>
        <v>0.275625</v>
      </c>
      <c r="AL134" s="16" t="n">
        <f aca="false">IF(AL$6&gt;=Inputs!$C$96,Inputs!$C$95*AL68,0)</f>
        <v>0.275625</v>
      </c>
      <c r="AM134" s="16" t="n">
        <f aca="false">IF(AM$6&gt;=Inputs!$C$96,Inputs!$C$95*AM68,0)</f>
        <v>0.275625</v>
      </c>
      <c r="AN134" s="16" t="n">
        <f aca="false">IF(AN$6&gt;=Inputs!$C$96,Inputs!$C$95*AN68,0)</f>
        <v>0.28940625</v>
      </c>
      <c r="AO134" s="16" t="n">
        <f aca="false">IF(AO$6&gt;=Inputs!$C$96,Inputs!$C$95*AO68,0)</f>
        <v>0.28940625</v>
      </c>
      <c r="AP134" s="16" t="n">
        <f aca="false">IF(AP$6&gt;=Inputs!$C$96,Inputs!$C$95*AP68,0)</f>
        <v>0.28940625</v>
      </c>
      <c r="AQ134" s="16" t="n">
        <f aca="false">IF(AQ$6&gt;=Inputs!$C$96,Inputs!$C$95*AQ68,0)</f>
        <v>0.28940625</v>
      </c>
      <c r="AR134" s="16" t="n">
        <f aca="false">IF(AR$6&gt;=Inputs!$C$96,Inputs!$C$95*AR68,0)</f>
        <v>0.28940625</v>
      </c>
      <c r="AS134" s="16" t="n">
        <f aca="false">IF(AS$6&gt;=Inputs!$C$96,Inputs!$C$95*AS68,0)</f>
        <v>0.28940625</v>
      </c>
      <c r="AT134" s="16" t="n">
        <f aca="false">IF(AT$6&gt;=Inputs!$C$96,Inputs!$C$95*AT68,0)</f>
        <v>0.28940625</v>
      </c>
      <c r="AU134" s="16" t="n">
        <f aca="false">IF(AU$6&gt;=Inputs!$C$96,Inputs!$C$95*AU68,0)</f>
        <v>0.28940625</v>
      </c>
      <c r="AV134" s="16" t="n">
        <f aca="false">IF(AV$6&gt;=Inputs!$C$96,Inputs!$C$95*AV68,0)</f>
        <v>0.28940625</v>
      </c>
      <c r="AW134" s="16" t="n">
        <f aca="false">IF(AW$6&gt;=Inputs!$C$96,Inputs!$C$95*AW68,0)</f>
        <v>0.28940625</v>
      </c>
      <c r="AX134" s="16" t="n">
        <f aca="false">IF(AX$6&gt;=Inputs!$C$96,Inputs!$C$95*AX68,0)</f>
        <v>0.28940625</v>
      </c>
      <c r="AY134" s="16" t="n">
        <f aca="false">IF(AY$6&gt;=Inputs!$C$96,Inputs!$C$95*AY68,0)</f>
        <v>0.28940625</v>
      </c>
      <c r="AZ134" s="16" t="n">
        <f aca="false">IF(AZ$6&gt;=Inputs!$C$96,Inputs!$C$95*AZ68,0)</f>
        <v>0.3038765625</v>
      </c>
      <c r="BA134" s="16" t="n">
        <f aca="false">IF(BA$6&gt;=Inputs!$C$96,Inputs!$C$95*BA68,0)</f>
        <v>0.3038765625</v>
      </c>
      <c r="BB134" s="16" t="n">
        <f aca="false">IF(BB$6&gt;=Inputs!$C$96,Inputs!$C$95*BB68,0)</f>
        <v>0.3038765625</v>
      </c>
      <c r="BC134" s="16" t="n">
        <f aca="false">IF(BC$6&gt;=Inputs!$C$96,Inputs!$C$95*BC68,0)</f>
        <v>0.3038765625</v>
      </c>
      <c r="BD134" s="16" t="n">
        <f aca="false">IF(BD$6&gt;=Inputs!$C$96,Inputs!$C$95*BD68,0)</f>
        <v>0.3038765625</v>
      </c>
      <c r="BE134" s="16" t="n">
        <f aca="false">IF(BE$6&gt;=Inputs!$C$96,Inputs!$C$95*BE68,0)</f>
        <v>0.3038765625</v>
      </c>
      <c r="BF134" s="16" t="n">
        <f aca="false">IF(BF$6&gt;=Inputs!$C$96,Inputs!$C$95*BF68,0)</f>
        <v>0.3038765625</v>
      </c>
      <c r="BG134" s="16" t="n">
        <f aca="false">IF(BG$6&gt;=Inputs!$C$96,Inputs!$C$95*BG68,0)</f>
        <v>0.3038765625</v>
      </c>
      <c r="BH134" s="16" t="n">
        <f aca="false">IF(BH$6&gt;=Inputs!$C$96,Inputs!$C$95*BH68,0)</f>
        <v>0.3038765625</v>
      </c>
      <c r="BI134" s="16" t="n">
        <f aca="false">IF(BI$6&gt;=Inputs!$C$96,Inputs!$C$95*BI68,0)</f>
        <v>0.3038765625</v>
      </c>
      <c r="BJ134" s="16" t="n">
        <f aca="false">IF(BJ$6&gt;=Inputs!$C$96,Inputs!$C$95*BJ68,0)</f>
        <v>0.3038765625</v>
      </c>
      <c r="BK134" s="16" t="n">
        <f aca="false">IF(BK$6&gt;=Inputs!$C$96,Inputs!$C$95*BK68,0)</f>
        <v>0.3038765625</v>
      </c>
    </row>
    <row r="135" customFormat="false" ht="15" hidden="false" customHeight="true" outlineLevel="0" collapsed="false">
      <c r="A135" s="12" t="s">
        <v>744</v>
      </c>
      <c r="B135" s="4" t="s">
        <v>44</v>
      </c>
      <c r="D135" s="16" t="n">
        <f aca="false">D105*Inputs!$C$97</f>
        <v>2.25</v>
      </c>
      <c r="E135" s="16" t="n">
        <f aca="false">E105*Inputs!$C$97</f>
        <v>0</v>
      </c>
      <c r="F135" s="16" t="n">
        <f aca="false">F105*Inputs!$C$97</f>
        <v>3</v>
      </c>
      <c r="G135" s="16" t="n">
        <f aca="false">G105*Inputs!$C$97</f>
        <v>1.5</v>
      </c>
      <c r="H135" s="16" t="n">
        <f aca="false">H105*Inputs!$C$97</f>
        <v>0</v>
      </c>
      <c r="I135" s="16" t="n">
        <f aca="false">I105*Inputs!$C$97</f>
        <v>0</v>
      </c>
      <c r="J135" s="16" t="n">
        <f aca="false">J105*Inputs!$C$97</f>
        <v>0</v>
      </c>
      <c r="K135" s="16" t="n">
        <f aca="false">K105*Inputs!$C$97</f>
        <v>0</v>
      </c>
      <c r="L135" s="16" t="n">
        <f aca="false">L105*Inputs!$C$97</f>
        <v>1.5</v>
      </c>
      <c r="M135" s="16" t="n">
        <f aca="false">M105*Inputs!$C$97</f>
        <v>0</v>
      </c>
      <c r="N135" s="16" t="n">
        <f aca="false">N105*Inputs!$C$97</f>
        <v>0</v>
      </c>
      <c r="O135" s="16" t="n">
        <f aca="false">O105*Inputs!$C$97</f>
        <v>0</v>
      </c>
      <c r="P135" s="16" t="n">
        <f aca="false">P105*Inputs!$C$97</f>
        <v>6.75</v>
      </c>
      <c r="Q135" s="16" t="n">
        <f aca="false">Q105*Inputs!$C$97</f>
        <v>0.75</v>
      </c>
      <c r="R135" s="16" t="n">
        <f aca="false">R105*Inputs!$C$97</f>
        <v>0</v>
      </c>
      <c r="S135" s="16" t="n">
        <f aca="false">S105*Inputs!$C$97</f>
        <v>0</v>
      </c>
      <c r="T135" s="16" t="n">
        <f aca="false">T105*Inputs!$C$97</f>
        <v>0.75</v>
      </c>
      <c r="U135" s="16" t="n">
        <f aca="false">U105*Inputs!$C$97</f>
        <v>0.75</v>
      </c>
      <c r="V135" s="16" t="n">
        <f aca="false">V105*Inputs!$C$97</f>
        <v>0</v>
      </c>
      <c r="W135" s="16" t="n">
        <f aca="false">W105*Inputs!$C$97</f>
        <v>0.75</v>
      </c>
      <c r="X135" s="16" t="n">
        <f aca="false">X105*Inputs!$C$97</f>
        <v>0.75</v>
      </c>
      <c r="Y135" s="16" t="n">
        <f aca="false">Y105*Inputs!$C$97</f>
        <v>0</v>
      </c>
      <c r="Z135" s="16" t="n">
        <f aca="false">Z105*Inputs!$C$97</f>
        <v>0</v>
      </c>
      <c r="AA135" s="16" t="n">
        <f aca="false">AA105*Inputs!$C$97</f>
        <v>0</v>
      </c>
      <c r="AB135" s="16" t="n">
        <f aca="false">AB105*Inputs!$C$97</f>
        <v>9.75</v>
      </c>
      <c r="AC135" s="16" t="n">
        <f aca="false">AC105*Inputs!$C$97</f>
        <v>0.75</v>
      </c>
      <c r="AD135" s="16" t="n">
        <f aca="false">AD105*Inputs!$C$97</f>
        <v>0.75</v>
      </c>
      <c r="AE135" s="16" t="n">
        <f aca="false">AE105*Inputs!$C$97</f>
        <v>1.5</v>
      </c>
      <c r="AF135" s="16" t="n">
        <f aca="false">AF105*Inputs!$C$97</f>
        <v>0.75</v>
      </c>
      <c r="AG135" s="16" t="n">
        <f aca="false">AG105*Inputs!$C$97</f>
        <v>0.75</v>
      </c>
      <c r="AH135" s="16" t="n">
        <f aca="false">AH105*Inputs!$C$97</f>
        <v>0.75</v>
      </c>
      <c r="AI135" s="16" t="n">
        <f aca="false">AI105*Inputs!$C$97</f>
        <v>0.75</v>
      </c>
      <c r="AJ135" s="16" t="n">
        <f aca="false">AJ105*Inputs!$C$97</f>
        <v>2.25</v>
      </c>
      <c r="AK135" s="16" t="n">
        <f aca="false">AK105*Inputs!$C$97</f>
        <v>1.5</v>
      </c>
      <c r="AL135" s="16" t="n">
        <f aca="false">AL105*Inputs!$C$97</f>
        <v>0</v>
      </c>
      <c r="AM135" s="16" t="n">
        <f aca="false">AM105*Inputs!$C$97</f>
        <v>1.5</v>
      </c>
      <c r="AN135" s="16" t="n">
        <f aca="false">AN105*Inputs!$C$97</f>
        <v>11.25</v>
      </c>
      <c r="AO135" s="16" t="n">
        <f aca="false">AO105*Inputs!$C$97</f>
        <v>0.75</v>
      </c>
      <c r="AP135" s="16" t="n">
        <f aca="false">AP105*Inputs!$C$97</f>
        <v>0.75</v>
      </c>
      <c r="AQ135" s="16" t="n">
        <f aca="false">AQ105*Inputs!$C$97</f>
        <v>0.75</v>
      </c>
      <c r="AR135" s="16" t="n">
        <f aca="false">AR105*Inputs!$C$97</f>
        <v>2.25</v>
      </c>
      <c r="AS135" s="16" t="n">
        <f aca="false">AS105*Inputs!$C$97</f>
        <v>1.5</v>
      </c>
      <c r="AT135" s="16" t="n">
        <f aca="false">AT105*Inputs!$C$97</f>
        <v>0.75</v>
      </c>
      <c r="AU135" s="16" t="n">
        <f aca="false">AU105*Inputs!$C$97</f>
        <v>1.5</v>
      </c>
      <c r="AV135" s="16" t="n">
        <f aca="false">AV105*Inputs!$C$97</f>
        <v>3</v>
      </c>
      <c r="AW135" s="16" t="n">
        <f aca="false">AW105*Inputs!$C$97</f>
        <v>1.5</v>
      </c>
      <c r="AX135" s="16" t="n">
        <f aca="false">AX105*Inputs!$C$97</f>
        <v>0.75</v>
      </c>
      <c r="AY135" s="16" t="n">
        <f aca="false">AY105*Inputs!$C$97</f>
        <v>1.5</v>
      </c>
      <c r="AZ135" s="16" t="n">
        <f aca="false">AZ105*Inputs!$C$97</f>
        <v>12</v>
      </c>
      <c r="BA135" s="16" t="n">
        <f aca="false">BA105*Inputs!$C$97</f>
        <v>0.75</v>
      </c>
      <c r="BB135" s="16" t="n">
        <f aca="false">BB105*Inputs!$C$97</f>
        <v>0.75</v>
      </c>
      <c r="BC135" s="16" t="n">
        <f aca="false">BC105*Inputs!$C$97</f>
        <v>2.25</v>
      </c>
      <c r="BD135" s="16" t="n">
        <f aca="false">BD105*Inputs!$C$97</f>
        <v>2.25</v>
      </c>
      <c r="BE135" s="16" t="n">
        <f aca="false">BE105*Inputs!$C$97</f>
        <v>0.75</v>
      </c>
      <c r="BF135" s="16" t="n">
        <f aca="false">BF105*Inputs!$C$97</f>
        <v>2.25</v>
      </c>
      <c r="BG135" s="16" t="n">
        <f aca="false">BG105*Inputs!$C$97</f>
        <v>1.5</v>
      </c>
      <c r="BH135" s="16" t="n">
        <f aca="false">BH105*Inputs!$C$97</f>
        <v>3</v>
      </c>
      <c r="BI135" s="16" t="n">
        <f aca="false">BI105*Inputs!$C$97</f>
        <v>2.25</v>
      </c>
      <c r="BJ135" s="16" t="n">
        <f aca="false">BJ105*Inputs!$C$97</f>
        <v>0.75</v>
      </c>
      <c r="BK135" s="16" t="n">
        <f aca="false">BK105*Inputs!$C$97</f>
        <v>1.5</v>
      </c>
    </row>
    <row r="136" customFormat="false" ht="15" hidden="false" customHeight="true" outlineLevel="0" collapsed="false">
      <c r="A136" s="5" t="s">
        <v>745</v>
      </c>
      <c r="B136" s="4" t="s">
        <v>44</v>
      </c>
      <c r="D136" s="52" t="n">
        <f aca="false">D122+D132+D133+D134+D135</f>
        <v>4.48</v>
      </c>
      <c r="E136" s="52" t="n">
        <f aca="false">E122+E132+E133+E134+E135</f>
        <v>2.23</v>
      </c>
      <c r="F136" s="52" t="n">
        <f aca="false">F122+F132+F133+F134+F135</f>
        <v>5.71</v>
      </c>
      <c r="G136" s="52" t="n">
        <f aca="false">G122+G132+G133+G134+G135</f>
        <v>4.45</v>
      </c>
      <c r="H136" s="52" t="n">
        <f aca="false">H122+H132+H133+H134+H135</f>
        <v>2.95</v>
      </c>
      <c r="I136" s="52" t="n">
        <f aca="false">I122+I132+I133+I134+I135</f>
        <v>3.2</v>
      </c>
      <c r="J136" s="52" t="n">
        <f aca="false">J122+J132+J133+J134+J135</f>
        <v>3.2</v>
      </c>
      <c r="K136" s="52" t="n">
        <f aca="false">K122+K132+K133+K134+K135</f>
        <v>3.2</v>
      </c>
      <c r="L136" s="52" t="n">
        <f aca="false">L122+L132+L133+L134+L135</f>
        <v>4.94</v>
      </c>
      <c r="M136" s="52" t="n">
        <f aca="false">M122+M132+M133+M134+M135</f>
        <v>3.44</v>
      </c>
      <c r="N136" s="52" t="n">
        <f aca="false">N122+N132+N133+N134+N135</f>
        <v>3.44</v>
      </c>
      <c r="O136" s="52" t="n">
        <f aca="false">O122+O132+O133+O134+O135</f>
        <v>3.44</v>
      </c>
      <c r="P136" s="52" t="n">
        <f aca="false">P122+P132+P133+P134+P135</f>
        <v>12.336</v>
      </c>
      <c r="Q136" s="52" t="n">
        <f aca="false">Q122+Q132+Q133+Q134+Q135</f>
        <v>6.462</v>
      </c>
      <c r="R136" s="52" t="n">
        <f aca="false">R122+R132+R133+R134+R135</f>
        <v>5.712</v>
      </c>
      <c r="S136" s="52" t="n">
        <f aca="false">S122+S132+S133+S134+S135</f>
        <v>5.712</v>
      </c>
      <c r="T136" s="52" t="n">
        <f aca="false">T122+T132+T133+T134+T135</f>
        <v>6.588</v>
      </c>
      <c r="U136" s="52" t="n">
        <f aca="false">U122+U132+U133+U134+U135</f>
        <v>6.714</v>
      </c>
      <c r="V136" s="52" t="n">
        <f aca="false">V122+V132+V133+V134+V135</f>
        <v>5.964</v>
      </c>
      <c r="W136" s="52" t="n">
        <f aca="false">W122+W132+W133+W134+W135</f>
        <v>6.84</v>
      </c>
      <c r="X136" s="52" t="n">
        <f aca="false">X122+X132+X133+X134+X135</f>
        <v>6.966</v>
      </c>
      <c r="Y136" s="52" t="n">
        <f aca="false">Y122+Y132+Y133+Y134+Y135</f>
        <v>6.216</v>
      </c>
      <c r="Z136" s="52" t="n">
        <f aca="false">Z122+Z132+Z133+Z134+Z135</f>
        <v>6.216</v>
      </c>
      <c r="AA136" s="52" t="n">
        <f aca="false">AA122+AA132+AA133+AA134+AA135</f>
        <v>6.216</v>
      </c>
      <c r="AB136" s="52" t="n">
        <f aca="false">AB122+AB132+AB133+AB134+AB135</f>
        <v>20.23446</v>
      </c>
      <c r="AC136" s="52" t="n">
        <f aca="false">AC122+AC132+AC133+AC134+AC135</f>
        <v>11.36676</v>
      </c>
      <c r="AD136" s="52" t="n">
        <f aca="false">AD122+AD132+AD133+AD134+AD135</f>
        <v>11.49906</v>
      </c>
      <c r="AE136" s="52" t="n">
        <f aca="false">AE122+AE132+AE133+AE134+AE135</f>
        <v>12.51366</v>
      </c>
      <c r="AF136" s="52" t="n">
        <f aca="false">AF122+AF132+AF133+AF134+AF135</f>
        <v>11.89596</v>
      </c>
      <c r="AG136" s="52" t="n">
        <f aca="false">AG122+AG132+AG133+AG134+AG135</f>
        <v>12.02826</v>
      </c>
      <c r="AH136" s="52" t="n">
        <f aca="false">AH122+AH132+AH133+AH134+AH135</f>
        <v>12.16056</v>
      </c>
      <c r="AI136" s="52" t="n">
        <f aca="false">AI122+AI132+AI133+AI134+AI135</f>
        <v>12.29286</v>
      </c>
      <c r="AJ136" s="52" t="n">
        <f aca="false">AJ122+AJ132+AJ133+AJ134+AJ135</f>
        <v>14.18976</v>
      </c>
      <c r="AK136" s="52" t="n">
        <f aca="false">AK122+AK132+AK133+AK134+AK135</f>
        <v>13.70436</v>
      </c>
      <c r="AL136" s="52" t="n">
        <f aca="false">AL122+AL132+AL133+AL134+AL135</f>
        <v>12.20436</v>
      </c>
      <c r="AM136" s="52" t="n">
        <f aca="false">AM122+AM132+AM133+AM134+AM135</f>
        <v>13.96896</v>
      </c>
      <c r="AN136" s="52" t="n">
        <f aca="false">AN122+AN132+AN133+AN134+AN135</f>
        <v>27.49735476</v>
      </c>
      <c r="AO136" s="52" t="n">
        <f aca="false">AO122+AO132+AO133+AO134+AO135</f>
        <v>17.13626976</v>
      </c>
      <c r="AP136" s="52" t="n">
        <f aca="false">AP122+AP132+AP133+AP134+AP135</f>
        <v>17.27518476</v>
      </c>
      <c r="AQ136" s="52" t="n">
        <f aca="false">AQ122+AQ132+AQ133+AQ134+AQ135</f>
        <v>17.41409976</v>
      </c>
      <c r="AR136" s="52" t="n">
        <f aca="false">AR122+AR132+AR133+AR134+AR135</f>
        <v>19.33084476</v>
      </c>
      <c r="AS136" s="52" t="n">
        <f aca="false">AS122+AS132+AS133+AS134+AS135</f>
        <v>18.85867476</v>
      </c>
      <c r="AT136" s="52" t="n">
        <f aca="false">AT122+AT132+AT133+AT134+AT135</f>
        <v>18.24758976</v>
      </c>
      <c r="AU136" s="52" t="n">
        <f aca="false">AU122+AU132+AU133+AU134+AU135</f>
        <v>19.27541976</v>
      </c>
      <c r="AV136" s="52" t="n">
        <f aca="false">AV122+AV132+AV133+AV134+AV135</f>
        <v>21.33107976</v>
      </c>
      <c r="AW136" s="52" t="n">
        <f aca="false">AW122+AW132+AW133+AW134+AW135</f>
        <v>20.10890976</v>
      </c>
      <c r="AX136" s="52" t="n">
        <f aca="false">AX122+AX132+AX133+AX134+AX135</f>
        <v>19.49782476</v>
      </c>
      <c r="AY136" s="52" t="n">
        <f aca="false">AY122+AY132+AY133+AY134+AY135</f>
        <v>20.52565476</v>
      </c>
      <c r="AZ136" s="52" t="n">
        <f aca="false">AZ122+AZ132+AZ133+AZ134+AZ135</f>
        <v>34.4800147908</v>
      </c>
      <c r="BA136" s="52" t="n">
        <f aca="false">BA122+BA132+BA133+BA134+BA135</f>
        <v>23.3758755408</v>
      </c>
      <c r="BB136" s="52" t="n">
        <f aca="false">BB122+BB132+BB133+BB134+BB135</f>
        <v>23.5217362908</v>
      </c>
      <c r="BC136" s="52" t="n">
        <f aca="false">BC122+BC132+BC133+BC134+BC135</f>
        <v>25.4593185408</v>
      </c>
      <c r="BD136" s="52" t="n">
        <f aca="false">BD122+BD132+BD133+BD134+BD135</f>
        <v>25.8969007908</v>
      </c>
      <c r="BE136" s="52" t="n">
        <f aca="false">BE122+BE132+BE133+BE134+BE135</f>
        <v>24.5427615408</v>
      </c>
      <c r="BF136" s="52" t="n">
        <f aca="false">BF122+BF132+BF133+BF134+BF135</f>
        <v>26.4803437908</v>
      </c>
      <c r="BG136" s="52" t="n">
        <f aca="false">BG122+BG132+BG133+BG134+BG135</f>
        <v>26.0220652908</v>
      </c>
      <c r="BH136" s="52" t="n">
        <f aca="false">BH122+BH132+BH133+BH134+BH135</f>
        <v>28.1055082908</v>
      </c>
      <c r="BI136" s="52" t="n">
        <f aca="false">BI122+BI132+BI133+BI134+BI135</f>
        <v>27.7930905408</v>
      </c>
      <c r="BJ136" s="52" t="n">
        <f aca="false">BJ122+BJ132+BJ133+BJ134+BJ135</f>
        <v>26.4389512908</v>
      </c>
      <c r="BK136" s="52" t="n">
        <f aca="false">BK122+BK132+BK133+BK134+BK135</f>
        <v>27.4806727908</v>
      </c>
    </row>
    <row r="137" customFormat="false" ht="15" hidden="false" customHeight="true" outlineLevel="0" collapsed="false">
      <c r="A137" s="5" t="s">
        <v>1997</v>
      </c>
      <c r="B137" s="4" t="s">
        <v>44</v>
      </c>
      <c r="D137" s="54" t="n">
        <f aca="false">D129+D131+D136</f>
        <v>9.22</v>
      </c>
      <c r="E137" s="54" t="n">
        <f aca="false">E129+E131+E136</f>
        <v>6.97</v>
      </c>
      <c r="F137" s="54" t="n">
        <f aca="false">F129+F131+F136</f>
        <v>15.0066666666667</v>
      </c>
      <c r="G137" s="54" t="n">
        <f aca="false">G129+G131+G136</f>
        <v>17.6533333333333</v>
      </c>
      <c r="H137" s="54" t="n">
        <f aca="false">H129+H131+H136</f>
        <v>16.1533333333333</v>
      </c>
      <c r="I137" s="54" t="n">
        <f aca="false">I129+I131+I136</f>
        <v>16.4033333333333</v>
      </c>
      <c r="J137" s="54" t="n">
        <f aca="false">J129+J131+J136</f>
        <v>16.9725833333333</v>
      </c>
      <c r="K137" s="54" t="n">
        <f aca="false">K129+K131+K136</f>
        <v>16.9725833333333</v>
      </c>
      <c r="L137" s="54" t="n">
        <f aca="false">L129+L131+L136</f>
        <v>18.7125833333333</v>
      </c>
      <c r="M137" s="54" t="n">
        <f aca="false">M129+M131+M136</f>
        <v>17.4023333333333</v>
      </c>
      <c r="N137" s="54" t="n">
        <f aca="false">N129+N131+N136</f>
        <v>17.5920833333333</v>
      </c>
      <c r="O137" s="54" t="n">
        <f aca="false">O129+O131+O136</f>
        <v>17.7818333333333</v>
      </c>
      <c r="P137" s="54" t="n">
        <f aca="false">P129+P131+P136</f>
        <v>46.4431625</v>
      </c>
      <c r="Q137" s="54" t="n">
        <f aca="false">Q129+Q131+Q136</f>
        <v>40.7684</v>
      </c>
      <c r="R137" s="54" t="n">
        <f aca="false">R129+R131+R136</f>
        <v>40.2176375</v>
      </c>
      <c r="S137" s="54" t="n">
        <f aca="false">S129+S131+S136</f>
        <v>40.2176375</v>
      </c>
      <c r="T137" s="54" t="n">
        <f aca="false">T129+T131+T136</f>
        <v>41.0936375</v>
      </c>
      <c r="U137" s="54" t="n">
        <f aca="false">U129+U131+U136</f>
        <v>41.2196375</v>
      </c>
      <c r="V137" s="54" t="n">
        <f aca="false">V129+V131+V136</f>
        <v>50.8474858655</v>
      </c>
      <c r="W137" s="54" t="n">
        <f aca="false">W129+W131+W136</f>
        <v>52.3211983655</v>
      </c>
      <c r="X137" s="54" t="n">
        <f aca="false">X129+X131+X136</f>
        <v>53.0449108655</v>
      </c>
      <c r="Y137" s="54" t="n">
        <f aca="false">Y129+Y131+Y136</f>
        <v>52.8926233655</v>
      </c>
      <c r="Z137" s="54" t="n">
        <f aca="false">Z129+Z131+Z136</f>
        <v>53.4903358655</v>
      </c>
      <c r="AA137" s="54" t="n">
        <f aca="false">AA129+AA131+AA136</f>
        <v>54.0880483655</v>
      </c>
      <c r="AB137" s="54" t="n">
        <f aca="false">AB129+AB131+AB136</f>
        <v>96.875515783775</v>
      </c>
      <c r="AC137" s="54" t="n">
        <f aca="false">AC129+AC131+AC136</f>
        <v>88.007815783775</v>
      </c>
      <c r="AD137" s="54" t="n">
        <f aca="false">AD129+AD131+AD136</f>
        <v>88.140115783775</v>
      </c>
      <c r="AE137" s="54" t="n">
        <f aca="false">AE129+AE131+AE136</f>
        <v>89.154715783775</v>
      </c>
      <c r="AF137" s="54" t="n">
        <f aca="false">AF129+AF131+AF136</f>
        <v>88.537015783775</v>
      </c>
      <c r="AG137" s="54" t="n">
        <f aca="false">AG129+AG131+AG136</f>
        <v>88.669315783775</v>
      </c>
      <c r="AH137" s="54" t="n">
        <f aca="false">AH129+AH131+AH136</f>
        <v>110.281298288825</v>
      </c>
      <c r="AI137" s="54" t="n">
        <f aca="false">AI129+AI131+AI136</f>
        <v>111.668794538825</v>
      </c>
      <c r="AJ137" s="54" t="n">
        <f aca="false">AJ129+AJ131+AJ136</f>
        <v>114.820890788825</v>
      </c>
      <c r="AK137" s="54" t="n">
        <f aca="false">AK129+AK131+AK136</f>
        <v>115.590687038825</v>
      </c>
      <c r="AL137" s="54" t="n">
        <f aca="false">AL129+AL131+AL136</f>
        <v>115.345883288825</v>
      </c>
      <c r="AM137" s="54" t="n">
        <f aca="false">AM129+AM131+AM136</f>
        <v>118.365679538825</v>
      </c>
      <c r="AN137" s="54" t="n">
        <f aca="false">AN129+AN131+AN136</f>
        <v>172.462987005766</v>
      </c>
      <c r="AO137" s="54" t="n">
        <f aca="false">AO129+AO131+AO136</f>
        <v>162.101902005766</v>
      </c>
      <c r="AP137" s="54" t="n">
        <f aca="false">AP129+AP131+AP136</f>
        <v>162.240817005766</v>
      </c>
      <c r="AQ137" s="54" t="n">
        <f aca="false">AQ129+AQ131+AQ136</f>
        <v>162.379732005766</v>
      </c>
      <c r="AR137" s="54" t="n">
        <f aca="false">AR129+AR131+AR136</f>
        <v>164.296477005766</v>
      </c>
      <c r="AS137" s="54" t="n">
        <f aca="false">AS129+AS131+AS136</f>
        <v>163.824307005766</v>
      </c>
      <c r="AT137" s="54" t="n">
        <f aca="false">AT129+AT131+AT136</f>
        <v>186.535696339194</v>
      </c>
      <c r="AU137" s="54" t="n">
        <f aca="false">AU129+AU131+AU136</f>
        <v>189.320801089194</v>
      </c>
      <c r="AV137" s="54" t="n">
        <f aca="false">AV129+AV131+AV136</f>
        <v>193.133735839194</v>
      </c>
      <c r="AW137" s="54" t="n">
        <f aca="false">AW129+AW131+AW136</f>
        <v>193.668840589194</v>
      </c>
      <c r="AX137" s="54" t="n">
        <f aca="false">AX129+AX131+AX136</f>
        <v>194.815030339194</v>
      </c>
      <c r="AY137" s="54" t="n">
        <f aca="false">AY129+AY131+AY136</f>
        <v>197.600135089194</v>
      </c>
      <c r="AZ137" s="54" t="n">
        <f aca="false">AZ129+AZ131+AZ136</f>
        <v>259.627295541654</v>
      </c>
      <c r="BA137" s="54" t="n">
        <f aca="false">BA129+BA131+BA136</f>
        <v>248.523156291654</v>
      </c>
      <c r="BB137" s="54" t="n">
        <f aca="false">BB129+BB131+BB136</f>
        <v>248.669017041654</v>
      </c>
      <c r="BC137" s="54" t="n">
        <f aca="false">BC129+BC131+BC136</f>
        <v>250.606599291654</v>
      </c>
      <c r="BD137" s="54" t="n">
        <f aca="false">BD129+BD131+BD136</f>
        <v>251.044181541654</v>
      </c>
      <c r="BE137" s="54" t="n">
        <f aca="false">BE129+BE131+BE136</f>
        <v>249.690042291654</v>
      </c>
      <c r="BF137" s="54" t="n">
        <f aca="false">BF129+BF131+BF136</f>
        <v>275.885580280815</v>
      </c>
      <c r="BG137" s="54" t="n">
        <f aca="false">BG129+BG131+BG136</f>
        <v>277.041797957377</v>
      </c>
      <c r="BH137" s="54" t="n">
        <f aca="false">BH129+BH131+BH136</f>
        <v>280.73973713394</v>
      </c>
      <c r="BI137" s="54" t="n">
        <f aca="false">BI129+BI131+BI136</f>
        <v>282.041815560502</v>
      </c>
      <c r="BJ137" s="54" t="n">
        <f aca="false">BJ129+BJ131+BJ136</f>
        <v>282.302172487065</v>
      </c>
      <c r="BK137" s="54" t="n">
        <f aca="false">BK129+BK131+BK136</f>
        <v>284.958390163627</v>
      </c>
    </row>
    <row r="138" customFormat="false" ht="15" hidden="false" customHeight="true" outlineLevel="0" collapsed="false">
      <c r="A138" s="5" t="s">
        <v>54</v>
      </c>
      <c r="B138" s="4" t="s">
        <v>44</v>
      </c>
      <c r="D138" s="54" t="n">
        <f aca="false">D86-D137</f>
        <v>-9.22</v>
      </c>
      <c r="E138" s="54" t="n">
        <f aca="false">E86-E137</f>
        <v>-6.97</v>
      </c>
      <c r="F138" s="54" t="n">
        <f aca="false">F86-F137</f>
        <v>-17.44</v>
      </c>
      <c r="G138" s="54" t="n">
        <f aca="false">G86-G137</f>
        <v>-20.2381666666667</v>
      </c>
      <c r="H138" s="54" t="n">
        <f aca="false">H86-H137</f>
        <v>-18.4396666666667</v>
      </c>
      <c r="I138" s="54" t="n">
        <f aca="false">I86-I137</f>
        <v>-18.3911666666667</v>
      </c>
      <c r="J138" s="54" t="n">
        <f aca="false">J86-J137</f>
        <v>-19.0109166666667</v>
      </c>
      <c r="K138" s="54" t="n">
        <f aca="false">K86-K137</f>
        <v>-18.9619166666667</v>
      </c>
      <c r="L138" s="54" t="n">
        <f aca="false">L86-L137</f>
        <v>-20.7163549479167</v>
      </c>
      <c r="M138" s="54" t="n">
        <f aca="false">M86-M137</f>
        <v>-18.6695734261592</v>
      </c>
      <c r="N138" s="54" t="n">
        <f aca="false">N86-N137</f>
        <v>-18.1204899862174</v>
      </c>
      <c r="O138" s="54" t="n">
        <f aca="false">O86-O137</f>
        <v>-17.1567425381704</v>
      </c>
      <c r="P138" s="54" t="n">
        <f aca="false">P86-P137</f>
        <v>-44.5993202099002</v>
      </c>
      <c r="Q138" s="54" t="n">
        <f aca="false">Q86-Q137</f>
        <v>-38.3557365603392</v>
      </c>
      <c r="R138" s="54" t="n">
        <f aca="false">R86-R137</f>
        <v>-36.1182866871377</v>
      </c>
      <c r="S138" s="54" t="n">
        <f aca="false">S86-S137</f>
        <v>-35.5041217284978</v>
      </c>
      <c r="T138" s="54" t="n">
        <f aca="false">T86-T137</f>
        <v>-33.1668261949071</v>
      </c>
      <c r="U138" s="54" t="n">
        <f aca="false">U86-U137</f>
        <v>-29.9971658706471</v>
      </c>
      <c r="V138" s="54" t="n">
        <f aca="false">V86-V137</f>
        <v>-37.2927763270873</v>
      </c>
      <c r="W138" s="54" t="n">
        <f aca="false">W86-W137</f>
        <v>-37.4349163574847</v>
      </c>
      <c r="X138" s="54" t="n">
        <f aca="false">X86-X137</f>
        <v>-27.017488038557</v>
      </c>
      <c r="Y138" s="54" t="n">
        <f aca="false">Y86-Y137</f>
        <v>-18.3649497573749</v>
      </c>
      <c r="Z138" s="54" t="n">
        <f aca="false">Z86-Z137</f>
        <v>-10.1194024280757</v>
      </c>
      <c r="AA138" s="54" t="n">
        <f aca="false">AA86-AA137</f>
        <v>-1.52835468804411</v>
      </c>
      <c r="AB138" s="54" t="n">
        <f aca="false">AB86-AB137</f>
        <v>-34.2717815437927</v>
      </c>
      <c r="AC138" s="54" t="n">
        <f aca="false">AC86-AC137</f>
        <v>-15.4544120096149</v>
      </c>
      <c r="AD138" s="54" t="n">
        <f aca="false">AD86-AD137</f>
        <v>-6.2022964749854</v>
      </c>
      <c r="AE138" s="54" t="n">
        <f aca="false">AE86-AE137</f>
        <v>-1.3293966720954</v>
      </c>
      <c r="AF138" s="54" t="n">
        <f aca="false">AF86-AF137</f>
        <v>12.7269838790977</v>
      </c>
      <c r="AG138" s="54" t="n">
        <f aca="false">AG86-AG137</f>
        <v>26.6852526517499</v>
      </c>
      <c r="AH138" s="54" t="n">
        <f aca="false">AH86-AH137</f>
        <v>15.3519113513114</v>
      </c>
      <c r="AI138" s="54" t="n">
        <f aca="false">AI86-AI137</f>
        <v>24.2833256644997</v>
      </c>
      <c r="AJ138" s="54" t="n">
        <f aca="false">AJ86-AJ137</f>
        <v>49.3252052836966</v>
      </c>
      <c r="AK138" s="54" t="n">
        <f aca="false">AK86-AK137</f>
        <v>70.938030704788</v>
      </c>
      <c r="AL138" s="54" t="n">
        <f aca="false">AL86-AL137</f>
        <v>96.0785688436267</v>
      </c>
      <c r="AM138" s="54" t="n">
        <f aca="false">AM86-AM137</f>
        <v>116.662669785994</v>
      </c>
      <c r="AN138" s="54" t="n">
        <f aca="false">AN86-AN137</f>
        <v>90.2877970951713</v>
      </c>
      <c r="AO138" s="54" t="n">
        <f aca="false">AO86-AO137</f>
        <v>129.860918862836</v>
      </c>
      <c r="AP138" s="54" t="n">
        <f aca="false">AP86-AP137</f>
        <v>157.194905027394</v>
      </c>
      <c r="AQ138" s="54" t="n">
        <f aca="false">AQ86-AQ137</f>
        <v>181.186759038152</v>
      </c>
      <c r="AR138" s="54" t="n">
        <f aca="false">AR86-AR137</f>
        <v>209.272471158073</v>
      </c>
      <c r="AS138" s="54" t="n">
        <f aca="false">AS86-AS137</f>
        <v>241.504344935956</v>
      </c>
      <c r="AT138" s="54" t="n">
        <f aca="false">AT86-AT137</f>
        <v>247.670156087017</v>
      </c>
      <c r="AU138" s="54" t="n">
        <f aca="false">AU86-AU137</f>
        <v>272.696489107359</v>
      </c>
      <c r="AV138" s="54" t="n">
        <f aca="false">AV86-AV137</f>
        <v>317.608453828341</v>
      </c>
      <c r="AW138" s="54" t="n">
        <f aca="false">AW86-AW137</f>
        <v>360.441587782151</v>
      </c>
      <c r="AX138" s="54" t="n">
        <f aca="false">AX86-AX137</f>
        <v>405.353030287175</v>
      </c>
      <c r="AY138" s="54" t="n">
        <f aca="false">AY86-AY137</f>
        <v>448.265589671028</v>
      </c>
      <c r="AZ138" s="54" t="n">
        <f aca="false">AZ86-AZ137</f>
        <v>436.71713124873</v>
      </c>
      <c r="BA138" s="54" t="n">
        <f aca="false">BA86-BA137</f>
        <v>501.206250573375</v>
      </c>
      <c r="BB138" s="54" t="n">
        <f aca="false">BB86-BB137</f>
        <v>552.937805785134</v>
      </c>
      <c r="BC138" s="54" t="n">
        <f aca="false">BC86-BC137</f>
        <v>596.542145028654</v>
      </c>
      <c r="BD138" s="54" t="n">
        <f aca="false">BD86-BD137</f>
        <v>650.243298014603</v>
      </c>
      <c r="BE138" s="54" t="n">
        <f aca="false">BE86-BE137</f>
        <v>708.570533455334</v>
      </c>
      <c r="BF138" s="54" t="n">
        <f aca="false">BF86-BF137</f>
        <v>733.551098583744</v>
      </c>
      <c r="BG138" s="54" t="n">
        <f aca="false">BG86-BG137</f>
        <v>784.407484676482</v>
      </c>
      <c r="BH138" s="54" t="n">
        <f aca="false">BH86-BH137</f>
        <v>854.208087000979</v>
      </c>
      <c r="BI138" s="54" t="n">
        <f aca="false">BI86-BI137</f>
        <v>919.907525157552</v>
      </c>
      <c r="BJ138" s="54" t="n">
        <f aca="false">BJ86-BJ137</f>
        <v>989.885617624673</v>
      </c>
      <c r="BK138" s="54" t="n">
        <f aca="false">BK86-BK137</f>
        <v>1057.91855306542</v>
      </c>
    </row>
    <row r="140" customFormat="false" ht="15" hidden="false" customHeight="true" outlineLevel="0" collapsed="false">
      <c r="A140" s="10" t="s">
        <v>1998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customFormat="false" ht="15" hidden="false" customHeight="true" outlineLevel="0" collapsed="false">
      <c r="A141" s="12" t="s">
        <v>771</v>
      </c>
      <c r="B141" s="4" t="s">
        <v>44</v>
      </c>
      <c r="D141" s="16" t="n">
        <f aca="false">D105*Inputs!$C$98+IF(D$6=Inputs!$C$100,Inputs!$C$99,0)</f>
        <v>3.6</v>
      </c>
      <c r="E141" s="16" t="n">
        <f aca="false">E105*Inputs!$C$98+IF(E$6=Inputs!$C$100,Inputs!$C$99,0)</f>
        <v>0</v>
      </c>
      <c r="F141" s="16" t="n">
        <f aca="false">F105*Inputs!$C$98+IF(F$6=Inputs!$C$100,Inputs!$C$99,0)</f>
        <v>14.8</v>
      </c>
      <c r="G141" s="16" t="n">
        <f aca="false">G105*Inputs!$C$98+IF(G$6=Inputs!$C$100,Inputs!$C$99,0)</f>
        <v>2.4</v>
      </c>
      <c r="H141" s="16" t="n">
        <f aca="false">H105*Inputs!$C$98+IF(H$6=Inputs!$C$100,Inputs!$C$99,0)</f>
        <v>0</v>
      </c>
      <c r="I141" s="16" t="n">
        <f aca="false">I105*Inputs!$C$98+IF(I$6=Inputs!$C$100,Inputs!$C$99,0)</f>
        <v>0</v>
      </c>
      <c r="J141" s="16" t="n">
        <f aca="false">J105*Inputs!$C$98+IF(J$6=Inputs!$C$100,Inputs!$C$99,0)</f>
        <v>0</v>
      </c>
      <c r="K141" s="16" t="n">
        <f aca="false">K105*Inputs!$C$98+IF(K$6=Inputs!$C$100,Inputs!$C$99,0)</f>
        <v>0</v>
      </c>
      <c r="L141" s="16" t="n">
        <f aca="false">L105*Inputs!$C$98+IF(L$6=Inputs!$C$100,Inputs!$C$99,0)</f>
        <v>2.4</v>
      </c>
      <c r="M141" s="16" t="n">
        <f aca="false">M105*Inputs!$C$98+IF(M$6=Inputs!$C$100,Inputs!$C$99,0)</f>
        <v>0</v>
      </c>
      <c r="N141" s="16" t="n">
        <f aca="false">N105*Inputs!$C$98+IF(N$6=Inputs!$C$100,Inputs!$C$99,0)</f>
        <v>0</v>
      </c>
      <c r="O141" s="16" t="n">
        <f aca="false">O105*Inputs!$C$98+IF(O$6=Inputs!$C$100,Inputs!$C$99,0)</f>
        <v>0</v>
      </c>
      <c r="P141" s="16" t="n">
        <f aca="false">P105*Inputs!$C$98+IF(P$6=Inputs!$C$100,Inputs!$C$99,0)</f>
        <v>10.8</v>
      </c>
      <c r="Q141" s="16" t="n">
        <f aca="false">Q105*Inputs!$C$98+IF(Q$6=Inputs!$C$100,Inputs!$C$99,0)</f>
        <v>1.2</v>
      </c>
      <c r="R141" s="16" t="n">
        <f aca="false">R105*Inputs!$C$98+IF(R$6=Inputs!$C$100,Inputs!$C$99,0)</f>
        <v>0</v>
      </c>
      <c r="S141" s="16" t="n">
        <f aca="false">S105*Inputs!$C$98+IF(S$6=Inputs!$C$100,Inputs!$C$99,0)</f>
        <v>0</v>
      </c>
      <c r="T141" s="16" t="n">
        <f aca="false">T105*Inputs!$C$98+IF(T$6=Inputs!$C$100,Inputs!$C$99,0)</f>
        <v>1.2</v>
      </c>
      <c r="U141" s="16" t="n">
        <f aca="false">U105*Inputs!$C$98+IF(U$6=Inputs!$C$100,Inputs!$C$99,0)</f>
        <v>1.2</v>
      </c>
      <c r="V141" s="16" t="n">
        <f aca="false">V105*Inputs!$C$98+IF(V$6=Inputs!$C$100,Inputs!$C$99,0)</f>
        <v>0</v>
      </c>
      <c r="W141" s="16" t="n">
        <f aca="false">W105*Inputs!$C$98+IF(W$6=Inputs!$C$100,Inputs!$C$99,0)</f>
        <v>1.2</v>
      </c>
      <c r="X141" s="16" t="n">
        <f aca="false">X105*Inputs!$C$98+IF(X$6=Inputs!$C$100,Inputs!$C$99,0)</f>
        <v>1.2</v>
      </c>
      <c r="Y141" s="16" t="n">
        <f aca="false">Y105*Inputs!$C$98+IF(Y$6=Inputs!$C$100,Inputs!$C$99,0)</f>
        <v>0</v>
      </c>
      <c r="Z141" s="16" t="n">
        <f aca="false">Z105*Inputs!$C$98+IF(Z$6=Inputs!$C$100,Inputs!$C$99,0)</f>
        <v>0</v>
      </c>
      <c r="AA141" s="16" t="n">
        <f aca="false">AA105*Inputs!$C$98+IF(AA$6=Inputs!$C$100,Inputs!$C$99,0)</f>
        <v>0</v>
      </c>
      <c r="AB141" s="16" t="n">
        <f aca="false">AB105*Inputs!$C$98+IF(AB$6=Inputs!$C$100,Inputs!$C$99,0)</f>
        <v>15.6</v>
      </c>
      <c r="AC141" s="16" t="n">
        <f aca="false">AC105*Inputs!$C$98+IF(AC$6=Inputs!$C$100,Inputs!$C$99,0)</f>
        <v>1.2</v>
      </c>
      <c r="AD141" s="16" t="n">
        <f aca="false">AD105*Inputs!$C$98+IF(AD$6=Inputs!$C$100,Inputs!$C$99,0)</f>
        <v>1.2</v>
      </c>
      <c r="AE141" s="16" t="n">
        <f aca="false">AE105*Inputs!$C$98+IF(AE$6=Inputs!$C$100,Inputs!$C$99,0)</f>
        <v>2.4</v>
      </c>
      <c r="AF141" s="16" t="n">
        <f aca="false">AF105*Inputs!$C$98+IF(AF$6=Inputs!$C$100,Inputs!$C$99,0)</f>
        <v>1.2</v>
      </c>
      <c r="AG141" s="16" t="n">
        <f aca="false">AG105*Inputs!$C$98+IF(AG$6=Inputs!$C$100,Inputs!$C$99,0)</f>
        <v>1.2</v>
      </c>
      <c r="AH141" s="16" t="n">
        <f aca="false">AH105*Inputs!$C$98+IF(AH$6=Inputs!$C$100,Inputs!$C$99,0)</f>
        <v>1.2</v>
      </c>
      <c r="AI141" s="16" t="n">
        <f aca="false">AI105*Inputs!$C$98+IF(AI$6=Inputs!$C$100,Inputs!$C$99,0)</f>
        <v>1.2</v>
      </c>
      <c r="AJ141" s="16" t="n">
        <f aca="false">AJ105*Inputs!$C$98+IF(AJ$6=Inputs!$C$100,Inputs!$C$99,0)</f>
        <v>3.6</v>
      </c>
      <c r="AK141" s="16" t="n">
        <f aca="false">AK105*Inputs!$C$98+IF(AK$6=Inputs!$C$100,Inputs!$C$99,0)</f>
        <v>2.4</v>
      </c>
      <c r="AL141" s="16" t="n">
        <f aca="false">AL105*Inputs!$C$98+IF(AL$6=Inputs!$C$100,Inputs!$C$99,0)</f>
        <v>0</v>
      </c>
      <c r="AM141" s="16" t="n">
        <f aca="false">AM105*Inputs!$C$98+IF(AM$6=Inputs!$C$100,Inputs!$C$99,0)</f>
        <v>2.4</v>
      </c>
      <c r="AN141" s="16" t="n">
        <f aca="false">AN105*Inputs!$C$98+IF(AN$6=Inputs!$C$100,Inputs!$C$99,0)</f>
        <v>18</v>
      </c>
      <c r="AO141" s="16" t="n">
        <f aca="false">AO105*Inputs!$C$98+IF(AO$6=Inputs!$C$100,Inputs!$C$99,0)</f>
        <v>1.2</v>
      </c>
      <c r="AP141" s="16" t="n">
        <f aca="false">AP105*Inputs!$C$98+IF(AP$6=Inputs!$C$100,Inputs!$C$99,0)</f>
        <v>1.2</v>
      </c>
      <c r="AQ141" s="16" t="n">
        <f aca="false">AQ105*Inputs!$C$98+IF(AQ$6=Inputs!$C$100,Inputs!$C$99,0)</f>
        <v>1.2</v>
      </c>
      <c r="AR141" s="16" t="n">
        <f aca="false">AR105*Inputs!$C$98+IF(AR$6=Inputs!$C$100,Inputs!$C$99,0)</f>
        <v>3.6</v>
      </c>
      <c r="AS141" s="16" t="n">
        <f aca="false">AS105*Inputs!$C$98+IF(AS$6=Inputs!$C$100,Inputs!$C$99,0)</f>
        <v>2.4</v>
      </c>
      <c r="AT141" s="16" t="n">
        <f aca="false">AT105*Inputs!$C$98+IF(AT$6=Inputs!$C$100,Inputs!$C$99,0)</f>
        <v>1.2</v>
      </c>
      <c r="AU141" s="16" t="n">
        <f aca="false">AU105*Inputs!$C$98+IF(AU$6=Inputs!$C$100,Inputs!$C$99,0)</f>
        <v>2.4</v>
      </c>
      <c r="AV141" s="16" t="n">
        <f aca="false">AV105*Inputs!$C$98+IF(AV$6=Inputs!$C$100,Inputs!$C$99,0)</f>
        <v>4.8</v>
      </c>
      <c r="AW141" s="16" t="n">
        <f aca="false">AW105*Inputs!$C$98+IF(AW$6=Inputs!$C$100,Inputs!$C$99,0)</f>
        <v>2.4</v>
      </c>
      <c r="AX141" s="16" t="n">
        <f aca="false">AX105*Inputs!$C$98+IF(AX$6=Inputs!$C$100,Inputs!$C$99,0)</f>
        <v>1.2</v>
      </c>
      <c r="AY141" s="16" t="n">
        <f aca="false">AY105*Inputs!$C$98+IF(AY$6=Inputs!$C$100,Inputs!$C$99,0)</f>
        <v>2.4</v>
      </c>
      <c r="AZ141" s="16" t="n">
        <f aca="false">AZ105*Inputs!$C$98+IF(AZ$6=Inputs!$C$100,Inputs!$C$99,0)</f>
        <v>19.2</v>
      </c>
      <c r="BA141" s="16" t="n">
        <f aca="false">BA105*Inputs!$C$98+IF(BA$6=Inputs!$C$100,Inputs!$C$99,0)</f>
        <v>1.2</v>
      </c>
      <c r="BB141" s="16" t="n">
        <f aca="false">BB105*Inputs!$C$98+IF(BB$6=Inputs!$C$100,Inputs!$C$99,0)</f>
        <v>1.2</v>
      </c>
      <c r="BC141" s="16" t="n">
        <f aca="false">BC105*Inputs!$C$98+IF(BC$6=Inputs!$C$100,Inputs!$C$99,0)</f>
        <v>3.6</v>
      </c>
      <c r="BD141" s="16" t="n">
        <f aca="false">BD105*Inputs!$C$98+IF(BD$6=Inputs!$C$100,Inputs!$C$99,0)</f>
        <v>3.6</v>
      </c>
      <c r="BE141" s="16" t="n">
        <f aca="false">BE105*Inputs!$C$98+IF(BE$6=Inputs!$C$100,Inputs!$C$99,0)</f>
        <v>1.2</v>
      </c>
      <c r="BF141" s="16" t="n">
        <f aca="false">BF105*Inputs!$C$98+IF(BF$6=Inputs!$C$100,Inputs!$C$99,0)</f>
        <v>3.6</v>
      </c>
      <c r="BG141" s="16" t="n">
        <f aca="false">BG105*Inputs!$C$98+IF(BG$6=Inputs!$C$100,Inputs!$C$99,0)</f>
        <v>2.4</v>
      </c>
      <c r="BH141" s="16" t="n">
        <f aca="false">BH105*Inputs!$C$98+IF(BH$6=Inputs!$C$100,Inputs!$C$99,0)</f>
        <v>4.8</v>
      </c>
      <c r="BI141" s="16" t="n">
        <f aca="false">BI105*Inputs!$C$98+IF(BI$6=Inputs!$C$100,Inputs!$C$99,0)</f>
        <v>3.6</v>
      </c>
      <c r="BJ141" s="16" t="n">
        <f aca="false">BJ105*Inputs!$C$98+IF(BJ$6=Inputs!$C$100,Inputs!$C$99,0)</f>
        <v>1.2</v>
      </c>
      <c r="BK141" s="16" t="n">
        <f aca="false">BK105*Inputs!$C$98+IF(BK$6=Inputs!$C$100,Inputs!$C$99,0)</f>
        <v>2.4</v>
      </c>
    </row>
    <row r="142" customFormat="false" ht="15" hidden="false" customHeight="true" outlineLevel="0" collapsed="false">
      <c r="A142" s="12" t="s">
        <v>1999</v>
      </c>
      <c r="B142" s="4" t="s">
        <v>44</v>
      </c>
      <c r="D142" s="16" t="n">
        <f aca="true">SUM(OFFSET(D141,0,-(MIN(Inputs!$C$101,D$6)-1),1,MIN(Inputs!$C$101,D$6)))/Inputs!$C$101</f>
        <v>0.1</v>
      </c>
      <c r="E142" s="16" t="n">
        <f aca="true">SUM(OFFSET(E141,0,-(MIN(Inputs!$C$101,E$6)-1),1,MIN(Inputs!$C$101,E$6)))/Inputs!$C$101</f>
        <v>0.1</v>
      </c>
      <c r="F142" s="16" t="n">
        <f aca="true">SUM(OFFSET(F141,0,-(MIN(Inputs!$C$101,F$6)-1),1,MIN(Inputs!$C$101,F$6)))/Inputs!$C$101</f>
        <v>0.511111111111111</v>
      </c>
      <c r="G142" s="16" t="n">
        <f aca="true">SUM(OFFSET(G141,0,-(MIN(Inputs!$C$101,G$6)-1),1,MIN(Inputs!$C$101,G$6)))/Inputs!$C$101</f>
        <v>0.577777777777778</v>
      </c>
      <c r="H142" s="16" t="n">
        <f aca="true">SUM(OFFSET(H141,0,-(MIN(Inputs!$C$101,H$6)-1),1,MIN(Inputs!$C$101,H$6)))/Inputs!$C$101</f>
        <v>0.577777777777778</v>
      </c>
      <c r="I142" s="16" t="n">
        <f aca="true">SUM(OFFSET(I141,0,-(MIN(Inputs!$C$101,I$6)-1),1,MIN(Inputs!$C$101,I$6)))/Inputs!$C$101</f>
        <v>0.577777777777778</v>
      </c>
      <c r="J142" s="16" t="n">
        <f aca="true">SUM(OFFSET(J141,0,-(MIN(Inputs!$C$101,J$6)-1),1,MIN(Inputs!$C$101,J$6)))/Inputs!$C$101</f>
        <v>0.577777777777778</v>
      </c>
      <c r="K142" s="16" t="n">
        <f aca="true">SUM(OFFSET(K141,0,-(MIN(Inputs!$C$101,K$6)-1),1,MIN(Inputs!$C$101,K$6)))/Inputs!$C$101</f>
        <v>0.577777777777778</v>
      </c>
      <c r="L142" s="16" t="n">
        <f aca="true">SUM(OFFSET(L141,0,-(MIN(Inputs!$C$101,L$6)-1),1,MIN(Inputs!$C$101,L$6)))/Inputs!$C$101</f>
        <v>0.644444444444444</v>
      </c>
      <c r="M142" s="16" t="n">
        <f aca="true">SUM(OFFSET(M141,0,-(MIN(Inputs!$C$101,M$6)-1),1,MIN(Inputs!$C$101,M$6)))/Inputs!$C$101</f>
        <v>0.644444444444444</v>
      </c>
      <c r="N142" s="16" t="n">
        <f aca="true">SUM(OFFSET(N141,0,-(MIN(Inputs!$C$101,N$6)-1),1,MIN(Inputs!$C$101,N$6)))/Inputs!$C$101</f>
        <v>0.644444444444444</v>
      </c>
      <c r="O142" s="16" t="n">
        <f aca="true">SUM(OFFSET(O141,0,-(MIN(Inputs!$C$101,O$6)-1),1,MIN(Inputs!$C$101,O$6)))/Inputs!$C$101</f>
        <v>0.644444444444444</v>
      </c>
      <c r="P142" s="16" t="n">
        <f aca="true">SUM(OFFSET(P141,0,-(MIN(Inputs!$C$101,P$6)-1),1,MIN(Inputs!$C$101,P$6)))/Inputs!$C$101</f>
        <v>0.944444444444444</v>
      </c>
      <c r="Q142" s="16" t="n">
        <f aca="true">SUM(OFFSET(Q141,0,-(MIN(Inputs!$C$101,Q$6)-1),1,MIN(Inputs!$C$101,Q$6)))/Inputs!$C$101</f>
        <v>0.977777777777778</v>
      </c>
      <c r="R142" s="16" t="n">
        <f aca="true">SUM(OFFSET(R141,0,-(MIN(Inputs!$C$101,R$6)-1),1,MIN(Inputs!$C$101,R$6)))/Inputs!$C$101</f>
        <v>0.977777777777778</v>
      </c>
      <c r="S142" s="16" t="n">
        <f aca="true">SUM(OFFSET(S141,0,-(MIN(Inputs!$C$101,S$6)-1),1,MIN(Inputs!$C$101,S$6)))/Inputs!$C$101</f>
        <v>0.977777777777778</v>
      </c>
      <c r="T142" s="16" t="n">
        <f aca="true">SUM(OFFSET(T141,0,-(MIN(Inputs!$C$101,T$6)-1),1,MIN(Inputs!$C$101,T$6)))/Inputs!$C$101</f>
        <v>1.01111111111111</v>
      </c>
      <c r="U142" s="16" t="n">
        <f aca="true">SUM(OFFSET(U141,0,-(MIN(Inputs!$C$101,U$6)-1),1,MIN(Inputs!$C$101,U$6)))/Inputs!$C$101</f>
        <v>1.04444444444444</v>
      </c>
      <c r="V142" s="16" t="n">
        <f aca="true">SUM(OFFSET(V141,0,-(MIN(Inputs!$C$101,V$6)-1),1,MIN(Inputs!$C$101,V$6)))/Inputs!$C$101</f>
        <v>1.04444444444444</v>
      </c>
      <c r="W142" s="16" t="n">
        <f aca="true">SUM(OFFSET(W141,0,-(MIN(Inputs!$C$101,W$6)-1),1,MIN(Inputs!$C$101,W$6)))/Inputs!$C$101</f>
        <v>1.07777777777778</v>
      </c>
      <c r="X142" s="16" t="n">
        <f aca="true">SUM(OFFSET(X141,0,-(MIN(Inputs!$C$101,X$6)-1),1,MIN(Inputs!$C$101,X$6)))/Inputs!$C$101</f>
        <v>1.11111111111111</v>
      </c>
      <c r="Y142" s="16" t="n">
        <f aca="true">SUM(OFFSET(Y141,0,-(MIN(Inputs!$C$101,Y$6)-1),1,MIN(Inputs!$C$101,Y$6)))/Inputs!$C$101</f>
        <v>1.11111111111111</v>
      </c>
      <c r="Z142" s="16" t="n">
        <f aca="true">SUM(OFFSET(Z141,0,-(MIN(Inputs!$C$101,Z$6)-1),1,MIN(Inputs!$C$101,Z$6)))/Inputs!$C$101</f>
        <v>1.11111111111111</v>
      </c>
      <c r="AA142" s="16" t="n">
        <f aca="true">SUM(OFFSET(AA141,0,-(MIN(Inputs!$C$101,AA$6)-1),1,MIN(Inputs!$C$101,AA$6)))/Inputs!$C$101</f>
        <v>1.11111111111111</v>
      </c>
      <c r="AB142" s="16" t="n">
        <f aca="true">SUM(OFFSET(AB141,0,-(MIN(Inputs!$C$101,AB$6)-1),1,MIN(Inputs!$C$101,AB$6)))/Inputs!$C$101</f>
        <v>1.54444444444444</v>
      </c>
      <c r="AC142" s="16" t="n">
        <f aca="true">SUM(OFFSET(AC141,0,-(MIN(Inputs!$C$101,AC$6)-1),1,MIN(Inputs!$C$101,AC$6)))/Inputs!$C$101</f>
        <v>1.57777777777778</v>
      </c>
      <c r="AD142" s="16" t="n">
        <f aca="true">SUM(OFFSET(AD141,0,-(MIN(Inputs!$C$101,AD$6)-1),1,MIN(Inputs!$C$101,AD$6)))/Inputs!$C$101</f>
        <v>1.61111111111111</v>
      </c>
      <c r="AE142" s="16" t="n">
        <f aca="true">SUM(OFFSET(AE141,0,-(MIN(Inputs!$C$101,AE$6)-1),1,MIN(Inputs!$C$101,AE$6)))/Inputs!$C$101</f>
        <v>1.67777777777778</v>
      </c>
      <c r="AF142" s="16" t="n">
        <f aca="true">SUM(OFFSET(AF141,0,-(MIN(Inputs!$C$101,AF$6)-1),1,MIN(Inputs!$C$101,AF$6)))/Inputs!$C$101</f>
        <v>1.71111111111111</v>
      </c>
      <c r="AG142" s="16" t="n">
        <f aca="true">SUM(OFFSET(AG141,0,-(MIN(Inputs!$C$101,AG$6)-1),1,MIN(Inputs!$C$101,AG$6)))/Inputs!$C$101</f>
        <v>1.74444444444444</v>
      </c>
      <c r="AH142" s="16" t="n">
        <f aca="true">SUM(OFFSET(AH141,0,-(MIN(Inputs!$C$101,AH$6)-1),1,MIN(Inputs!$C$101,AH$6)))/Inputs!$C$101</f>
        <v>1.77777777777778</v>
      </c>
      <c r="AI142" s="16" t="n">
        <f aca="true">SUM(OFFSET(AI141,0,-(MIN(Inputs!$C$101,AI$6)-1),1,MIN(Inputs!$C$101,AI$6)))/Inputs!$C$101</f>
        <v>1.81111111111111</v>
      </c>
      <c r="AJ142" s="16" t="n">
        <f aca="true">SUM(OFFSET(AJ141,0,-(MIN(Inputs!$C$101,AJ$6)-1),1,MIN(Inputs!$C$101,AJ$6)))/Inputs!$C$101</f>
        <v>1.91111111111111</v>
      </c>
      <c r="AK142" s="16" t="n">
        <f aca="true">SUM(OFFSET(AK141,0,-(MIN(Inputs!$C$101,AK$6)-1),1,MIN(Inputs!$C$101,AK$6)))/Inputs!$C$101</f>
        <v>1.97777777777778</v>
      </c>
      <c r="AL142" s="16" t="n">
        <f aca="true">SUM(OFFSET(AL141,0,-(MIN(Inputs!$C$101,AL$6)-1),1,MIN(Inputs!$C$101,AL$6)))/Inputs!$C$101</f>
        <v>1.97777777777778</v>
      </c>
      <c r="AM142" s="16" t="n">
        <f aca="true">SUM(OFFSET(AM141,0,-(MIN(Inputs!$C$101,AM$6)-1),1,MIN(Inputs!$C$101,AM$6)))/Inputs!$C$101</f>
        <v>2.04444444444444</v>
      </c>
      <c r="AN142" s="16" t="n">
        <f aca="true">SUM(OFFSET(AN141,0,-(MIN(Inputs!$C$101,AN$6)-1),1,MIN(Inputs!$C$101,AN$6)))/Inputs!$C$101</f>
        <v>2.44444444444444</v>
      </c>
      <c r="AO142" s="16" t="n">
        <f aca="true">SUM(OFFSET(AO141,0,-(MIN(Inputs!$C$101,AO$6)-1),1,MIN(Inputs!$C$101,AO$6)))/Inputs!$C$101</f>
        <v>2.47777777777778</v>
      </c>
      <c r="AP142" s="16" t="n">
        <f aca="true">SUM(OFFSET(AP141,0,-(MIN(Inputs!$C$101,AP$6)-1),1,MIN(Inputs!$C$101,AP$6)))/Inputs!$C$101</f>
        <v>2.1</v>
      </c>
      <c r="AQ142" s="16" t="n">
        <f aca="true">SUM(OFFSET(AQ141,0,-(MIN(Inputs!$C$101,AQ$6)-1),1,MIN(Inputs!$C$101,AQ$6)))/Inputs!$C$101</f>
        <v>2.06666666666667</v>
      </c>
      <c r="AR142" s="16" t="n">
        <f aca="true">SUM(OFFSET(AR141,0,-(MIN(Inputs!$C$101,AR$6)-1),1,MIN(Inputs!$C$101,AR$6)))/Inputs!$C$101</f>
        <v>2.16666666666667</v>
      </c>
      <c r="AS142" s="16" t="n">
        <f aca="true">SUM(OFFSET(AS141,0,-(MIN(Inputs!$C$101,AS$6)-1),1,MIN(Inputs!$C$101,AS$6)))/Inputs!$C$101</f>
        <v>2.23333333333333</v>
      </c>
      <c r="AT142" s="16" t="n">
        <f aca="true">SUM(OFFSET(AT141,0,-(MIN(Inputs!$C$101,AT$6)-1),1,MIN(Inputs!$C$101,AT$6)))/Inputs!$C$101</f>
        <v>2.26666666666667</v>
      </c>
      <c r="AU142" s="16" t="n">
        <f aca="true">SUM(OFFSET(AU141,0,-(MIN(Inputs!$C$101,AU$6)-1),1,MIN(Inputs!$C$101,AU$6)))/Inputs!$C$101</f>
        <v>2.33333333333333</v>
      </c>
      <c r="AV142" s="16" t="n">
        <f aca="true">SUM(OFFSET(AV141,0,-(MIN(Inputs!$C$101,AV$6)-1),1,MIN(Inputs!$C$101,AV$6)))/Inputs!$C$101</f>
        <v>2.4</v>
      </c>
      <c r="AW142" s="16" t="n">
        <f aca="true">SUM(OFFSET(AW141,0,-(MIN(Inputs!$C$101,AW$6)-1),1,MIN(Inputs!$C$101,AW$6)))/Inputs!$C$101</f>
        <v>2.46666666666667</v>
      </c>
      <c r="AX142" s="16" t="n">
        <f aca="true">SUM(OFFSET(AX141,0,-(MIN(Inputs!$C$101,AX$6)-1),1,MIN(Inputs!$C$101,AX$6)))/Inputs!$C$101</f>
        <v>2.5</v>
      </c>
      <c r="AY142" s="16" t="n">
        <f aca="true">SUM(OFFSET(AY141,0,-(MIN(Inputs!$C$101,AY$6)-1),1,MIN(Inputs!$C$101,AY$6)))/Inputs!$C$101</f>
        <v>2.56666666666667</v>
      </c>
      <c r="AZ142" s="16" t="n">
        <f aca="true">SUM(OFFSET(AZ141,0,-(MIN(Inputs!$C$101,AZ$6)-1),1,MIN(Inputs!$C$101,AZ$6)))/Inputs!$C$101</f>
        <v>2.8</v>
      </c>
      <c r="BA142" s="16" t="n">
        <f aca="true">SUM(OFFSET(BA141,0,-(MIN(Inputs!$C$101,BA$6)-1),1,MIN(Inputs!$C$101,BA$6)))/Inputs!$C$101</f>
        <v>2.8</v>
      </c>
      <c r="BB142" s="16" t="n">
        <f aca="true">SUM(OFFSET(BB141,0,-(MIN(Inputs!$C$101,BB$6)-1),1,MIN(Inputs!$C$101,BB$6)))/Inputs!$C$101</f>
        <v>2.83333333333333</v>
      </c>
      <c r="BC142" s="16" t="n">
        <f aca="true">SUM(OFFSET(BC141,0,-(MIN(Inputs!$C$101,BC$6)-1),1,MIN(Inputs!$C$101,BC$6)))/Inputs!$C$101</f>
        <v>2.93333333333333</v>
      </c>
      <c r="BD142" s="16" t="n">
        <f aca="true">SUM(OFFSET(BD141,0,-(MIN(Inputs!$C$101,BD$6)-1),1,MIN(Inputs!$C$101,BD$6)))/Inputs!$C$101</f>
        <v>3</v>
      </c>
      <c r="BE142" s="16" t="n">
        <f aca="true">SUM(OFFSET(BE141,0,-(MIN(Inputs!$C$101,BE$6)-1),1,MIN(Inputs!$C$101,BE$6)))/Inputs!$C$101</f>
        <v>3</v>
      </c>
      <c r="BF142" s="16" t="n">
        <f aca="true">SUM(OFFSET(BF141,0,-(MIN(Inputs!$C$101,BF$6)-1),1,MIN(Inputs!$C$101,BF$6)))/Inputs!$C$101</f>
        <v>3.1</v>
      </c>
      <c r="BG142" s="16" t="n">
        <f aca="true">SUM(OFFSET(BG141,0,-(MIN(Inputs!$C$101,BG$6)-1),1,MIN(Inputs!$C$101,BG$6)))/Inputs!$C$101</f>
        <v>3.13333333333333</v>
      </c>
      <c r="BH142" s="16" t="n">
        <f aca="true">SUM(OFFSET(BH141,0,-(MIN(Inputs!$C$101,BH$6)-1),1,MIN(Inputs!$C$101,BH$6)))/Inputs!$C$101</f>
        <v>3.23333333333333</v>
      </c>
      <c r="BI142" s="16" t="n">
        <f aca="true">SUM(OFFSET(BI141,0,-(MIN(Inputs!$C$101,BI$6)-1),1,MIN(Inputs!$C$101,BI$6)))/Inputs!$C$101</f>
        <v>3.33333333333333</v>
      </c>
      <c r="BJ142" s="16" t="n">
        <f aca="true">SUM(OFFSET(BJ141,0,-(MIN(Inputs!$C$101,BJ$6)-1),1,MIN(Inputs!$C$101,BJ$6)))/Inputs!$C$101</f>
        <v>3.36666666666667</v>
      </c>
      <c r="BK142" s="16" t="n">
        <f aca="true">SUM(OFFSET(BK141,0,-(MIN(Inputs!$C$101,BK$6)-1),1,MIN(Inputs!$C$101,BK$6)))/Inputs!$C$101</f>
        <v>3.43333333333333</v>
      </c>
    </row>
    <row r="143" customFormat="false" ht="15" hidden="false" customHeight="true" outlineLevel="0" collapsed="false">
      <c r="A143" s="5" t="s">
        <v>760</v>
      </c>
      <c r="B143" s="4" t="s">
        <v>44</v>
      </c>
      <c r="D143" s="52" t="n">
        <f aca="false">D138-D142</f>
        <v>-9.32</v>
      </c>
      <c r="E143" s="52" t="n">
        <f aca="false">E138-E142</f>
        <v>-7.07</v>
      </c>
      <c r="F143" s="52" t="n">
        <f aca="false">F138-F142</f>
        <v>-17.9511111111111</v>
      </c>
      <c r="G143" s="52" t="n">
        <f aca="false">G138-G142</f>
        <v>-20.8159444444444</v>
      </c>
      <c r="H143" s="52" t="n">
        <f aca="false">H138-H142</f>
        <v>-19.0174444444444</v>
      </c>
      <c r="I143" s="52" t="n">
        <f aca="false">I138-I142</f>
        <v>-18.9689444444445</v>
      </c>
      <c r="J143" s="52" t="n">
        <f aca="false">J138-J142</f>
        <v>-19.5886944444445</v>
      </c>
      <c r="K143" s="52" t="n">
        <f aca="false">K138-K142</f>
        <v>-19.5396944444445</v>
      </c>
      <c r="L143" s="52" t="n">
        <f aca="false">L138-L142</f>
        <v>-21.3607993923611</v>
      </c>
      <c r="M143" s="52" t="n">
        <f aca="false">M138-M142</f>
        <v>-19.3140178706036</v>
      </c>
      <c r="N143" s="52" t="n">
        <f aca="false">N138-N142</f>
        <v>-18.7649344306618</v>
      </c>
      <c r="O143" s="52" t="n">
        <f aca="false">O138-O142</f>
        <v>-17.8011869826148</v>
      </c>
      <c r="P143" s="52" t="n">
        <f aca="false">P138-P142</f>
        <v>-45.5437646543447</v>
      </c>
      <c r="Q143" s="52" t="n">
        <f aca="false">Q138-Q142</f>
        <v>-39.333514338117</v>
      </c>
      <c r="R143" s="52" t="n">
        <f aca="false">R138-R142</f>
        <v>-37.0960644649155</v>
      </c>
      <c r="S143" s="52" t="n">
        <f aca="false">S138-S142</f>
        <v>-36.4818995062756</v>
      </c>
      <c r="T143" s="52" t="n">
        <f aca="false">T138-T142</f>
        <v>-34.1779373060182</v>
      </c>
      <c r="U143" s="52" t="n">
        <f aca="false">U138-U142</f>
        <v>-31.0416103150916</v>
      </c>
      <c r="V143" s="52" t="n">
        <f aca="false">V138-V142</f>
        <v>-38.3372207715317</v>
      </c>
      <c r="W143" s="52" t="n">
        <f aca="false">W138-W142</f>
        <v>-38.5126941352624</v>
      </c>
      <c r="X143" s="52" t="n">
        <f aca="false">X138-X142</f>
        <v>-28.1285991496681</v>
      </c>
      <c r="Y143" s="52" t="n">
        <f aca="false">Y138-Y142</f>
        <v>-19.476060868486</v>
      </c>
      <c r="Z143" s="52" t="n">
        <f aca="false">Z138-Z142</f>
        <v>-11.2305135391868</v>
      </c>
      <c r="AA143" s="52" t="n">
        <f aca="false">AA138-AA142</f>
        <v>-2.63946579915522</v>
      </c>
      <c r="AB143" s="52" t="n">
        <f aca="false">AB138-AB142</f>
        <v>-35.8162259882372</v>
      </c>
      <c r="AC143" s="52" t="n">
        <f aca="false">AC138-AC142</f>
        <v>-17.0321897873927</v>
      </c>
      <c r="AD143" s="52" t="n">
        <f aca="false">AD138-AD142</f>
        <v>-7.81340758609651</v>
      </c>
      <c r="AE143" s="52" t="n">
        <f aca="false">AE138-AE142</f>
        <v>-3.00717444987318</v>
      </c>
      <c r="AF143" s="52" t="n">
        <f aca="false">AF138-AF142</f>
        <v>11.0158727679866</v>
      </c>
      <c r="AG143" s="52" t="n">
        <f aca="false">AG138-AG142</f>
        <v>24.9408082073054</v>
      </c>
      <c r="AH143" s="52" t="n">
        <f aca="false">AH138-AH142</f>
        <v>13.5741335735336</v>
      </c>
      <c r="AI143" s="52" t="n">
        <f aca="false">AI138-AI142</f>
        <v>22.4722145533886</v>
      </c>
      <c r="AJ143" s="52" t="n">
        <f aca="false">AJ138-AJ142</f>
        <v>47.4140941725855</v>
      </c>
      <c r="AK143" s="52" t="n">
        <f aca="false">AK138-AK142</f>
        <v>68.9602529270102</v>
      </c>
      <c r="AL143" s="52" t="n">
        <f aca="false">AL138-AL142</f>
        <v>94.100791065849</v>
      </c>
      <c r="AM143" s="52" t="n">
        <f aca="false">AM138-AM142</f>
        <v>114.61822534155</v>
      </c>
      <c r="AN143" s="52" t="n">
        <f aca="false">AN138-AN142</f>
        <v>87.8433526507269</v>
      </c>
      <c r="AO143" s="52" t="n">
        <f aca="false">AO138-AO142</f>
        <v>127.383141085059</v>
      </c>
      <c r="AP143" s="52" t="n">
        <f aca="false">AP138-AP142</f>
        <v>155.094905027394</v>
      </c>
      <c r="AQ143" s="52" t="n">
        <f aca="false">AQ138-AQ142</f>
        <v>179.120092371485</v>
      </c>
      <c r="AR143" s="52" t="n">
        <f aca="false">AR138-AR142</f>
        <v>207.105804491407</v>
      </c>
      <c r="AS143" s="52" t="n">
        <f aca="false">AS138-AS142</f>
        <v>239.271011602623</v>
      </c>
      <c r="AT143" s="52" t="n">
        <f aca="false">AT138-AT142</f>
        <v>245.40348942035</v>
      </c>
      <c r="AU143" s="52" t="n">
        <f aca="false">AU138-AU142</f>
        <v>270.363155774026</v>
      </c>
      <c r="AV143" s="52" t="n">
        <f aca="false">AV138-AV142</f>
        <v>315.208453828341</v>
      </c>
      <c r="AW143" s="52" t="n">
        <f aca="false">AW138-AW142</f>
        <v>357.974921115484</v>
      </c>
      <c r="AX143" s="52" t="n">
        <f aca="false">AX138-AX142</f>
        <v>402.853030287175</v>
      </c>
      <c r="AY143" s="52" t="n">
        <f aca="false">AY138-AY142</f>
        <v>445.698923004361</v>
      </c>
      <c r="AZ143" s="52" t="n">
        <f aca="false">AZ138-AZ142</f>
        <v>433.91713124873</v>
      </c>
      <c r="BA143" s="52" t="n">
        <f aca="false">BA138-BA142</f>
        <v>498.406250573375</v>
      </c>
      <c r="BB143" s="52" t="n">
        <f aca="false">BB138-BB142</f>
        <v>550.1044724518</v>
      </c>
      <c r="BC143" s="52" t="n">
        <f aca="false">BC138-BC142</f>
        <v>593.608811695321</v>
      </c>
      <c r="BD143" s="52" t="n">
        <f aca="false">BD138-BD142</f>
        <v>647.243298014603</v>
      </c>
      <c r="BE143" s="52" t="n">
        <f aca="false">BE138-BE142</f>
        <v>705.570533455334</v>
      </c>
      <c r="BF143" s="52" t="n">
        <f aca="false">BF138-BF142</f>
        <v>730.451098583744</v>
      </c>
      <c r="BG143" s="52" t="n">
        <f aca="false">BG138-BG142</f>
        <v>781.274151343149</v>
      </c>
      <c r="BH143" s="52" t="n">
        <f aca="false">BH138-BH142</f>
        <v>850.974753667646</v>
      </c>
      <c r="BI143" s="52" t="n">
        <f aca="false">BI138-BI142</f>
        <v>916.574191824218</v>
      </c>
      <c r="BJ143" s="52" t="n">
        <f aca="false">BJ138-BJ142</f>
        <v>986.518950958007</v>
      </c>
      <c r="BK143" s="52" t="n">
        <f aca="false">BK138-BK142</f>
        <v>1054.48521973209</v>
      </c>
    </row>
    <row r="144" customFormat="false" ht="15" hidden="false" customHeight="true" outlineLevel="0" collapsed="false">
      <c r="A144" s="12" t="s">
        <v>776</v>
      </c>
      <c r="B144" s="4" t="s">
        <v>44</v>
      </c>
      <c r="D144" s="16" t="n">
        <f aca="false">IF(D$6=Inputs!$C$115,Inputs!$C$114,0)</f>
        <v>0</v>
      </c>
      <c r="E144" s="16" t="n">
        <f aca="false">IF(E$6=Inputs!$C$115,Inputs!$C$114,0)</f>
        <v>0</v>
      </c>
      <c r="F144" s="16" t="n">
        <f aca="false">IF(F$6=Inputs!$C$115,Inputs!$C$114,0)</f>
        <v>0</v>
      </c>
      <c r="G144" s="16" t="n">
        <f aca="false">IF(G$6=Inputs!$C$115,Inputs!$C$114,0)</f>
        <v>0</v>
      </c>
      <c r="H144" s="16" t="n">
        <f aca="false">IF(H$6=Inputs!$C$115,Inputs!$C$114,0)</f>
        <v>0</v>
      </c>
      <c r="I144" s="16" t="n">
        <f aca="false">IF(I$6=Inputs!$C$115,Inputs!$C$114,0)</f>
        <v>0</v>
      </c>
      <c r="J144" s="16" t="n">
        <f aca="false">IF(J$6=Inputs!$C$115,Inputs!$C$114,0)</f>
        <v>0</v>
      </c>
      <c r="K144" s="16" t="n">
        <f aca="false">IF(K$6=Inputs!$C$115,Inputs!$C$114,0)</f>
        <v>0</v>
      </c>
      <c r="L144" s="16" t="n">
        <f aca="false">IF(L$6=Inputs!$C$115,Inputs!$C$114,0)</f>
        <v>0</v>
      </c>
      <c r="M144" s="16" t="n">
        <f aca="false">IF(M$6=Inputs!$C$115,Inputs!$C$114,0)</f>
        <v>0</v>
      </c>
      <c r="N144" s="16" t="n">
        <f aca="false">IF(N$6=Inputs!$C$115,Inputs!$C$114,0)</f>
        <v>0</v>
      </c>
      <c r="O144" s="16" t="n">
        <f aca="false">IF(O$6=Inputs!$C$115,Inputs!$C$114,0)</f>
        <v>0</v>
      </c>
      <c r="P144" s="16" t="n">
        <f aca="false">IF(P$6=Inputs!$C$115,Inputs!$C$114,0)</f>
        <v>0</v>
      </c>
      <c r="Q144" s="16" t="n">
        <f aca="false">IF(Q$6=Inputs!$C$115,Inputs!$C$114,0)</f>
        <v>0</v>
      </c>
      <c r="R144" s="16" t="n">
        <f aca="false">IF(R$6=Inputs!$C$115,Inputs!$C$114,0)</f>
        <v>0</v>
      </c>
      <c r="S144" s="16" t="n">
        <f aca="false">IF(S$6=Inputs!$C$115,Inputs!$C$114,0)</f>
        <v>0</v>
      </c>
      <c r="T144" s="16" t="n">
        <f aca="false">IF(T$6=Inputs!$C$115,Inputs!$C$114,0)</f>
        <v>0</v>
      </c>
      <c r="U144" s="16" t="n">
        <f aca="false">IF(U$6=Inputs!$C$115,Inputs!$C$114,0)</f>
        <v>0</v>
      </c>
      <c r="V144" s="16" t="n">
        <f aca="false">IF(V$6=Inputs!$C$115,Inputs!$C$114,0)</f>
        <v>0</v>
      </c>
      <c r="W144" s="16" t="n">
        <f aca="false">IF(W$6=Inputs!$C$115,Inputs!$C$114,0)</f>
        <v>0</v>
      </c>
      <c r="X144" s="16" t="n">
        <f aca="false">IF(X$6=Inputs!$C$115,Inputs!$C$114,0)</f>
        <v>0</v>
      </c>
      <c r="Y144" s="16" t="n">
        <f aca="false">IF(Y$6=Inputs!$C$115,Inputs!$C$114,0)</f>
        <v>0</v>
      </c>
      <c r="Z144" s="16" t="n">
        <f aca="false">IF(Z$6=Inputs!$C$115,Inputs!$C$114,0)</f>
        <v>0</v>
      </c>
      <c r="AA144" s="16" t="n">
        <f aca="false">IF(AA$6=Inputs!$C$115,Inputs!$C$114,0)</f>
        <v>0</v>
      </c>
      <c r="AB144" s="16" t="n">
        <f aca="false">IF(AB$6=Inputs!$C$115,Inputs!$C$114,0)</f>
        <v>0</v>
      </c>
      <c r="AC144" s="16" t="n">
        <f aca="false">IF(AC$6=Inputs!$C$115,Inputs!$C$114,0)</f>
        <v>0</v>
      </c>
      <c r="AD144" s="16" t="n">
        <f aca="false">IF(AD$6=Inputs!$C$115,Inputs!$C$114,0)</f>
        <v>0</v>
      </c>
      <c r="AE144" s="16" t="n">
        <f aca="false">IF(AE$6=Inputs!$C$115,Inputs!$C$114,0)</f>
        <v>0</v>
      </c>
      <c r="AF144" s="16" t="n">
        <f aca="false">IF(AF$6=Inputs!$C$115,Inputs!$C$114,0)</f>
        <v>0</v>
      </c>
      <c r="AG144" s="16" t="n">
        <f aca="false">IF(AG$6=Inputs!$C$115,Inputs!$C$114,0)</f>
        <v>0</v>
      </c>
      <c r="AH144" s="16" t="n">
        <f aca="false">IF(AH$6=Inputs!$C$115,Inputs!$C$114,0)</f>
        <v>0</v>
      </c>
      <c r="AI144" s="16" t="n">
        <f aca="false">IF(AI$6=Inputs!$C$115,Inputs!$C$114,0)</f>
        <v>0</v>
      </c>
      <c r="AJ144" s="16" t="n">
        <f aca="false">IF(AJ$6=Inputs!$C$115,Inputs!$C$114,0)</f>
        <v>0</v>
      </c>
      <c r="AK144" s="16" t="n">
        <f aca="false">IF(AK$6=Inputs!$C$115,Inputs!$C$114,0)</f>
        <v>0</v>
      </c>
      <c r="AL144" s="16" t="n">
        <f aca="false">IF(AL$6=Inputs!$C$115,Inputs!$C$114,0)</f>
        <v>0</v>
      </c>
      <c r="AM144" s="16" t="n">
        <f aca="false">IF(AM$6=Inputs!$C$115,Inputs!$C$114,0)</f>
        <v>0</v>
      </c>
      <c r="AN144" s="16" t="n">
        <f aca="false">IF(AN$6=Inputs!$C$115,Inputs!$C$114,0)</f>
        <v>0</v>
      </c>
      <c r="AO144" s="16" t="n">
        <f aca="false">IF(AO$6=Inputs!$C$115,Inputs!$C$114,0)</f>
        <v>0</v>
      </c>
      <c r="AP144" s="16" t="n">
        <f aca="false">IF(AP$6=Inputs!$C$115,Inputs!$C$114,0)</f>
        <v>0</v>
      </c>
      <c r="AQ144" s="16" t="n">
        <f aca="false">IF(AQ$6=Inputs!$C$115,Inputs!$C$114,0)</f>
        <v>0</v>
      </c>
      <c r="AR144" s="16" t="n">
        <f aca="false">IF(AR$6=Inputs!$C$115,Inputs!$C$114,0)</f>
        <v>0</v>
      </c>
      <c r="AS144" s="16" t="n">
        <f aca="false">IF(AS$6=Inputs!$C$115,Inputs!$C$114,0)</f>
        <v>0</v>
      </c>
      <c r="AT144" s="16" t="n">
        <f aca="false">IF(AT$6=Inputs!$C$115,Inputs!$C$114,0)</f>
        <v>0</v>
      </c>
      <c r="AU144" s="16" t="n">
        <f aca="false">IF(AU$6=Inputs!$C$115,Inputs!$C$114,0)</f>
        <v>0</v>
      </c>
      <c r="AV144" s="16" t="n">
        <f aca="false">IF(AV$6=Inputs!$C$115,Inputs!$C$114,0)</f>
        <v>0</v>
      </c>
      <c r="AW144" s="16" t="n">
        <f aca="false">IF(AW$6=Inputs!$C$115,Inputs!$C$114,0)</f>
        <v>0</v>
      </c>
      <c r="AX144" s="16" t="n">
        <f aca="false">IF(AX$6=Inputs!$C$115,Inputs!$C$114,0)</f>
        <v>0</v>
      </c>
      <c r="AY144" s="16" t="n">
        <f aca="false">IF(AY$6=Inputs!$C$115,Inputs!$C$114,0)</f>
        <v>0</v>
      </c>
      <c r="AZ144" s="16" t="n">
        <f aca="false">IF(AZ$6=Inputs!$C$115,Inputs!$C$114,0)</f>
        <v>0</v>
      </c>
      <c r="BA144" s="16" t="n">
        <f aca="false">IF(BA$6=Inputs!$C$115,Inputs!$C$114,0)</f>
        <v>0</v>
      </c>
      <c r="BB144" s="16" t="n">
        <f aca="false">IF(BB$6=Inputs!$C$115,Inputs!$C$114,0)</f>
        <v>0</v>
      </c>
      <c r="BC144" s="16" t="n">
        <f aca="false">IF(BC$6=Inputs!$C$115,Inputs!$C$114,0)</f>
        <v>0</v>
      </c>
      <c r="BD144" s="16" t="n">
        <f aca="false">IF(BD$6=Inputs!$C$115,Inputs!$C$114,0)</f>
        <v>0</v>
      </c>
      <c r="BE144" s="16" t="n">
        <f aca="false">IF(BE$6=Inputs!$C$115,Inputs!$C$114,0)</f>
        <v>0</v>
      </c>
      <c r="BF144" s="16" t="n">
        <f aca="false">IF(BF$6=Inputs!$C$115,Inputs!$C$114,0)</f>
        <v>0</v>
      </c>
      <c r="BG144" s="16" t="n">
        <f aca="false">IF(BG$6=Inputs!$C$115,Inputs!$C$114,0)</f>
        <v>0</v>
      </c>
      <c r="BH144" s="16" t="n">
        <f aca="false">IF(BH$6=Inputs!$C$115,Inputs!$C$114,0)</f>
        <v>0</v>
      </c>
      <c r="BI144" s="16" t="n">
        <f aca="false">IF(BI$6=Inputs!$C$115,Inputs!$C$114,0)</f>
        <v>0</v>
      </c>
      <c r="BJ144" s="16" t="n">
        <f aca="false">IF(BJ$6=Inputs!$C$115,Inputs!$C$114,0)</f>
        <v>0</v>
      </c>
      <c r="BK144" s="16" t="n">
        <f aca="false">IF(BK$6=Inputs!$C$115,Inputs!$C$114,0)</f>
        <v>0</v>
      </c>
    </row>
    <row r="145" customFormat="false" ht="15" hidden="false" customHeight="true" outlineLevel="0" collapsed="false">
      <c r="A145" s="12" t="s">
        <v>777</v>
      </c>
      <c r="B145" s="4" t="s">
        <v>44</v>
      </c>
      <c r="D145" s="16" t="n">
        <f aca="false">IF(D$6=Inputs!$C$116,MIN(Inputs!$C$114,0+D144),0)</f>
        <v>0</v>
      </c>
      <c r="E145" s="16" t="n">
        <f aca="false">IF(E$6=Inputs!$C$116,MIN(Inputs!$C$114,D146+E144),0)</f>
        <v>0</v>
      </c>
      <c r="F145" s="16" t="n">
        <f aca="false">IF(F$6=Inputs!$C$116,MIN(Inputs!$C$114,E146+F144),0)</f>
        <v>0</v>
      </c>
      <c r="G145" s="16" t="n">
        <f aca="false">IF(G$6=Inputs!$C$116,MIN(Inputs!$C$114,F146+G144),0)</f>
        <v>0</v>
      </c>
      <c r="H145" s="16" t="n">
        <f aca="false">IF(H$6=Inputs!$C$116,MIN(Inputs!$C$114,G146+H144),0)</f>
        <v>0</v>
      </c>
      <c r="I145" s="16" t="n">
        <f aca="false">IF(I$6=Inputs!$C$116,MIN(Inputs!$C$114,H146+I144),0)</f>
        <v>0</v>
      </c>
      <c r="J145" s="16" t="n">
        <f aca="false">IF(J$6=Inputs!$C$116,MIN(Inputs!$C$114,I146+J144),0)</f>
        <v>0</v>
      </c>
      <c r="K145" s="16" t="n">
        <f aca="false">IF(K$6=Inputs!$C$116,MIN(Inputs!$C$114,J146+K144),0)</f>
        <v>0</v>
      </c>
      <c r="L145" s="16" t="n">
        <f aca="false">IF(L$6=Inputs!$C$116,MIN(Inputs!$C$114,K146+L144),0)</f>
        <v>0</v>
      </c>
      <c r="M145" s="16" t="n">
        <f aca="false">IF(M$6=Inputs!$C$116,MIN(Inputs!$C$114,L146+M144),0)</f>
        <v>0</v>
      </c>
      <c r="N145" s="16" t="n">
        <f aca="false">IF(N$6=Inputs!$C$116,MIN(Inputs!$C$114,M146+N144),0)</f>
        <v>0</v>
      </c>
      <c r="O145" s="16" t="n">
        <f aca="false">IF(O$6=Inputs!$C$116,MIN(Inputs!$C$114,N146+O144),0)</f>
        <v>0</v>
      </c>
      <c r="P145" s="16" t="n">
        <f aca="false">IF(P$6=Inputs!$C$116,MIN(Inputs!$C$114,O146+P144),0)</f>
        <v>0</v>
      </c>
      <c r="Q145" s="16" t="n">
        <f aca="false">IF(Q$6=Inputs!$C$116,MIN(Inputs!$C$114,P146+Q144),0)</f>
        <v>0</v>
      </c>
      <c r="R145" s="16" t="n">
        <f aca="false">IF(R$6=Inputs!$C$116,MIN(Inputs!$C$114,Q146+R144),0)</f>
        <v>0</v>
      </c>
      <c r="S145" s="16" t="n">
        <f aca="false">IF(S$6=Inputs!$C$116,MIN(Inputs!$C$114,R146+S144),0)</f>
        <v>0</v>
      </c>
      <c r="T145" s="16" t="n">
        <f aca="false">IF(T$6=Inputs!$C$116,MIN(Inputs!$C$114,S146+T144),0)</f>
        <v>0</v>
      </c>
      <c r="U145" s="16" t="n">
        <f aca="false">IF(U$6=Inputs!$C$116,MIN(Inputs!$C$114,T146+U144),0)</f>
        <v>0</v>
      </c>
      <c r="V145" s="16" t="n">
        <f aca="false">IF(V$6=Inputs!$C$116,MIN(Inputs!$C$114,U146+V144),0)</f>
        <v>0</v>
      </c>
      <c r="W145" s="16" t="n">
        <f aca="false">IF(W$6=Inputs!$C$116,MIN(Inputs!$C$114,V146+W144),0)</f>
        <v>0</v>
      </c>
      <c r="X145" s="16" t="n">
        <f aca="false">IF(X$6=Inputs!$C$116,MIN(Inputs!$C$114,W146+X144),0)</f>
        <v>0</v>
      </c>
      <c r="Y145" s="16" t="n">
        <f aca="false">IF(Y$6=Inputs!$C$116,MIN(Inputs!$C$114,X146+Y144),0)</f>
        <v>0</v>
      </c>
      <c r="Z145" s="16" t="n">
        <f aca="false">IF(Z$6=Inputs!$C$116,MIN(Inputs!$C$114,Y146+Z144),0)</f>
        <v>0</v>
      </c>
      <c r="AA145" s="16" t="n">
        <f aca="false">IF(AA$6=Inputs!$C$116,MIN(Inputs!$C$114,Z146+AA144),0)</f>
        <v>0</v>
      </c>
      <c r="AB145" s="16" t="n">
        <f aca="false">IF(AB$6=Inputs!$C$116,MIN(Inputs!$C$114,AA146+AB144),0)</f>
        <v>0</v>
      </c>
      <c r="AC145" s="16" t="n">
        <f aca="false">IF(AC$6=Inputs!$C$116,MIN(Inputs!$C$114,AB146+AC144),0)</f>
        <v>0</v>
      </c>
      <c r="AD145" s="16" t="n">
        <f aca="false">IF(AD$6=Inputs!$C$116,MIN(Inputs!$C$114,AC146+AD144),0)</f>
        <v>0</v>
      </c>
      <c r="AE145" s="16" t="n">
        <f aca="false">IF(AE$6=Inputs!$C$116,MIN(Inputs!$C$114,AD146+AE144),0)</f>
        <v>0</v>
      </c>
      <c r="AF145" s="16" t="n">
        <f aca="false">IF(AF$6=Inputs!$C$116,MIN(Inputs!$C$114,AE146+AF144),0)</f>
        <v>0</v>
      </c>
      <c r="AG145" s="16" t="n">
        <f aca="false">IF(AG$6=Inputs!$C$116,MIN(Inputs!$C$114,AF146+AG144),0)</f>
        <v>0</v>
      </c>
      <c r="AH145" s="16" t="n">
        <f aca="false">IF(AH$6=Inputs!$C$116,MIN(Inputs!$C$114,AG146+AH144),0)</f>
        <v>0</v>
      </c>
      <c r="AI145" s="16" t="n">
        <f aca="false">IF(AI$6=Inputs!$C$116,MIN(Inputs!$C$114,AH146+AI144),0)</f>
        <v>0</v>
      </c>
      <c r="AJ145" s="16" t="n">
        <f aca="false">IF(AJ$6=Inputs!$C$116,MIN(Inputs!$C$114,AI146+AJ144),0)</f>
        <v>0</v>
      </c>
      <c r="AK145" s="16" t="n">
        <f aca="false">IF(AK$6=Inputs!$C$116,MIN(Inputs!$C$114,AJ146+AK144),0)</f>
        <v>0</v>
      </c>
      <c r="AL145" s="16" t="n">
        <f aca="false">IF(AL$6=Inputs!$C$116,MIN(Inputs!$C$114,AK146+AL144),0)</f>
        <v>0</v>
      </c>
      <c r="AM145" s="16" t="n">
        <f aca="false">IF(AM$6=Inputs!$C$116,MIN(Inputs!$C$114,AL146+AM144),0)</f>
        <v>0</v>
      </c>
      <c r="AN145" s="16" t="n">
        <f aca="false">IF(AN$6=Inputs!$C$116,MIN(Inputs!$C$114,AM146+AN144),0)</f>
        <v>0</v>
      </c>
      <c r="AO145" s="16" t="n">
        <f aca="false">IF(AO$6=Inputs!$C$116,MIN(Inputs!$C$114,AN146+AO144),0)</f>
        <v>0</v>
      </c>
      <c r="AP145" s="16" t="n">
        <f aca="false">IF(AP$6=Inputs!$C$116,MIN(Inputs!$C$114,AO146+AP144),0)</f>
        <v>0</v>
      </c>
      <c r="AQ145" s="16" t="n">
        <f aca="false">IF(AQ$6=Inputs!$C$116,MIN(Inputs!$C$114,AP146+AQ144),0)</f>
        <v>0</v>
      </c>
      <c r="AR145" s="16" t="n">
        <f aca="false">IF(AR$6=Inputs!$C$116,MIN(Inputs!$C$114,AQ146+AR144),0)</f>
        <v>0</v>
      </c>
      <c r="AS145" s="16" t="n">
        <f aca="false">IF(AS$6=Inputs!$C$116,MIN(Inputs!$C$114,AR146+AS144),0)</f>
        <v>0</v>
      </c>
      <c r="AT145" s="16" t="n">
        <f aca="false">IF(AT$6=Inputs!$C$116,MIN(Inputs!$C$114,AS146+AT144),0)</f>
        <v>0</v>
      </c>
      <c r="AU145" s="16" t="n">
        <f aca="false">IF(AU$6=Inputs!$C$116,MIN(Inputs!$C$114,AT146+AU144),0)</f>
        <v>0</v>
      </c>
      <c r="AV145" s="16" t="n">
        <f aca="false">IF(AV$6=Inputs!$C$116,MIN(Inputs!$C$114,AU146+AV144),0)</f>
        <v>0</v>
      </c>
      <c r="AW145" s="16" t="n">
        <f aca="false">IF(AW$6=Inputs!$C$116,MIN(Inputs!$C$114,AV146+AW144),0)</f>
        <v>0</v>
      </c>
      <c r="AX145" s="16" t="n">
        <f aca="false">IF(AX$6=Inputs!$C$116,MIN(Inputs!$C$114,AW146+AX144),0)</f>
        <v>0</v>
      </c>
      <c r="AY145" s="16" t="n">
        <f aca="false">IF(AY$6=Inputs!$C$116,MIN(Inputs!$C$114,AX146+AY144),0)</f>
        <v>0</v>
      </c>
      <c r="AZ145" s="16" t="n">
        <f aca="false">IF(AZ$6=Inputs!$C$116,MIN(Inputs!$C$114,AY146+AZ144),0)</f>
        <v>0</v>
      </c>
      <c r="BA145" s="16" t="n">
        <f aca="false">IF(BA$6=Inputs!$C$116,MIN(Inputs!$C$114,AZ146+BA144),0)</f>
        <v>0</v>
      </c>
      <c r="BB145" s="16" t="n">
        <f aca="false">IF(BB$6=Inputs!$C$116,MIN(Inputs!$C$114,BA146+BB144),0)</f>
        <v>0</v>
      </c>
      <c r="BC145" s="16" t="n">
        <f aca="false">IF(BC$6=Inputs!$C$116,MIN(Inputs!$C$114,BB146+BC144),0)</f>
        <v>0</v>
      </c>
      <c r="BD145" s="16" t="n">
        <f aca="false">IF(BD$6=Inputs!$C$116,MIN(Inputs!$C$114,BC146+BD144),0)</f>
        <v>0</v>
      </c>
      <c r="BE145" s="16" t="n">
        <f aca="false">IF(BE$6=Inputs!$C$116,MIN(Inputs!$C$114,BD146+BE144),0)</f>
        <v>0</v>
      </c>
      <c r="BF145" s="16" t="n">
        <f aca="false">IF(BF$6=Inputs!$C$116,MIN(Inputs!$C$114,BE146+BF144),0)</f>
        <v>0</v>
      </c>
      <c r="BG145" s="16" t="n">
        <f aca="false">IF(BG$6=Inputs!$C$116,MIN(Inputs!$C$114,BF146+BG144),0)</f>
        <v>0</v>
      </c>
      <c r="BH145" s="16" t="n">
        <f aca="false">IF(BH$6=Inputs!$C$116,MIN(Inputs!$C$114,BG146+BH144),0)</f>
        <v>0</v>
      </c>
      <c r="BI145" s="16" t="n">
        <f aca="false">IF(BI$6=Inputs!$C$116,MIN(Inputs!$C$114,BH146+BI144),0)</f>
        <v>0</v>
      </c>
      <c r="BJ145" s="16" t="n">
        <f aca="false">IF(BJ$6=Inputs!$C$116,MIN(Inputs!$C$114,BI146+BJ144),0)</f>
        <v>0</v>
      </c>
      <c r="BK145" s="16" t="n">
        <f aca="false">IF(BK$6=Inputs!$C$116,MIN(Inputs!$C$114,BJ146+BK144),0)</f>
        <v>0</v>
      </c>
    </row>
    <row r="146" customFormat="false" ht="15" hidden="false" customHeight="true" outlineLevel="0" collapsed="false">
      <c r="A146" s="12" t="s">
        <v>2000</v>
      </c>
      <c r="B146" s="4" t="s">
        <v>44</v>
      </c>
      <c r="D146" s="16" t="n">
        <f aca="false">0+D144-D145</f>
        <v>0</v>
      </c>
      <c r="E146" s="16" t="n">
        <f aca="false">D146+E144-E145</f>
        <v>0</v>
      </c>
      <c r="F146" s="16" t="n">
        <f aca="false">E146+F144-F145</f>
        <v>0</v>
      </c>
      <c r="G146" s="16" t="n">
        <f aca="false">F146+G144-G145</f>
        <v>0</v>
      </c>
      <c r="H146" s="16" t="n">
        <f aca="false">G146+H144-H145</f>
        <v>0</v>
      </c>
      <c r="I146" s="16" t="n">
        <f aca="false">H146+I144-I145</f>
        <v>0</v>
      </c>
      <c r="J146" s="16" t="n">
        <f aca="false">I146+J144-J145</f>
        <v>0</v>
      </c>
      <c r="K146" s="16" t="n">
        <f aca="false">J146+K144-K145</f>
        <v>0</v>
      </c>
      <c r="L146" s="16" t="n">
        <f aca="false">K146+L144-L145</f>
        <v>0</v>
      </c>
      <c r="M146" s="16" t="n">
        <f aca="false">L146+M144-M145</f>
        <v>0</v>
      </c>
      <c r="N146" s="16" t="n">
        <f aca="false">M146+N144-N145</f>
        <v>0</v>
      </c>
      <c r="O146" s="16" t="n">
        <f aca="false">N146+O144-O145</f>
        <v>0</v>
      </c>
      <c r="P146" s="16" t="n">
        <f aca="false">O146+P144-P145</f>
        <v>0</v>
      </c>
      <c r="Q146" s="16" t="n">
        <f aca="false">P146+Q144-Q145</f>
        <v>0</v>
      </c>
      <c r="R146" s="16" t="n">
        <f aca="false">Q146+R144-R145</f>
        <v>0</v>
      </c>
      <c r="S146" s="16" t="n">
        <f aca="false">R146+S144-S145</f>
        <v>0</v>
      </c>
      <c r="T146" s="16" t="n">
        <f aca="false">S146+T144-T145</f>
        <v>0</v>
      </c>
      <c r="U146" s="16" t="n">
        <f aca="false">T146+U144-U145</f>
        <v>0</v>
      </c>
      <c r="V146" s="16" t="n">
        <f aca="false">U146+V144-V145</f>
        <v>0</v>
      </c>
      <c r="W146" s="16" t="n">
        <f aca="false">V146+W144-W145</f>
        <v>0</v>
      </c>
      <c r="X146" s="16" t="n">
        <f aca="false">W146+X144-X145</f>
        <v>0</v>
      </c>
      <c r="Y146" s="16" t="n">
        <f aca="false">X146+Y144-Y145</f>
        <v>0</v>
      </c>
      <c r="Z146" s="16" t="n">
        <f aca="false">Y146+Z144-Z145</f>
        <v>0</v>
      </c>
      <c r="AA146" s="16" t="n">
        <f aca="false">Z146+AA144-AA145</f>
        <v>0</v>
      </c>
      <c r="AB146" s="16" t="n">
        <f aca="false">AA146+AB144-AB145</f>
        <v>0</v>
      </c>
      <c r="AC146" s="16" t="n">
        <f aca="false">AB146+AC144-AC145</f>
        <v>0</v>
      </c>
      <c r="AD146" s="16" t="n">
        <f aca="false">AC146+AD144-AD145</f>
        <v>0</v>
      </c>
      <c r="AE146" s="16" t="n">
        <f aca="false">AD146+AE144-AE145</f>
        <v>0</v>
      </c>
      <c r="AF146" s="16" t="n">
        <f aca="false">AE146+AF144-AF145</f>
        <v>0</v>
      </c>
      <c r="AG146" s="16" t="n">
        <f aca="false">AF146+AG144-AG145</f>
        <v>0</v>
      </c>
      <c r="AH146" s="16" t="n">
        <f aca="false">AG146+AH144-AH145</f>
        <v>0</v>
      </c>
      <c r="AI146" s="16" t="n">
        <f aca="false">AH146+AI144-AI145</f>
        <v>0</v>
      </c>
      <c r="AJ146" s="16" t="n">
        <f aca="false">AI146+AJ144-AJ145</f>
        <v>0</v>
      </c>
      <c r="AK146" s="16" t="n">
        <f aca="false">AJ146+AK144-AK145</f>
        <v>0</v>
      </c>
      <c r="AL146" s="16" t="n">
        <f aca="false">AK146+AL144-AL145</f>
        <v>0</v>
      </c>
      <c r="AM146" s="16" t="n">
        <f aca="false">AL146+AM144-AM145</f>
        <v>0</v>
      </c>
      <c r="AN146" s="16" t="n">
        <f aca="false">AM146+AN144-AN145</f>
        <v>0</v>
      </c>
      <c r="AO146" s="16" t="n">
        <f aca="false">AN146+AO144-AO145</f>
        <v>0</v>
      </c>
      <c r="AP146" s="16" t="n">
        <f aca="false">AO146+AP144-AP145</f>
        <v>0</v>
      </c>
      <c r="AQ146" s="16" t="n">
        <f aca="false">AP146+AQ144-AQ145</f>
        <v>0</v>
      </c>
      <c r="AR146" s="16" t="n">
        <f aca="false">AQ146+AR144-AR145</f>
        <v>0</v>
      </c>
      <c r="AS146" s="16" t="n">
        <f aca="false">AR146+AS144-AS145</f>
        <v>0</v>
      </c>
      <c r="AT146" s="16" t="n">
        <f aca="false">AS146+AT144-AT145</f>
        <v>0</v>
      </c>
      <c r="AU146" s="16" t="n">
        <f aca="false">AT146+AU144-AU145</f>
        <v>0</v>
      </c>
      <c r="AV146" s="16" t="n">
        <f aca="false">AU146+AV144-AV145</f>
        <v>0</v>
      </c>
      <c r="AW146" s="16" t="n">
        <f aca="false">AV146+AW144-AW145</f>
        <v>0</v>
      </c>
      <c r="AX146" s="16" t="n">
        <f aca="false">AW146+AX144-AX145</f>
        <v>0</v>
      </c>
      <c r="AY146" s="16" t="n">
        <f aca="false">AX146+AY144-AY145</f>
        <v>0</v>
      </c>
      <c r="AZ146" s="16" t="n">
        <f aca="false">AY146+AZ144-AZ145</f>
        <v>0</v>
      </c>
      <c r="BA146" s="16" t="n">
        <f aca="false">AZ146+BA144-BA145</f>
        <v>0</v>
      </c>
      <c r="BB146" s="16" t="n">
        <f aca="false">BA146+BB144-BB145</f>
        <v>0</v>
      </c>
      <c r="BC146" s="16" t="n">
        <f aca="false">BB146+BC144-BC145</f>
        <v>0</v>
      </c>
      <c r="BD146" s="16" t="n">
        <f aca="false">BC146+BD144-BD145</f>
        <v>0</v>
      </c>
      <c r="BE146" s="16" t="n">
        <f aca="false">BD146+BE144-BE145</f>
        <v>0</v>
      </c>
      <c r="BF146" s="16" t="n">
        <f aca="false">BE146+BF144-BF145</f>
        <v>0</v>
      </c>
      <c r="BG146" s="16" t="n">
        <f aca="false">BF146+BG144-BG145</f>
        <v>0</v>
      </c>
      <c r="BH146" s="16" t="n">
        <f aca="false">BG146+BH144-BH145</f>
        <v>0</v>
      </c>
      <c r="BI146" s="16" t="n">
        <f aca="false">BH146+BI144-BI145</f>
        <v>0</v>
      </c>
      <c r="BJ146" s="16" t="n">
        <f aca="false">BI146+BJ144-BJ145</f>
        <v>0</v>
      </c>
      <c r="BK146" s="16" t="n">
        <f aca="false">BJ146+BK144-BK145</f>
        <v>0</v>
      </c>
    </row>
    <row r="147" customFormat="false" ht="15" hidden="false" customHeight="true" outlineLevel="0" collapsed="false">
      <c r="A147" s="12" t="s">
        <v>2001</v>
      </c>
      <c r="B147" s="4" t="s">
        <v>44</v>
      </c>
      <c r="D147" s="16" t="n">
        <f aca="false">0*Inputs!$C$117/12</f>
        <v>0</v>
      </c>
      <c r="E147" s="16" t="n">
        <f aca="false">D146*Inputs!$C$117/12</f>
        <v>0</v>
      </c>
      <c r="F147" s="16" t="n">
        <f aca="false">E146*Inputs!$C$117/12</f>
        <v>0</v>
      </c>
      <c r="G147" s="16" t="n">
        <f aca="false">F146*Inputs!$C$117/12</f>
        <v>0</v>
      </c>
      <c r="H147" s="16" t="n">
        <f aca="false">G146*Inputs!$C$117/12</f>
        <v>0</v>
      </c>
      <c r="I147" s="16" t="n">
        <f aca="false">H146*Inputs!$C$117/12</f>
        <v>0</v>
      </c>
      <c r="J147" s="16" t="n">
        <f aca="false">I146*Inputs!$C$117/12</f>
        <v>0</v>
      </c>
      <c r="K147" s="16" t="n">
        <f aca="false">J146*Inputs!$C$117/12</f>
        <v>0</v>
      </c>
      <c r="L147" s="16" t="n">
        <f aca="false">K146*Inputs!$C$117/12</f>
        <v>0</v>
      </c>
      <c r="M147" s="16" t="n">
        <f aca="false">L146*Inputs!$C$117/12</f>
        <v>0</v>
      </c>
      <c r="N147" s="16" t="n">
        <f aca="false">M146*Inputs!$C$117/12</f>
        <v>0</v>
      </c>
      <c r="O147" s="16" t="n">
        <f aca="false">N146*Inputs!$C$117/12</f>
        <v>0</v>
      </c>
      <c r="P147" s="16" t="n">
        <f aca="false">O146*Inputs!$C$117/12</f>
        <v>0</v>
      </c>
      <c r="Q147" s="16" t="n">
        <f aca="false">P146*Inputs!$C$117/12</f>
        <v>0</v>
      </c>
      <c r="R147" s="16" t="n">
        <f aca="false">Q146*Inputs!$C$117/12</f>
        <v>0</v>
      </c>
      <c r="S147" s="16" t="n">
        <f aca="false">R146*Inputs!$C$117/12</f>
        <v>0</v>
      </c>
      <c r="T147" s="16" t="n">
        <f aca="false">S146*Inputs!$C$117/12</f>
        <v>0</v>
      </c>
      <c r="U147" s="16" t="n">
        <f aca="false">T146*Inputs!$C$117/12</f>
        <v>0</v>
      </c>
      <c r="V147" s="16" t="n">
        <f aca="false">U146*Inputs!$C$117/12</f>
        <v>0</v>
      </c>
      <c r="W147" s="16" t="n">
        <f aca="false">V146*Inputs!$C$117/12</f>
        <v>0</v>
      </c>
      <c r="X147" s="16" t="n">
        <f aca="false">W146*Inputs!$C$117/12</f>
        <v>0</v>
      </c>
      <c r="Y147" s="16" t="n">
        <f aca="false">X146*Inputs!$C$117/12</f>
        <v>0</v>
      </c>
      <c r="Z147" s="16" t="n">
        <f aca="false">Y146*Inputs!$C$117/12</f>
        <v>0</v>
      </c>
      <c r="AA147" s="16" t="n">
        <f aca="false">Z146*Inputs!$C$117/12</f>
        <v>0</v>
      </c>
      <c r="AB147" s="16" t="n">
        <f aca="false">AA146*Inputs!$C$117/12</f>
        <v>0</v>
      </c>
      <c r="AC147" s="16" t="n">
        <f aca="false">AB146*Inputs!$C$117/12</f>
        <v>0</v>
      </c>
      <c r="AD147" s="16" t="n">
        <f aca="false">AC146*Inputs!$C$117/12</f>
        <v>0</v>
      </c>
      <c r="AE147" s="16" t="n">
        <f aca="false">AD146*Inputs!$C$117/12</f>
        <v>0</v>
      </c>
      <c r="AF147" s="16" t="n">
        <f aca="false">AE146*Inputs!$C$117/12</f>
        <v>0</v>
      </c>
      <c r="AG147" s="16" t="n">
        <f aca="false">AF146*Inputs!$C$117/12</f>
        <v>0</v>
      </c>
      <c r="AH147" s="16" t="n">
        <f aca="false">AG146*Inputs!$C$117/12</f>
        <v>0</v>
      </c>
      <c r="AI147" s="16" t="n">
        <f aca="false">AH146*Inputs!$C$117/12</f>
        <v>0</v>
      </c>
      <c r="AJ147" s="16" t="n">
        <f aca="false">AI146*Inputs!$C$117/12</f>
        <v>0</v>
      </c>
      <c r="AK147" s="16" t="n">
        <f aca="false">AJ146*Inputs!$C$117/12</f>
        <v>0</v>
      </c>
      <c r="AL147" s="16" t="n">
        <f aca="false">AK146*Inputs!$C$117/12</f>
        <v>0</v>
      </c>
      <c r="AM147" s="16" t="n">
        <f aca="false">AL146*Inputs!$C$117/12</f>
        <v>0</v>
      </c>
      <c r="AN147" s="16" t="n">
        <f aca="false">AM146*Inputs!$C$117/12</f>
        <v>0</v>
      </c>
      <c r="AO147" s="16" t="n">
        <f aca="false">AN146*Inputs!$C$117/12</f>
        <v>0</v>
      </c>
      <c r="AP147" s="16" t="n">
        <f aca="false">AO146*Inputs!$C$117/12</f>
        <v>0</v>
      </c>
      <c r="AQ147" s="16" t="n">
        <f aca="false">AP146*Inputs!$C$117/12</f>
        <v>0</v>
      </c>
      <c r="AR147" s="16" t="n">
        <f aca="false">AQ146*Inputs!$C$117/12</f>
        <v>0</v>
      </c>
      <c r="AS147" s="16" t="n">
        <f aca="false">AR146*Inputs!$C$117/12</f>
        <v>0</v>
      </c>
      <c r="AT147" s="16" t="n">
        <f aca="false">AS146*Inputs!$C$117/12</f>
        <v>0</v>
      </c>
      <c r="AU147" s="16" t="n">
        <f aca="false">AT146*Inputs!$C$117/12</f>
        <v>0</v>
      </c>
      <c r="AV147" s="16" t="n">
        <f aca="false">AU146*Inputs!$C$117/12</f>
        <v>0</v>
      </c>
      <c r="AW147" s="16" t="n">
        <f aca="false">AV146*Inputs!$C$117/12</f>
        <v>0</v>
      </c>
      <c r="AX147" s="16" t="n">
        <f aca="false">AW146*Inputs!$C$117/12</f>
        <v>0</v>
      </c>
      <c r="AY147" s="16" t="n">
        <f aca="false">AX146*Inputs!$C$117/12</f>
        <v>0</v>
      </c>
      <c r="AZ147" s="16" t="n">
        <f aca="false">AY146*Inputs!$C$117/12</f>
        <v>0</v>
      </c>
      <c r="BA147" s="16" t="n">
        <f aca="false">AZ146*Inputs!$C$117/12</f>
        <v>0</v>
      </c>
      <c r="BB147" s="16" t="n">
        <f aca="false">BA146*Inputs!$C$117/12</f>
        <v>0</v>
      </c>
      <c r="BC147" s="16" t="n">
        <f aca="false">BB146*Inputs!$C$117/12</f>
        <v>0</v>
      </c>
      <c r="BD147" s="16" t="n">
        <f aca="false">BC146*Inputs!$C$117/12</f>
        <v>0</v>
      </c>
      <c r="BE147" s="16" t="n">
        <f aca="false">BD146*Inputs!$C$117/12</f>
        <v>0</v>
      </c>
      <c r="BF147" s="16" t="n">
        <f aca="false">BE146*Inputs!$C$117/12</f>
        <v>0</v>
      </c>
      <c r="BG147" s="16" t="n">
        <f aca="false">BF146*Inputs!$C$117/12</f>
        <v>0</v>
      </c>
      <c r="BH147" s="16" t="n">
        <f aca="false">BG146*Inputs!$C$117/12</f>
        <v>0</v>
      </c>
      <c r="BI147" s="16" t="n">
        <f aca="false">BH146*Inputs!$C$117/12</f>
        <v>0</v>
      </c>
      <c r="BJ147" s="16" t="n">
        <f aca="false">BI146*Inputs!$C$117/12</f>
        <v>0</v>
      </c>
      <c r="BK147" s="16" t="n">
        <f aca="false">BJ146*Inputs!$C$117/12</f>
        <v>0</v>
      </c>
    </row>
    <row r="148" customFormat="false" ht="15" hidden="false" customHeight="true" outlineLevel="0" collapsed="false">
      <c r="A148" s="12" t="s">
        <v>2002</v>
      </c>
      <c r="B148" s="4" t="s">
        <v>44</v>
      </c>
      <c r="D148" s="16" t="n">
        <f aca="false">MAX(0,0)*Inputs!$C$105/12</f>
        <v>0</v>
      </c>
      <c r="E148" s="16" t="n">
        <f aca="false">MAX(0,D165)*Inputs!$C$105/12</f>
        <v>0</v>
      </c>
      <c r="F148" s="16" t="n">
        <f aca="false">MAX(0,E165)*Inputs!$C$105/12</f>
        <v>0</v>
      </c>
      <c r="G148" s="16" t="n">
        <f aca="false">MAX(0,F165)*Inputs!$C$105/12</f>
        <v>0</v>
      </c>
      <c r="H148" s="16" t="n">
        <f aca="false">MAX(0,G165)*Inputs!$C$105/12</f>
        <v>0</v>
      </c>
      <c r="I148" s="16" t="n">
        <f aca="false">MAX(0,H165)*Inputs!$C$105/12</f>
        <v>0</v>
      </c>
      <c r="J148" s="16" t="n">
        <f aca="false">MAX(0,I165)*Inputs!$C$105/12</f>
        <v>0</v>
      </c>
      <c r="K148" s="16" t="n">
        <f aca="false">MAX(0,J165)*Inputs!$C$105/12</f>
        <v>0</v>
      </c>
      <c r="L148" s="16" t="n">
        <f aca="false">MAX(0,K165)*Inputs!$C$105/12</f>
        <v>0</v>
      </c>
      <c r="M148" s="16" t="n">
        <f aca="false">MAX(0,L165)*Inputs!$C$105/12</f>
        <v>0</v>
      </c>
      <c r="N148" s="16" t="n">
        <f aca="false">MAX(0,M165)*Inputs!$C$105/12</f>
        <v>0</v>
      </c>
      <c r="O148" s="16" t="n">
        <f aca="false">MAX(0,N165)*Inputs!$C$105/12</f>
        <v>0</v>
      </c>
      <c r="P148" s="16" t="n">
        <f aca="false">MAX(0,O165)*Inputs!$C$105/12</f>
        <v>0</v>
      </c>
      <c r="Q148" s="16" t="n">
        <f aca="false">MAX(0,P165)*Inputs!$C$105/12</f>
        <v>0</v>
      </c>
      <c r="R148" s="16" t="n">
        <f aca="false">MAX(0,Q165)*Inputs!$C$105/12</f>
        <v>0</v>
      </c>
      <c r="S148" s="16" t="n">
        <f aca="false">MAX(0,R165)*Inputs!$C$105/12</f>
        <v>0</v>
      </c>
      <c r="T148" s="16" t="n">
        <f aca="false">MAX(0,S165)*Inputs!$C$105/12</f>
        <v>0</v>
      </c>
      <c r="U148" s="16" t="n">
        <f aca="false">MAX(0,T165)*Inputs!$C$105/12</f>
        <v>0</v>
      </c>
      <c r="V148" s="16" t="n">
        <f aca="false">MAX(0,U165)*Inputs!$C$105/12</f>
        <v>0</v>
      </c>
      <c r="W148" s="16" t="n">
        <f aca="false">MAX(0,V165)*Inputs!$C$105/12</f>
        <v>0</v>
      </c>
      <c r="X148" s="16" t="n">
        <f aca="false">MAX(0,W165)*Inputs!$C$105/12</f>
        <v>0</v>
      </c>
      <c r="Y148" s="16" t="n">
        <f aca="false">MAX(0,X165)*Inputs!$C$105/12</f>
        <v>0</v>
      </c>
      <c r="Z148" s="16" t="n">
        <f aca="false">MAX(0,Y165)*Inputs!$C$105/12</f>
        <v>0</v>
      </c>
      <c r="AA148" s="16" t="n">
        <f aca="false">MAX(0,Z165)*Inputs!$C$105/12</f>
        <v>0</v>
      </c>
      <c r="AB148" s="16" t="n">
        <f aca="false">MAX(0,AA165)*Inputs!$C$105/12</f>
        <v>0</v>
      </c>
      <c r="AC148" s="16" t="n">
        <f aca="false">MAX(0,AB165)*Inputs!$C$105/12</f>
        <v>0</v>
      </c>
      <c r="AD148" s="16" t="n">
        <f aca="false">MAX(0,AC165)*Inputs!$C$105/12</f>
        <v>0</v>
      </c>
      <c r="AE148" s="16" t="n">
        <f aca="false">MAX(0,AD165)*Inputs!$C$105/12</f>
        <v>0</v>
      </c>
      <c r="AF148" s="16" t="n">
        <f aca="false">MAX(0,AE165)*Inputs!$C$105/12</f>
        <v>0</v>
      </c>
      <c r="AG148" s="16" t="n">
        <f aca="false">MAX(0,AF165)*Inputs!$C$105/12</f>
        <v>0</v>
      </c>
      <c r="AH148" s="16" t="n">
        <f aca="false">MAX(0,AG165)*Inputs!$C$105/12</f>
        <v>0</v>
      </c>
      <c r="AI148" s="16" t="n">
        <f aca="false">MAX(0,AH165)*Inputs!$C$105/12</f>
        <v>0</v>
      </c>
      <c r="AJ148" s="16" t="n">
        <f aca="false">MAX(0,AI165)*Inputs!$C$105/12</f>
        <v>0</v>
      </c>
      <c r="AK148" s="16" t="n">
        <f aca="false">MAX(0,AJ165)*Inputs!$C$105/12</f>
        <v>0</v>
      </c>
      <c r="AL148" s="16" t="n">
        <f aca="false">MAX(0,AK165)*Inputs!$C$105/12</f>
        <v>0</v>
      </c>
      <c r="AM148" s="16" t="n">
        <f aca="false">MAX(0,AL165)*Inputs!$C$105/12</f>
        <v>0</v>
      </c>
      <c r="AN148" s="16" t="n">
        <f aca="false">MAX(0,AM165)*Inputs!$C$105/12</f>
        <v>0</v>
      </c>
      <c r="AO148" s="16" t="n">
        <f aca="false">MAX(0,AN165)*Inputs!$C$105/12</f>
        <v>0</v>
      </c>
      <c r="AP148" s="16" t="n">
        <f aca="false">MAX(0,AO165)*Inputs!$C$105/12</f>
        <v>0</v>
      </c>
      <c r="AQ148" s="16" t="n">
        <f aca="false">MAX(0,AP165)*Inputs!$C$105/12</f>
        <v>0</v>
      </c>
      <c r="AR148" s="16" t="n">
        <f aca="false">MAX(0,AQ165)*Inputs!$C$105/12</f>
        <v>0</v>
      </c>
      <c r="AS148" s="16" t="n">
        <f aca="false">MAX(0,AR165)*Inputs!$C$105/12</f>
        <v>0</v>
      </c>
      <c r="AT148" s="16" t="n">
        <f aca="false">MAX(0,AS165)*Inputs!$C$105/12</f>
        <v>0</v>
      </c>
      <c r="AU148" s="16" t="n">
        <f aca="false">MAX(0,AT165)*Inputs!$C$105/12</f>
        <v>0</v>
      </c>
      <c r="AV148" s="16" t="n">
        <f aca="false">MAX(0,AU165)*Inputs!$C$105/12</f>
        <v>0</v>
      </c>
      <c r="AW148" s="16" t="n">
        <f aca="false">MAX(0,AV165)*Inputs!$C$105/12</f>
        <v>0</v>
      </c>
      <c r="AX148" s="16" t="n">
        <f aca="false">MAX(0,AW165)*Inputs!$C$105/12</f>
        <v>0</v>
      </c>
      <c r="AY148" s="16" t="n">
        <f aca="false">MAX(0,AX165)*Inputs!$C$105/12</f>
        <v>0</v>
      </c>
      <c r="AZ148" s="16" t="n">
        <f aca="false">MAX(0,AY165)*Inputs!$C$105/12</f>
        <v>0</v>
      </c>
      <c r="BA148" s="16" t="n">
        <f aca="false">MAX(0,AZ165)*Inputs!$C$105/12</f>
        <v>0</v>
      </c>
      <c r="BB148" s="16" t="n">
        <f aca="false">MAX(0,BA165)*Inputs!$C$105/12</f>
        <v>0</v>
      </c>
      <c r="BC148" s="16" t="n">
        <f aca="false">MAX(0,BB165)*Inputs!$C$105/12</f>
        <v>0</v>
      </c>
      <c r="BD148" s="16" t="n">
        <f aca="false">MAX(0,BC165)*Inputs!$C$105/12</f>
        <v>0</v>
      </c>
      <c r="BE148" s="16" t="n">
        <f aca="false">MAX(0,BD165)*Inputs!$C$105/12</f>
        <v>0</v>
      </c>
      <c r="BF148" s="16" t="n">
        <f aca="false">MAX(0,BE165)*Inputs!$C$105/12</f>
        <v>0</v>
      </c>
      <c r="BG148" s="16" t="n">
        <f aca="false">MAX(0,BF165)*Inputs!$C$105/12</f>
        <v>0</v>
      </c>
      <c r="BH148" s="16" t="n">
        <f aca="false">MAX(0,BG165)*Inputs!$C$105/12</f>
        <v>0</v>
      </c>
      <c r="BI148" s="16" t="n">
        <f aca="false">MAX(0,BH165)*Inputs!$C$105/12</f>
        <v>0</v>
      </c>
      <c r="BJ148" s="16" t="n">
        <f aca="false">MAX(0,BI165)*Inputs!$C$105/12</f>
        <v>0</v>
      </c>
      <c r="BK148" s="16" t="n">
        <f aca="false">MAX(0,BJ165)*Inputs!$C$105/12</f>
        <v>0</v>
      </c>
    </row>
    <row r="149" customFormat="false" ht="15" hidden="false" customHeight="true" outlineLevel="0" collapsed="false">
      <c r="A149" s="5" t="s">
        <v>762</v>
      </c>
      <c r="B149" s="4" t="s">
        <v>44</v>
      </c>
      <c r="D149" s="52" t="n">
        <f aca="false">D143-D147+D148</f>
        <v>-9.32</v>
      </c>
      <c r="E149" s="52" t="n">
        <f aca="false">E143-E147+E148</f>
        <v>-7.07</v>
      </c>
      <c r="F149" s="52" t="n">
        <f aca="false">F143-F147+F148</f>
        <v>-17.9511111111111</v>
      </c>
      <c r="G149" s="52" t="n">
        <f aca="false">G143-G147+G148</f>
        <v>-20.8159444444444</v>
      </c>
      <c r="H149" s="52" t="n">
        <f aca="false">H143-H147+H148</f>
        <v>-19.0174444444444</v>
      </c>
      <c r="I149" s="52" t="n">
        <f aca="false">I143-I147+I148</f>
        <v>-18.9689444444445</v>
      </c>
      <c r="J149" s="52" t="n">
        <f aca="false">J143-J147+J148</f>
        <v>-19.5886944444445</v>
      </c>
      <c r="K149" s="52" t="n">
        <f aca="false">K143-K147+K148</f>
        <v>-19.5396944444445</v>
      </c>
      <c r="L149" s="52" t="n">
        <f aca="false">L143-L147+L148</f>
        <v>-21.3607993923611</v>
      </c>
      <c r="M149" s="52" t="n">
        <f aca="false">M143-M147+M148</f>
        <v>-19.3140178706036</v>
      </c>
      <c r="N149" s="52" t="n">
        <f aca="false">N143-N147+N148</f>
        <v>-18.7649344306618</v>
      </c>
      <c r="O149" s="52" t="n">
        <f aca="false">O143-O147+O148</f>
        <v>-17.8011869826148</v>
      </c>
      <c r="P149" s="52" t="n">
        <f aca="false">P143-P147+P148</f>
        <v>-45.5437646543447</v>
      </c>
      <c r="Q149" s="52" t="n">
        <f aca="false">Q143-Q147+Q148</f>
        <v>-39.333514338117</v>
      </c>
      <c r="R149" s="52" t="n">
        <f aca="false">R143-R147+R148</f>
        <v>-37.0960644649155</v>
      </c>
      <c r="S149" s="52" t="n">
        <f aca="false">S143-S147+S148</f>
        <v>-36.4818995062756</v>
      </c>
      <c r="T149" s="52" t="n">
        <f aca="false">T143-T147+T148</f>
        <v>-34.1779373060182</v>
      </c>
      <c r="U149" s="52" t="n">
        <f aca="false">U143-U147+U148</f>
        <v>-31.0416103150916</v>
      </c>
      <c r="V149" s="52" t="n">
        <f aca="false">V143-V147+V148</f>
        <v>-38.3372207715317</v>
      </c>
      <c r="W149" s="52" t="n">
        <f aca="false">W143-W147+W148</f>
        <v>-38.5126941352624</v>
      </c>
      <c r="X149" s="52" t="n">
        <f aca="false">X143-X147+X148</f>
        <v>-28.1285991496681</v>
      </c>
      <c r="Y149" s="52" t="n">
        <f aca="false">Y143-Y147+Y148</f>
        <v>-19.476060868486</v>
      </c>
      <c r="Z149" s="52" t="n">
        <f aca="false">Z143-Z147+Z148</f>
        <v>-11.2305135391868</v>
      </c>
      <c r="AA149" s="52" t="n">
        <f aca="false">AA143-AA147+AA148</f>
        <v>-2.63946579915522</v>
      </c>
      <c r="AB149" s="52" t="n">
        <f aca="false">AB143-AB147+AB148</f>
        <v>-35.8162259882372</v>
      </c>
      <c r="AC149" s="52" t="n">
        <f aca="false">AC143-AC147+AC148</f>
        <v>-17.0321897873927</v>
      </c>
      <c r="AD149" s="52" t="n">
        <f aca="false">AD143-AD147+AD148</f>
        <v>-7.81340758609651</v>
      </c>
      <c r="AE149" s="52" t="n">
        <f aca="false">AE143-AE147+AE148</f>
        <v>-3.00717444987318</v>
      </c>
      <c r="AF149" s="52" t="n">
        <f aca="false">AF143-AF147+AF148</f>
        <v>11.0158727679866</v>
      </c>
      <c r="AG149" s="52" t="n">
        <f aca="false">AG143-AG147+AG148</f>
        <v>24.9408082073054</v>
      </c>
      <c r="AH149" s="52" t="n">
        <f aca="false">AH143-AH147+AH148</f>
        <v>13.5741335735336</v>
      </c>
      <c r="AI149" s="52" t="n">
        <f aca="false">AI143-AI147+AI148</f>
        <v>22.4722145533886</v>
      </c>
      <c r="AJ149" s="52" t="n">
        <f aca="false">AJ143-AJ147+AJ148</f>
        <v>47.4140941725855</v>
      </c>
      <c r="AK149" s="52" t="n">
        <f aca="false">AK143-AK147+AK148</f>
        <v>68.9602529270102</v>
      </c>
      <c r="AL149" s="52" t="n">
        <f aca="false">AL143-AL147+AL148</f>
        <v>94.100791065849</v>
      </c>
      <c r="AM149" s="52" t="n">
        <f aca="false">AM143-AM147+AM148</f>
        <v>114.61822534155</v>
      </c>
      <c r="AN149" s="52" t="n">
        <f aca="false">AN143-AN147+AN148</f>
        <v>87.8433526507269</v>
      </c>
      <c r="AO149" s="52" t="n">
        <f aca="false">AO143-AO147+AO148</f>
        <v>127.383141085059</v>
      </c>
      <c r="AP149" s="52" t="n">
        <f aca="false">AP143-AP147+AP148</f>
        <v>155.094905027394</v>
      </c>
      <c r="AQ149" s="52" t="n">
        <f aca="false">AQ143-AQ147+AQ148</f>
        <v>179.120092371485</v>
      </c>
      <c r="AR149" s="52" t="n">
        <f aca="false">AR143-AR147+AR148</f>
        <v>207.105804491407</v>
      </c>
      <c r="AS149" s="52" t="n">
        <f aca="false">AS143-AS147+AS148</f>
        <v>239.271011602623</v>
      </c>
      <c r="AT149" s="52" t="n">
        <f aca="false">AT143-AT147+AT148</f>
        <v>245.40348942035</v>
      </c>
      <c r="AU149" s="52" t="n">
        <f aca="false">AU143-AU147+AU148</f>
        <v>270.363155774026</v>
      </c>
      <c r="AV149" s="52" t="n">
        <f aca="false">AV143-AV147+AV148</f>
        <v>315.208453828341</v>
      </c>
      <c r="AW149" s="52" t="n">
        <f aca="false">AW143-AW147+AW148</f>
        <v>357.974921115484</v>
      </c>
      <c r="AX149" s="52" t="n">
        <f aca="false">AX143-AX147+AX148</f>
        <v>402.853030287175</v>
      </c>
      <c r="AY149" s="52" t="n">
        <f aca="false">AY143-AY147+AY148</f>
        <v>445.698923004361</v>
      </c>
      <c r="AZ149" s="52" t="n">
        <f aca="false">AZ143-AZ147+AZ148</f>
        <v>433.91713124873</v>
      </c>
      <c r="BA149" s="52" t="n">
        <f aca="false">BA143-BA147+BA148</f>
        <v>498.406250573375</v>
      </c>
      <c r="BB149" s="52" t="n">
        <f aca="false">BB143-BB147+BB148</f>
        <v>550.1044724518</v>
      </c>
      <c r="BC149" s="52" t="n">
        <f aca="false">BC143-BC147+BC148</f>
        <v>593.608811695321</v>
      </c>
      <c r="BD149" s="52" t="n">
        <f aca="false">BD143-BD147+BD148</f>
        <v>647.243298014603</v>
      </c>
      <c r="BE149" s="52" t="n">
        <f aca="false">BE143-BE147+BE148</f>
        <v>705.570533455334</v>
      </c>
      <c r="BF149" s="52" t="n">
        <f aca="false">BF143-BF147+BF148</f>
        <v>730.451098583744</v>
      </c>
      <c r="BG149" s="52" t="n">
        <f aca="false">BG143-BG147+BG148</f>
        <v>781.274151343149</v>
      </c>
      <c r="BH149" s="52" t="n">
        <f aca="false">BH143-BH147+BH148</f>
        <v>850.974753667646</v>
      </c>
      <c r="BI149" s="52" t="n">
        <f aca="false">BI143-BI147+BI148</f>
        <v>916.574191824218</v>
      </c>
      <c r="BJ149" s="52" t="n">
        <f aca="false">BJ143-BJ147+BJ148</f>
        <v>986.518950958007</v>
      </c>
      <c r="BK149" s="52" t="n">
        <f aca="false">BK143-BK147+BK148</f>
        <v>1054.48521973209</v>
      </c>
    </row>
    <row r="150" customFormat="false" ht="15" hidden="false" customHeight="true" outlineLevel="0" collapsed="false">
      <c r="A150" s="12" t="s">
        <v>2003</v>
      </c>
      <c r="B150" s="4" t="s">
        <v>44</v>
      </c>
      <c r="D150" s="16" t="n">
        <f aca="false">0+D149</f>
        <v>-9.32</v>
      </c>
      <c r="E150" s="16" t="n">
        <f aca="false">D150+E149</f>
        <v>-16.39</v>
      </c>
      <c r="F150" s="16" t="n">
        <f aca="false">E150+F149</f>
        <v>-34.3411111111111</v>
      </c>
      <c r="G150" s="16" t="n">
        <f aca="false">F150+G149</f>
        <v>-55.1570555555556</v>
      </c>
      <c r="H150" s="16" t="n">
        <f aca="false">G150+H149</f>
        <v>-74.1745</v>
      </c>
      <c r="I150" s="16" t="n">
        <f aca="false">H150+I149</f>
        <v>-93.1434444444445</v>
      </c>
      <c r="J150" s="16" t="n">
        <f aca="false">I150+J149</f>
        <v>-112.732138888889</v>
      </c>
      <c r="K150" s="16" t="n">
        <f aca="false">J150+K149</f>
        <v>-132.271833333333</v>
      </c>
      <c r="L150" s="16" t="n">
        <f aca="false">K150+L149</f>
        <v>-153.632632725694</v>
      </c>
      <c r="M150" s="16" t="n">
        <f aca="false">L150+M149</f>
        <v>-172.946650596298</v>
      </c>
      <c r="N150" s="16" t="n">
        <f aca="false">M150+N149</f>
        <v>-191.71158502696</v>
      </c>
      <c r="O150" s="16" t="n">
        <f aca="false">N150+O149</f>
        <v>-209.512772009575</v>
      </c>
      <c r="P150" s="16" t="n">
        <f aca="false">O150+P149</f>
        <v>-255.056536663919</v>
      </c>
      <c r="Q150" s="16" t="n">
        <f aca="false">P150+Q149</f>
        <v>-294.390051002036</v>
      </c>
      <c r="R150" s="16" t="n">
        <f aca="false">Q150+R149</f>
        <v>-331.486115466952</v>
      </c>
      <c r="S150" s="16" t="n">
        <f aca="false">R150+S149</f>
        <v>-367.968014973227</v>
      </c>
      <c r="T150" s="16" t="n">
        <f aca="false">S150+T149</f>
        <v>-402.145952279246</v>
      </c>
      <c r="U150" s="16" t="n">
        <f aca="false">T150+U149</f>
        <v>-433.187562594337</v>
      </c>
      <c r="V150" s="16" t="n">
        <f aca="false">U150+V149</f>
        <v>-471.524783365869</v>
      </c>
      <c r="W150" s="16" t="n">
        <f aca="false">V150+W149</f>
        <v>-510.037477501131</v>
      </c>
      <c r="X150" s="16" t="n">
        <f aca="false">W150+X149</f>
        <v>-538.1660766508</v>
      </c>
      <c r="Y150" s="16" t="n">
        <f aca="false">X150+Y149</f>
        <v>-557.642137519286</v>
      </c>
      <c r="Z150" s="16" t="n">
        <f aca="false">Y150+Z149</f>
        <v>-568.872651058472</v>
      </c>
      <c r="AA150" s="16" t="n">
        <f aca="false">Z150+AA149</f>
        <v>-571.512116857628</v>
      </c>
      <c r="AB150" s="16" t="n">
        <f aca="false">AA150+AB149</f>
        <v>-607.328342845865</v>
      </c>
      <c r="AC150" s="16" t="n">
        <f aca="false">AB150+AC149</f>
        <v>-624.360532633257</v>
      </c>
      <c r="AD150" s="16" t="n">
        <f aca="false">AC150+AD149</f>
        <v>-632.173940219354</v>
      </c>
      <c r="AE150" s="16" t="n">
        <f aca="false">AD150+AE149</f>
        <v>-635.181114669227</v>
      </c>
      <c r="AF150" s="16" t="n">
        <f aca="false">AE150+AF149</f>
        <v>-624.165241901241</v>
      </c>
      <c r="AG150" s="16" t="n">
        <f aca="false">AF150+AG149</f>
        <v>-599.224433693935</v>
      </c>
      <c r="AH150" s="16" t="n">
        <f aca="false">AG150+AH149</f>
        <v>-585.650300120402</v>
      </c>
      <c r="AI150" s="16" t="n">
        <f aca="false">AH150+AI149</f>
        <v>-563.178085567013</v>
      </c>
      <c r="AJ150" s="16" t="n">
        <f aca="false">AI150+AJ149</f>
        <v>-515.763991394428</v>
      </c>
      <c r="AK150" s="16" t="n">
        <f aca="false">AJ150+AK149</f>
        <v>-446.803738467418</v>
      </c>
      <c r="AL150" s="16" t="n">
        <f aca="false">AK150+AL149</f>
        <v>-352.702947401569</v>
      </c>
      <c r="AM150" s="16" t="n">
        <f aca="false">AL150+AM149</f>
        <v>-238.084722060019</v>
      </c>
      <c r="AN150" s="16" t="n">
        <f aca="false">AM150+AN149</f>
        <v>-150.241369409292</v>
      </c>
      <c r="AO150" s="16" t="n">
        <f aca="false">AN150+AO149</f>
        <v>-22.8582283242334</v>
      </c>
      <c r="AP150" s="16" t="n">
        <f aca="false">AO150+AP149</f>
        <v>132.236676703161</v>
      </c>
      <c r="AQ150" s="16" t="n">
        <f aca="false">AP150+AQ149</f>
        <v>311.356769074646</v>
      </c>
      <c r="AR150" s="16" t="n">
        <f aca="false">AQ150+AR149</f>
        <v>518.462573566053</v>
      </c>
      <c r="AS150" s="16" t="n">
        <f aca="false">AR150+AS149</f>
        <v>757.733585168675</v>
      </c>
      <c r="AT150" s="16" t="n">
        <f aca="false">AS150+AT149</f>
        <v>1003.13707458903</v>
      </c>
      <c r="AU150" s="16" t="n">
        <f aca="false">AT150+AU149</f>
        <v>1273.50023036305</v>
      </c>
      <c r="AV150" s="16" t="n">
        <f aca="false">AU150+AV149</f>
        <v>1588.70868419139</v>
      </c>
      <c r="AW150" s="16" t="n">
        <f aca="false">AV150+AW149</f>
        <v>1946.68360530688</v>
      </c>
      <c r="AX150" s="16" t="n">
        <f aca="false">AW150+AX149</f>
        <v>2349.53663559405</v>
      </c>
      <c r="AY150" s="16" t="n">
        <f aca="false">AX150+AY149</f>
        <v>2795.23555859841</v>
      </c>
      <c r="AZ150" s="16" t="n">
        <f aca="false">AY150+AZ149</f>
        <v>3229.15268984714</v>
      </c>
      <c r="BA150" s="16" t="n">
        <f aca="false">AZ150+BA149</f>
        <v>3727.55894042052</v>
      </c>
      <c r="BB150" s="16" t="n">
        <f aca="false">BA150+BB149</f>
        <v>4277.66341287232</v>
      </c>
      <c r="BC150" s="16" t="n">
        <f aca="false">BB150+BC149</f>
        <v>4871.27222456764</v>
      </c>
      <c r="BD150" s="16" t="n">
        <f aca="false">BC150+BD149</f>
        <v>5518.51552258224</v>
      </c>
      <c r="BE150" s="16" t="n">
        <f aca="false">BD150+BE149</f>
        <v>6224.08605603757</v>
      </c>
      <c r="BF150" s="16" t="n">
        <f aca="false">BE150+BF149</f>
        <v>6954.53715462132</v>
      </c>
      <c r="BG150" s="16" t="n">
        <f aca="false">BF150+BG149</f>
        <v>7735.81130596447</v>
      </c>
      <c r="BH150" s="16" t="n">
        <f aca="false">BG150+BH149</f>
        <v>8586.78605963211</v>
      </c>
      <c r="BI150" s="16" t="n">
        <f aca="false">BH150+BI149</f>
        <v>9503.36025145633</v>
      </c>
      <c r="BJ150" s="16" t="n">
        <f aca="false">BI150+BJ149</f>
        <v>10489.8792024143</v>
      </c>
      <c r="BK150" s="16" t="n">
        <f aca="false">BJ150+BK149</f>
        <v>11544.3644221464</v>
      </c>
    </row>
    <row r="151" customFormat="false" ht="15" hidden="false" customHeight="true" outlineLevel="0" collapsed="false">
      <c r="A151" s="12" t="s">
        <v>2004</v>
      </c>
      <c r="B151" s="4" t="s">
        <v>44</v>
      </c>
      <c r="D151" s="16" t="n">
        <f aca="false">MAX(0,D150)*Inputs!$C$10-MAX(0,0)*Inputs!$C$10</f>
        <v>0</v>
      </c>
      <c r="E151" s="16" t="n">
        <f aca="false">MAX(0,E150)*Inputs!$C$10-MAX(0,D150)*Inputs!$C$10</f>
        <v>0</v>
      </c>
      <c r="F151" s="16" t="n">
        <f aca="false">MAX(0,F150)*Inputs!$C$10-MAX(0,E150)*Inputs!$C$10</f>
        <v>0</v>
      </c>
      <c r="G151" s="16" t="n">
        <f aca="false">MAX(0,G150)*Inputs!$C$10-MAX(0,F150)*Inputs!$C$10</f>
        <v>0</v>
      </c>
      <c r="H151" s="16" t="n">
        <f aca="false">MAX(0,H150)*Inputs!$C$10-MAX(0,G150)*Inputs!$C$10</f>
        <v>0</v>
      </c>
      <c r="I151" s="16" t="n">
        <f aca="false">MAX(0,I150)*Inputs!$C$10-MAX(0,H150)*Inputs!$C$10</f>
        <v>0</v>
      </c>
      <c r="J151" s="16" t="n">
        <f aca="false">MAX(0,J150)*Inputs!$C$10-MAX(0,I150)*Inputs!$C$10</f>
        <v>0</v>
      </c>
      <c r="K151" s="16" t="n">
        <f aca="false">MAX(0,K150)*Inputs!$C$10-MAX(0,J150)*Inputs!$C$10</f>
        <v>0</v>
      </c>
      <c r="L151" s="16" t="n">
        <f aca="false">MAX(0,L150)*Inputs!$C$10-MAX(0,K150)*Inputs!$C$10</f>
        <v>0</v>
      </c>
      <c r="M151" s="16" t="n">
        <f aca="false">MAX(0,M150)*Inputs!$C$10-MAX(0,L150)*Inputs!$C$10</f>
        <v>0</v>
      </c>
      <c r="N151" s="16" t="n">
        <f aca="false">MAX(0,N150)*Inputs!$C$10-MAX(0,M150)*Inputs!$C$10</f>
        <v>0</v>
      </c>
      <c r="O151" s="16" t="n">
        <f aca="false">MAX(0,O150)*Inputs!$C$10-MAX(0,N150)*Inputs!$C$10</f>
        <v>0</v>
      </c>
      <c r="P151" s="16" t="n">
        <f aca="false">MAX(0,P150)*Inputs!$C$10-MAX(0,O150)*Inputs!$C$10</f>
        <v>0</v>
      </c>
      <c r="Q151" s="16" t="n">
        <f aca="false">MAX(0,Q150)*Inputs!$C$10-MAX(0,P150)*Inputs!$C$10</f>
        <v>0</v>
      </c>
      <c r="R151" s="16" t="n">
        <f aca="false">MAX(0,R150)*Inputs!$C$10-MAX(0,Q150)*Inputs!$C$10</f>
        <v>0</v>
      </c>
      <c r="S151" s="16" t="n">
        <f aca="false">MAX(0,S150)*Inputs!$C$10-MAX(0,R150)*Inputs!$C$10</f>
        <v>0</v>
      </c>
      <c r="T151" s="16" t="n">
        <f aca="false">MAX(0,T150)*Inputs!$C$10-MAX(0,S150)*Inputs!$C$10</f>
        <v>0</v>
      </c>
      <c r="U151" s="16" t="n">
        <f aca="false">MAX(0,U150)*Inputs!$C$10-MAX(0,T150)*Inputs!$C$10</f>
        <v>0</v>
      </c>
      <c r="V151" s="16" t="n">
        <f aca="false">MAX(0,V150)*Inputs!$C$10-MAX(0,U150)*Inputs!$C$10</f>
        <v>0</v>
      </c>
      <c r="W151" s="16" t="n">
        <f aca="false">MAX(0,W150)*Inputs!$C$10-MAX(0,V150)*Inputs!$C$10</f>
        <v>0</v>
      </c>
      <c r="X151" s="16" t="n">
        <f aca="false">MAX(0,X150)*Inputs!$C$10-MAX(0,W150)*Inputs!$C$10</f>
        <v>0</v>
      </c>
      <c r="Y151" s="16" t="n">
        <f aca="false">MAX(0,Y150)*Inputs!$C$10-MAX(0,X150)*Inputs!$C$10</f>
        <v>0</v>
      </c>
      <c r="Z151" s="16" t="n">
        <f aca="false">MAX(0,Z150)*Inputs!$C$10-MAX(0,Y150)*Inputs!$C$10</f>
        <v>0</v>
      </c>
      <c r="AA151" s="16" t="n">
        <f aca="false">MAX(0,AA150)*Inputs!$C$10-MAX(0,Z150)*Inputs!$C$10</f>
        <v>0</v>
      </c>
      <c r="AB151" s="16" t="n">
        <f aca="false">MAX(0,AB150)*Inputs!$C$10-MAX(0,AA150)*Inputs!$C$10</f>
        <v>0</v>
      </c>
      <c r="AC151" s="16" t="n">
        <f aca="false">MAX(0,AC150)*Inputs!$C$10-MAX(0,AB150)*Inputs!$C$10</f>
        <v>0</v>
      </c>
      <c r="AD151" s="16" t="n">
        <f aca="false">MAX(0,AD150)*Inputs!$C$10-MAX(0,AC150)*Inputs!$C$10</f>
        <v>0</v>
      </c>
      <c r="AE151" s="16" t="n">
        <f aca="false">MAX(0,AE150)*Inputs!$C$10-MAX(0,AD150)*Inputs!$C$10</f>
        <v>0</v>
      </c>
      <c r="AF151" s="16" t="n">
        <f aca="false">MAX(0,AF150)*Inputs!$C$10-MAX(0,AE150)*Inputs!$C$10</f>
        <v>0</v>
      </c>
      <c r="AG151" s="16" t="n">
        <f aca="false">MAX(0,AG150)*Inputs!$C$10-MAX(0,AF150)*Inputs!$C$10</f>
        <v>0</v>
      </c>
      <c r="AH151" s="16" t="n">
        <f aca="false">MAX(0,AH150)*Inputs!$C$10-MAX(0,AG150)*Inputs!$C$10</f>
        <v>0</v>
      </c>
      <c r="AI151" s="16" t="n">
        <f aca="false">MAX(0,AI150)*Inputs!$C$10-MAX(0,AH150)*Inputs!$C$10</f>
        <v>0</v>
      </c>
      <c r="AJ151" s="16" t="n">
        <f aca="false">MAX(0,AJ150)*Inputs!$C$10-MAX(0,AI150)*Inputs!$C$10</f>
        <v>0</v>
      </c>
      <c r="AK151" s="16" t="n">
        <f aca="false">MAX(0,AK150)*Inputs!$C$10-MAX(0,AJ150)*Inputs!$C$10</f>
        <v>0</v>
      </c>
      <c r="AL151" s="16" t="n">
        <f aca="false">MAX(0,AL150)*Inputs!$C$10-MAX(0,AK150)*Inputs!$C$10</f>
        <v>0</v>
      </c>
      <c r="AM151" s="16" t="n">
        <f aca="false">MAX(0,AM150)*Inputs!$C$10-MAX(0,AL150)*Inputs!$C$10</f>
        <v>0</v>
      </c>
      <c r="AN151" s="16" t="n">
        <f aca="false">MAX(0,AN150)*Inputs!$C$10-MAX(0,AM150)*Inputs!$C$10</f>
        <v>0</v>
      </c>
      <c r="AO151" s="16" t="n">
        <f aca="false">MAX(0,AO150)*Inputs!$C$10-MAX(0,AN150)*Inputs!$C$10</f>
        <v>0</v>
      </c>
      <c r="AP151" s="16" t="n">
        <f aca="false">MAX(0,AP150)*Inputs!$C$10-MAX(0,AO150)*Inputs!$C$10</f>
        <v>33.2813267926515</v>
      </c>
      <c r="AQ151" s="16" t="n">
        <f aca="false">MAX(0,AQ150)*Inputs!$C$10-MAX(0,AP150)*Inputs!$C$10</f>
        <v>45.0809448480554</v>
      </c>
      <c r="AR151" s="16" t="n">
        <f aca="false">MAX(0,AR150)*Inputs!$C$10-MAX(0,AQ150)*Inputs!$C$10</f>
        <v>52.1243888743972</v>
      </c>
      <c r="AS151" s="16" t="n">
        <f aca="false">MAX(0,AS150)*Inputs!$C$10-MAX(0,AR150)*Inputs!$C$10</f>
        <v>60.2197282001481</v>
      </c>
      <c r="AT151" s="16" t="n">
        <f aca="false">MAX(0,AT150)*Inputs!$C$10-MAX(0,AS150)*Inputs!$C$10</f>
        <v>61.7631502173136</v>
      </c>
      <c r="AU151" s="16" t="n">
        <f aca="false">MAX(0,AU150)*Inputs!$C$10-MAX(0,AT150)*Inputs!$C$10</f>
        <v>68.0449990452068</v>
      </c>
      <c r="AV151" s="16" t="n">
        <f aca="false">MAX(0,AV150)*Inputs!$C$10-MAX(0,AU150)*Inputs!$C$10</f>
        <v>79.3316636595167</v>
      </c>
      <c r="AW151" s="16" t="n">
        <f aca="false">MAX(0,AW150)*Inputs!$C$10-MAX(0,AV150)*Inputs!$C$10</f>
        <v>90.0951281463451</v>
      </c>
      <c r="AX151" s="16" t="n">
        <f aca="false">MAX(0,AX150)*Inputs!$C$10-MAX(0,AW150)*Inputs!$C$10</f>
        <v>101.390050662676</v>
      </c>
      <c r="AY151" s="16" t="n">
        <f aca="false">MAX(0,AY150)*Inputs!$C$10-MAX(0,AX150)*Inputs!$C$10</f>
        <v>112.173504941738</v>
      </c>
      <c r="AZ151" s="16" t="n">
        <f aca="false">MAX(0,AZ150)*Inputs!$C$10-MAX(0,AY150)*Inputs!$C$10</f>
        <v>109.20826359268</v>
      </c>
      <c r="BA151" s="16" t="n">
        <f aca="false">MAX(0,BA150)*Inputs!$C$10-MAX(0,AZ150)*Inputs!$C$10</f>
        <v>125.438885144307</v>
      </c>
      <c r="BB151" s="16" t="n">
        <f aca="false">MAX(0,BB150)*Inputs!$C$10-MAX(0,BA150)*Inputs!$C$10</f>
        <v>138.450293626669</v>
      </c>
      <c r="BC151" s="16" t="n">
        <f aca="false">MAX(0,BC150)*Inputs!$C$10-MAX(0,BB150)*Inputs!$C$10</f>
        <v>149.399465727478</v>
      </c>
      <c r="BD151" s="16" t="n">
        <f aca="false">MAX(0,BD150)*Inputs!$C$10-MAX(0,BC150)*Inputs!$C$10</f>
        <v>162.898193244315</v>
      </c>
      <c r="BE151" s="16" t="n">
        <f aca="false">MAX(0,BE150)*Inputs!$C$10-MAX(0,BD150)*Inputs!$C$10</f>
        <v>177.577991860039</v>
      </c>
      <c r="BF151" s="16" t="n">
        <f aca="false">MAX(0,BF150)*Inputs!$C$10-MAX(0,BE150)*Inputs!$C$10</f>
        <v>183.839932491557</v>
      </c>
      <c r="BG151" s="16" t="n">
        <f aca="false">MAX(0,BG150)*Inputs!$C$10-MAX(0,BF150)*Inputs!$C$10</f>
        <v>196.631078410044</v>
      </c>
      <c r="BH151" s="16" t="n">
        <f aca="false">MAX(0,BH150)*Inputs!$C$10-MAX(0,BG150)*Inputs!$C$10</f>
        <v>214.173326003073</v>
      </c>
      <c r="BI151" s="16" t="n">
        <f aca="false">MAX(0,BI150)*Inputs!$C$10-MAX(0,BH150)*Inputs!$C$10</f>
        <v>230.683392598319</v>
      </c>
      <c r="BJ151" s="16" t="n">
        <f aca="false">MAX(0,BJ150)*Inputs!$C$10-MAX(0,BI150)*Inputs!$C$10</f>
        <v>248.287089577111</v>
      </c>
      <c r="BK151" s="16" t="n">
        <f aca="false">MAX(0,BK150)*Inputs!$C$10-MAX(0,BJ150)*Inputs!$C$10</f>
        <v>265.392840102172</v>
      </c>
    </row>
    <row r="152" customFormat="false" ht="15" hidden="false" customHeight="true" outlineLevel="0" collapsed="false">
      <c r="A152" s="5" t="s">
        <v>2005</v>
      </c>
      <c r="B152" s="4" t="s">
        <v>44</v>
      </c>
      <c r="D152" s="54" t="n">
        <f aca="false">D149-D151</f>
        <v>-9.32</v>
      </c>
      <c r="E152" s="54" t="n">
        <f aca="false">E149-E151</f>
        <v>-7.07</v>
      </c>
      <c r="F152" s="54" t="n">
        <f aca="false">F149-F151</f>
        <v>-17.9511111111111</v>
      </c>
      <c r="G152" s="54" t="n">
        <f aca="false">G149-G151</f>
        <v>-20.8159444444444</v>
      </c>
      <c r="H152" s="54" t="n">
        <f aca="false">H149-H151</f>
        <v>-19.0174444444444</v>
      </c>
      <c r="I152" s="54" t="n">
        <f aca="false">I149-I151</f>
        <v>-18.9689444444445</v>
      </c>
      <c r="J152" s="54" t="n">
        <f aca="false">J149-J151</f>
        <v>-19.5886944444445</v>
      </c>
      <c r="K152" s="54" t="n">
        <f aca="false">K149-K151</f>
        <v>-19.5396944444445</v>
      </c>
      <c r="L152" s="54" t="n">
        <f aca="false">L149-L151</f>
        <v>-21.3607993923611</v>
      </c>
      <c r="M152" s="54" t="n">
        <f aca="false">M149-M151</f>
        <v>-19.3140178706036</v>
      </c>
      <c r="N152" s="54" t="n">
        <f aca="false">N149-N151</f>
        <v>-18.7649344306618</v>
      </c>
      <c r="O152" s="54" t="n">
        <f aca="false">O149-O151</f>
        <v>-17.8011869826148</v>
      </c>
      <c r="P152" s="54" t="n">
        <f aca="false">P149-P151</f>
        <v>-45.5437646543447</v>
      </c>
      <c r="Q152" s="54" t="n">
        <f aca="false">Q149-Q151</f>
        <v>-39.333514338117</v>
      </c>
      <c r="R152" s="54" t="n">
        <f aca="false">R149-R151</f>
        <v>-37.0960644649155</v>
      </c>
      <c r="S152" s="54" t="n">
        <f aca="false">S149-S151</f>
        <v>-36.4818995062756</v>
      </c>
      <c r="T152" s="54" t="n">
        <f aca="false">T149-T151</f>
        <v>-34.1779373060182</v>
      </c>
      <c r="U152" s="54" t="n">
        <f aca="false">U149-U151</f>
        <v>-31.0416103150916</v>
      </c>
      <c r="V152" s="54" t="n">
        <f aca="false">V149-V151</f>
        <v>-38.3372207715317</v>
      </c>
      <c r="W152" s="54" t="n">
        <f aca="false">W149-W151</f>
        <v>-38.5126941352624</v>
      </c>
      <c r="X152" s="54" t="n">
        <f aca="false">X149-X151</f>
        <v>-28.1285991496681</v>
      </c>
      <c r="Y152" s="54" t="n">
        <f aca="false">Y149-Y151</f>
        <v>-19.476060868486</v>
      </c>
      <c r="Z152" s="54" t="n">
        <f aca="false">Z149-Z151</f>
        <v>-11.2305135391868</v>
      </c>
      <c r="AA152" s="54" t="n">
        <f aca="false">AA149-AA151</f>
        <v>-2.63946579915522</v>
      </c>
      <c r="AB152" s="54" t="n">
        <f aca="false">AB149-AB151</f>
        <v>-35.8162259882372</v>
      </c>
      <c r="AC152" s="54" t="n">
        <f aca="false">AC149-AC151</f>
        <v>-17.0321897873927</v>
      </c>
      <c r="AD152" s="54" t="n">
        <f aca="false">AD149-AD151</f>
        <v>-7.81340758609651</v>
      </c>
      <c r="AE152" s="54" t="n">
        <f aca="false">AE149-AE151</f>
        <v>-3.00717444987318</v>
      </c>
      <c r="AF152" s="54" t="n">
        <f aca="false">AF149-AF151</f>
        <v>11.0158727679866</v>
      </c>
      <c r="AG152" s="54" t="n">
        <f aca="false">AG149-AG151</f>
        <v>24.9408082073054</v>
      </c>
      <c r="AH152" s="54" t="n">
        <f aca="false">AH149-AH151</f>
        <v>13.5741335735336</v>
      </c>
      <c r="AI152" s="54" t="n">
        <f aca="false">AI149-AI151</f>
        <v>22.4722145533886</v>
      </c>
      <c r="AJ152" s="54" t="n">
        <f aca="false">AJ149-AJ151</f>
        <v>47.4140941725855</v>
      </c>
      <c r="AK152" s="54" t="n">
        <f aca="false">AK149-AK151</f>
        <v>68.9602529270102</v>
      </c>
      <c r="AL152" s="54" t="n">
        <f aca="false">AL149-AL151</f>
        <v>94.100791065849</v>
      </c>
      <c r="AM152" s="54" t="n">
        <f aca="false">AM149-AM151</f>
        <v>114.61822534155</v>
      </c>
      <c r="AN152" s="54" t="n">
        <f aca="false">AN149-AN151</f>
        <v>87.8433526507269</v>
      </c>
      <c r="AO152" s="54" t="n">
        <f aca="false">AO149-AO151</f>
        <v>127.383141085059</v>
      </c>
      <c r="AP152" s="54" t="n">
        <f aca="false">AP149-AP151</f>
        <v>121.813578234743</v>
      </c>
      <c r="AQ152" s="54" t="n">
        <f aca="false">AQ149-AQ151</f>
        <v>134.03914752343</v>
      </c>
      <c r="AR152" s="54" t="n">
        <f aca="false">AR149-AR151</f>
        <v>154.981415617009</v>
      </c>
      <c r="AS152" s="54" t="n">
        <f aca="false">AS149-AS151</f>
        <v>179.051283402475</v>
      </c>
      <c r="AT152" s="54" t="n">
        <f aca="false">AT149-AT151</f>
        <v>183.640339203036</v>
      </c>
      <c r="AU152" s="54" t="n">
        <f aca="false">AU149-AU151</f>
        <v>202.318156728819</v>
      </c>
      <c r="AV152" s="54" t="n">
        <f aca="false">AV149-AV151</f>
        <v>235.876790168824</v>
      </c>
      <c r="AW152" s="54" t="n">
        <f aca="false">AW149-AW151</f>
        <v>267.879792969139</v>
      </c>
      <c r="AX152" s="54" t="n">
        <f aca="false">AX149-AX151</f>
        <v>301.462979624499</v>
      </c>
      <c r="AY152" s="54" t="n">
        <f aca="false">AY149-AY151</f>
        <v>333.525418062624</v>
      </c>
      <c r="AZ152" s="54" t="n">
        <f aca="false">AZ149-AZ151</f>
        <v>324.70886765605</v>
      </c>
      <c r="BA152" s="54" t="n">
        <f aca="false">BA149-BA151</f>
        <v>372.967365429068</v>
      </c>
      <c r="BB152" s="54" t="n">
        <f aca="false">BB149-BB151</f>
        <v>411.654178825131</v>
      </c>
      <c r="BC152" s="54" t="n">
        <f aca="false">BC149-BC151</f>
        <v>444.209345967843</v>
      </c>
      <c r="BD152" s="54" t="n">
        <f aca="false">BD149-BD151</f>
        <v>484.345104770287</v>
      </c>
      <c r="BE152" s="54" t="n">
        <f aca="false">BE149-BE151</f>
        <v>527.992541595295</v>
      </c>
      <c r="BF152" s="54" t="n">
        <f aca="false">BF149-BF151</f>
        <v>546.611166092188</v>
      </c>
      <c r="BG152" s="54" t="n">
        <f aca="false">BG149-BG151</f>
        <v>584.643072933105</v>
      </c>
      <c r="BH152" s="54" t="n">
        <f aca="false">BH149-BH151</f>
        <v>636.801427664572</v>
      </c>
      <c r="BI152" s="54" t="n">
        <f aca="false">BI149-BI151</f>
        <v>685.890799225899</v>
      </c>
      <c r="BJ152" s="54" t="n">
        <f aca="false">BJ149-BJ151</f>
        <v>738.231861380896</v>
      </c>
      <c r="BK152" s="54" t="n">
        <f aca="false">BK149-BK151</f>
        <v>789.092379629917</v>
      </c>
    </row>
    <row r="154" customFormat="false" ht="15" hidden="false" customHeight="true" outlineLevel="0" collapsed="false">
      <c r="A154" s="10" t="s">
        <v>2006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 customFormat="false" ht="15" hidden="false" customHeight="true" outlineLevel="0" collapsed="false">
      <c r="A155" s="12" t="s">
        <v>2007</v>
      </c>
      <c r="B155" s="4" t="s">
        <v>44</v>
      </c>
      <c r="D155" s="16" t="n">
        <f aca="false">D57*Inputs!$C$104</f>
        <v>0</v>
      </c>
      <c r="E155" s="16" t="n">
        <f aca="false">E57*Inputs!$C$104</f>
        <v>0</v>
      </c>
      <c r="F155" s="16" t="n">
        <f aca="false">F57*Inputs!$C$104</f>
        <v>0</v>
      </c>
      <c r="G155" s="16" t="n">
        <f aca="false">G57*Inputs!$C$104</f>
        <v>0</v>
      </c>
      <c r="H155" s="16" t="n">
        <f aca="false">H57*Inputs!$C$104</f>
        <v>0</v>
      </c>
      <c r="I155" s="16" t="n">
        <f aca="false">I57*Inputs!$C$104</f>
        <v>0</v>
      </c>
      <c r="J155" s="16" t="n">
        <f aca="false">J57*Inputs!$C$104</f>
        <v>0</v>
      </c>
      <c r="K155" s="16" t="n">
        <f aca="false">K57*Inputs!$C$104</f>
        <v>0</v>
      </c>
      <c r="L155" s="16" t="n">
        <f aca="false">L57*Inputs!$C$104</f>
        <v>0.889453125</v>
      </c>
      <c r="M155" s="16" t="n">
        <f aca="false">M57*Inputs!$C$104</f>
        <v>1.78228153540797</v>
      </c>
      <c r="N155" s="16" t="n">
        <f aca="false">N57*Inputs!$C$104</f>
        <v>2.67849803971405</v>
      </c>
      <c r="O155" s="16" t="n">
        <f aca="false">O57*Inputs!$C$104</f>
        <v>3.87459987001389</v>
      </c>
      <c r="P155" s="16" t="n">
        <f aca="false">P57*Inputs!$C$104</f>
        <v>5.44584612107906</v>
      </c>
      <c r="Q155" s="16" t="n">
        <f aca="false">Q57*Inputs!$C$104</f>
        <v>7.33436351118692</v>
      </c>
      <c r="R155" s="16" t="n">
        <f aca="false">R57*Inputs!$C$104</f>
        <v>9.54135601682133</v>
      </c>
      <c r="S155" s="16" t="n">
        <f aca="false">S57*Inputs!$C$104</f>
        <v>12.0680321833008</v>
      </c>
      <c r="T155" s="16" t="n">
        <f aca="false">T57*Inputs!$C$104</f>
        <v>14.9156051421162</v>
      </c>
      <c r="U155" s="16" t="n">
        <f aca="false">U57*Inputs!$C$104</f>
        <v>17.7739840345843</v>
      </c>
      <c r="V155" s="16" t="n">
        <f aca="false">V57*Inputs!$C$104</f>
        <v>20.6432098669249</v>
      </c>
      <c r="W155" s="16" t="n">
        <f aca="false">W57*Inputs!$C$104</f>
        <v>23.5233238009674</v>
      </c>
      <c r="X155" s="16" t="n">
        <f aca="false">X57*Inputs!$C$104</f>
        <v>33.4608778519292</v>
      </c>
      <c r="Y155" s="16" t="n">
        <f aca="false">Y57*Inputs!$C$104</f>
        <v>44.370068587882</v>
      </c>
      <c r="Z155" s="16" t="n">
        <f aca="false">Z57*Inputs!$C$104</f>
        <v>56.2545831633624</v>
      </c>
      <c r="AA155" s="16" t="n">
        <f aca="false">AA57*Inputs!$C$104</f>
        <v>69.1181227248737</v>
      </c>
      <c r="AB155" s="16" t="n">
        <f aca="false">AB57*Inputs!$C$104</f>
        <v>83.6436020222799</v>
      </c>
      <c r="AC155" s="16" t="n">
        <f aca="false">AC57*Inputs!$C$104</f>
        <v>99.2048244941225</v>
      </c>
      <c r="AD155" s="16" t="n">
        <f aca="false">AD57*Inputs!$C$104</f>
        <v>114.825098495116</v>
      </c>
      <c r="AE155" s="16" t="n">
        <f aca="false">AE57*Inputs!$C$104</f>
        <v>130.504648113252</v>
      </c>
      <c r="AF155" s="16" t="n">
        <f aca="false">AF57*Inputs!$C$104</f>
        <v>146.24369828689</v>
      </c>
      <c r="AG155" s="16" t="n">
        <f aca="false">AG57*Inputs!$C$104</f>
        <v>162.04247480798</v>
      </c>
      <c r="AH155" s="16" t="n">
        <f aca="false">AH57*Inputs!$C$104</f>
        <v>177.901204325306</v>
      </c>
      <c r="AI155" s="16" t="n">
        <f aca="false">AI57*Inputs!$C$104</f>
        <v>193.820114347736</v>
      </c>
      <c r="AJ155" s="16" t="n">
        <f aca="false">AJ57*Inputs!$C$104</f>
        <v>224.106794676422</v>
      </c>
      <c r="AK155" s="16" t="n">
        <f aca="false">AK57*Inputs!$C$104</f>
        <v>256.469650655103</v>
      </c>
      <c r="AL155" s="16" t="n">
        <f aca="false">AL57*Inputs!$C$104</f>
        <v>290.916560928733</v>
      </c>
      <c r="AM155" s="16" t="n">
        <f aca="false">AM57*Inputs!$C$104</f>
        <v>327.455434040048</v>
      </c>
      <c r="AN155" s="16" t="n">
        <f aca="false">AN57*Inputs!$C$104</f>
        <v>367.964016082322</v>
      </c>
      <c r="AO155" s="16" t="n">
        <f aca="false">AO57*Inputs!$C$104</f>
        <v>410.685625924256</v>
      </c>
      <c r="AP155" s="16" t="n">
        <f aca="false">AP57*Inputs!$C$104</f>
        <v>453.569355187946</v>
      </c>
      <c r="AQ155" s="16" t="n">
        <f aca="false">AQ57*Inputs!$C$104</f>
        <v>496.615819082114</v>
      </c>
      <c r="AR155" s="16" t="n">
        <f aca="false">AR57*Inputs!$C$104</f>
        <v>539.825635150063</v>
      </c>
      <c r="AS155" s="16" t="n">
        <f aca="false">AS57*Inputs!$C$104</f>
        <v>583.199423278548</v>
      </c>
      <c r="AT155" s="16" t="n">
        <f aca="false">AT57*Inputs!$C$104</f>
        <v>626.737805706657</v>
      </c>
      <c r="AU155" s="16" t="n">
        <f aca="false">AU57*Inputs!$C$104</f>
        <v>670.441407034746</v>
      </c>
      <c r="AV155" s="16" t="n">
        <f aca="false">AV57*Inputs!$C$104</f>
        <v>730.534845769913</v>
      </c>
      <c r="AW155" s="16" t="n">
        <f aca="false">AW57*Inputs!$C$104</f>
        <v>793.602068119086</v>
      </c>
      <c r="AX155" s="16" t="n">
        <f aca="false">AX57*Inputs!$C$104</f>
        <v>859.654358958507</v>
      </c>
      <c r="AY155" s="16" t="n">
        <f aca="false">AY57*Inputs!$C$104</f>
        <v>928.703045988122</v>
      </c>
      <c r="AZ155" s="16" t="n">
        <f aca="false">AZ57*Inputs!$C$104</f>
        <v>1004.18611106394</v>
      </c>
      <c r="BA155" s="16" t="n">
        <f aca="false">BA57*Inputs!$C$104</f>
        <v>1082.83864720194</v>
      </c>
      <c r="BB155" s="16" t="n">
        <f aca="false">BB57*Inputs!$C$104</f>
        <v>1161.78965298389</v>
      </c>
      <c r="BC155" s="16" t="n">
        <f aca="false">BC57*Inputs!$C$104</f>
        <v>1241.04026103859</v>
      </c>
      <c r="BD155" s="16" t="n">
        <f aca="false">BD57*Inputs!$C$104</f>
        <v>1320.59160829295</v>
      </c>
      <c r="BE155" s="16" t="n">
        <f aca="false">BE57*Inputs!$C$104</f>
        <v>1400.44483598824</v>
      </c>
      <c r="BF155" s="16" t="n">
        <f aca="false">BF57*Inputs!$C$104</f>
        <v>1480.60108969654</v>
      </c>
      <c r="BG155" s="16" t="n">
        <f aca="false">BG57*Inputs!$C$104</f>
        <v>1561.0615193371</v>
      </c>
      <c r="BH155" s="16" t="n">
        <f aca="false">BH57*Inputs!$C$104</f>
        <v>1658.50209169538</v>
      </c>
      <c r="BI155" s="16" t="n">
        <f aca="false">BI57*Inputs!$C$104</f>
        <v>1758.83508057442</v>
      </c>
      <c r="BJ155" s="16" t="n">
        <f aca="false">BJ57*Inputs!$C$104</f>
        <v>1862.07146207964</v>
      </c>
      <c r="BK155" s="16" t="n">
        <f aca="false">BK57*Inputs!$C$104</f>
        <v>1968.22225396847</v>
      </c>
    </row>
    <row r="156" customFormat="false" ht="15" hidden="false" customHeight="true" outlineLevel="0" collapsed="false">
      <c r="A156" s="12" t="s">
        <v>2008</v>
      </c>
      <c r="B156" s="4" t="s">
        <v>44</v>
      </c>
      <c r="D156" s="16" t="n">
        <f aca="false">D65+D155-0</f>
        <v>0</v>
      </c>
      <c r="E156" s="16" t="n">
        <f aca="false">E65+E155-D155</f>
        <v>0</v>
      </c>
      <c r="F156" s="16" t="n">
        <f aca="false">F65+F155-E155</f>
        <v>0</v>
      </c>
      <c r="G156" s="16" t="n">
        <f aca="false">G65+G155-F155</f>
        <v>0.375</v>
      </c>
      <c r="H156" s="16" t="n">
        <f aca="false">H65+H155-G155</f>
        <v>0.75</v>
      </c>
      <c r="I156" s="16" t="n">
        <f aca="false">I65+I155-H155</f>
        <v>1.125</v>
      </c>
      <c r="J156" s="16" t="n">
        <f aca="false">J65+J155-I155</f>
        <v>1.25</v>
      </c>
      <c r="K156" s="16" t="n">
        <f aca="false">K65+K155-J155</f>
        <v>1.5</v>
      </c>
      <c r="L156" s="16" t="n">
        <f aca="false">L65+L155-K155</f>
        <v>5.09546484375</v>
      </c>
      <c r="M156" s="16" t="n">
        <f aca="false">M65+M155-L155</f>
        <v>6.10361727012953</v>
      </c>
      <c r="N156" s="16" t="n">
        <f aca="false">N65+N155-M155</f>
        <v>7.1137576209289</v>
      </c>
      <c r="O156" s="16" t="n">
        <f aca="false">O65+O155-N155</f>
        <v>9.19938496801985</v>
      </c>
      <c r="P156" s="16" t="n">
        <f aca="false">P65+P155-O155</f>
        <v>11.5987445200975</v>
      </c>
      <c r="Q156" s="16" t="n">
        <f aca="false">Q65+Q155-P155</f>
        <v>13.9560894597874</v>
      </c>
      <c r="R156" s="16" t="n">
        <f aca="false">R65+R155-Q155</f>
        <v>16.4129920270742</v>
      </c>
      <c r="S156" s="16" t="n">
        <f aca="false">S65+S155-R155</f>
        <v>21.9245627547648</v>
      </c>
      <c r="T156" s="16" t="n">
        <f aca="false">T65+T155-S155</f>
        <v>28.0371332789886</v>
      </c>
      <c r="U156" s="16" t="n">
        <f aca="false">U65+U155-T155</f>
        <v>33.6328076891064</v>
      </c>
      <c r="V156" s="16" t="n">
        <f aca="false">V65+V155-U155</f>
        <v>36.7805392084038</v>
      </c>
      <c r="W156" s="16" t="n">
        <f aca="false">W65+W155-V155</f>
        <v>39.9347530576677</v>
      </c>
      <c r="X156" s="16" t="n">
        <f aca="false">X65+X155-W155</f>
        <v>68.4156531701395</v>
      </c>
      <c r="Y156" s="16" t="n">
        <f aca="false">Y65+Y155-X155</f>
        <v>79.5663606957262</v>
      </c>
      <c r="Z156" s="16" t="n">
        <f aca="false">Z65+Z155-Y155</f>
        <v>91.0275327371607</v>
      </c>
      <c r="AA156" s="16" t="n">
        <f aca="false">AA65+AA155-Z155</f>
        <v>102.801389355451</v>
      </c>
      <c r="AB156" s="16" t="n">
        <f aca="false">AB65+AB155-AA155</f>
        <v>117.333078588136</v>
      </c>
      <c r="AC156" s="16" t="n">
        <f aca="false">AC65+AC155-AB155</f>
        <v>131.087419740261</v>
      </c>
      <c r="AD156" s="16" t="n">
        <f aca="false">AD65+AD155-AC155</f>
        <v>142.071231381063</v>
      </c>
      <c r="AE156" s="16" t="n">
        <f aca="false">AE65+AE155-AD155</f>
        <v>158.561835831427</v>
      </c>
      <c r="AF156" s="16" t="n">
        <f aca="false">AF65+AF155-AE155</f>
        <v>175.838133487977</v>
      </c>
      <c r="AG156" s="16" t="n">
        <f aca="false">AG65+AG155-AF155</f>
        <v>193.900307730503</v>
      </c>
      <c r="AH156" s="16" t="n">
        <f aca="false">AH65+AH155-AG155</f>
        <v>207.277259592785</v>
      </c>
      <c r="AI156" s="16" t="n">
        <f aca="false">AI65+AI155-AH155</f>
        <v>220.690455766749</v>
      </c>
      <c r="AJ156" s="16" t="n">
        <f aca="false">AJ65+AJ155-AI155</f>
        <v>285.176807162375</v>
      </c>
      <c r="AK156" s="16" t="n">
        <f aca="false">AK65+AK155-AJ155</f>
        <v>315.040382393684</v>
      </c>
      <c r="AL156" s="16" t="n">
        <f aca="false">AL65+AL155-AK155</f>
        <v>345.611936680984</v>
      </c>
      <c r="AM156" s="16" t="n">
        <f aca="false">AM65+AM155-AL155</f>
        <v>376.896266331973</v>
      </c>
      <c r="AN156" s="16" t="n">
        <f aca="false">AN65+AN155-AM155</f>
        <v>415.341078110933</v>
      </c>
      <c r="AO156" s="16" t="n">
        <f aca="false">AO65+AO155-AN155</f>
        <v>451.120006267863</v>
      </c>
      <c r="AP156" s="16" t="n">
        <f aca="false">AP65+AP155-AO155</f>
        <v>481.152233521121</v>
      </c>
      <c r="AQ156" s="16" t="n">
        <f aca="false">AQ65+AQ155-AP155</f>
        <v>517.191692433423</v>
      </c>
      <c r="AR156" s="16" t="n">
        <f aca="false">AR65+AR155-AQ155</f>
        <v>554.330095404073</v>
      </c>
      <c r="AS156" s="16" t="n">
        <f aca="false">AS65+AS155-AR155</f>
        <v>592.567938426768</v>
      </c>
      <c r="AT156" s="16" t="n">
        <f aca="false">AT65+AT155-AS155</f>
        <v>625.996935767233</v>
      </c>
      <c r="AU156" s="16" t="n">
        <f aca="false">AU65+AU155-AT155</f>
        <v>659.526367974168</v>
      </c>
      <c r="AV156" s="16" t="n">
        <f aca="false">AV65+AV155-AU155</f>
        <v>750.626707426697</v>
      </c>
      <c r="AW156" s="16" t="n">
        <f aca="false">AW65+AW155-AV155</f>
        <v>804.545038113215</v>
      </c>
      <c r="AX156" s="16" t="n">
        <f aca="false">AX65+AX155-AW155</f>
        <v>859.541800136217</v>
      </c>
      <c r="AY156" s="16" t="n">
        <f aca="false">AY65+AY155-AX155</f>
        <v>915.623940819747</v>
      </c>
      <c r="AZ156" s="16" t="n">
        <f aca="false">AZ65+AZ155-AY155</f>
        <v>984.231230695651</v>
      </c>
      <c r="BA156" s="16" t="n">
        <f aca="false">BA65+BA155-AZ155</f>
        <v>1047.22484020243</v>
      </c>
      <c r="BB156" s="16" t="n">
        <f aca="false">BB65+BB155-BA155</f>
        <v>1102.28164231151</v>
      </c>
      <c r="BC156" s="16" t="n">
        <f aca="false">BC65+BC155-BB155</f>
        <v>1163.30530803571</v>
      </c>
      <c r="BD156" s="16" t="n">
        <f aca="false">BD65+BD155-BC155</f>
        <v>1225.38795180989</v>
      </c>
      <c r="BE156" s="16" t="n">
        <f aca="false">BE65+BE155-BD155</f>
        <v>1288.53047255579</v>
      </c>
      <c r="BF156" s="16" t="n">
        <f aca="false">BF65+BF155-BE155</f>
        <v>1346.94998836805</v>
      </c>
      <c r="BG156" s="16" t="n">
        <f aca="false">BG65+BG155-BF155</f>
        <v>1405.55618453349</v>
      </c>
      <c r="BH156" s="16" t="n">
        <f aca="false">BH65+BH155-BG155</f>
        <v>1523.02172480609</v>
      </c>
      <c r="BI156" s="16" t="n">
        <f aca="false">BI65+BI155-BH155</f>
        <v>1601.75642858977</v>
      </c>
      <c r="BJ156" s="16" t="n">
        <f aca="false">BJ65+BJ155-BI155</f>
        <v>1681.62152034066</v>
      </c>
      <c r="BK156" s="16" t="n">
        <f aca="false">BK65+BK155-BJ155</f>
        <v>1762.62388391408</v>
      </c>
    </row>
    <row r="157" customFormat="false" ht="15" hidden="false" customHeight="true" outlineLevel="0" collapsed="false">
      <c r="A157" s="12" t="s">
        <v>784</v>
      </c>
      <c r="B157" s="4" t="s">
        <v>44</v>
      </c>
      <c r="D157" s="16" t="n">
        <f aca="false">MAX(0,D156)*Inputs!$C$102/30</f>
        <v>0</v>
      </c>
      <c r="E157" s="16" t="n">
        <f aca="false">MAX(0,E156)*Inputs!$C$102/30</f>
        <v>0</v>
      </c>
      <c r="F157" s="16" t="n">
        <f aca="false">MAX(0,F156)*Inputs!$C$102/30</f>
        <v>0</v>
      </c>
      <c r="G157" s="16" t="n">
        <f aca="false">MAX(0,G156)*Inputs!$C$102/30</f>
        <v>0.5625</v>
      </c>
      <c r="H157" s="16" t="n">
        <f aca="false">MAX(0,H156)*Inputs!$C$102/30</f>
        <v>1.125</v>
      </c>
      <c r="I157" s="16" t="n">
        <f aca="false">MAX(0,I156)*Inputs!$C$102/30</f>
        <v>1.6875</v>
      </c>
      <c r="J157" s="16" t="n">
        <f aca="false">MAX(0,J156)*Inputs!$C$102/30</f>
        <v>1.875</v>
      </c>
      <c r="K157" s="16" t="n">
        <f aca="false">MAX(0,K156)*Inputs!$C$102/30</f>
        <v>2.25</v>
      </c>
      <c r="L157" s="16" t="n">
        <f aca="false">MAX(0,L156)*Inputs!$C$102/30</f>
        <v>7.643197265625</v>
      </c>
      <c r="M157" s="16" t="n">
        <f aca="false">MAX(0,M156)*Inputs!$C$102/30</f>
        <v>9.1554259051943</v>
      </c>
      <c r="N157" s="16" t="n">
        <f aca="false">MAX(0,N156)*Inputs!$C$102/30</f>
        <v>10.6706364313933</v>
      </c>
      <c r="O157" s="16" t="n">
        <f aca="false">MAX(0,O156)*Inputs!$C$102/30</f>
        <v>13.7990774520298</v>
      </c>
      <c r="P157" s="16" t="n">
        <f aca="false">MAX(0,P156)*Inputs!$C$102/30</f>
        <v>17.3981167801463</v>
      </c>
      <c r="Q157" s="16" t="n">
        <f aca="false">MAX(0,Q156)*Inputs!$C$102/30</f>
        <v>20.9341341896811</v>
      </c>
      <c r="R157" s="16" t="n">
        <f aca="false">MAX(0,R156)*Inputs!$C$102/30</f>
        <v>24.6194880406113</v>
      </c>
      <c r="S157" s="16" t="n">
        <f aca="false">MAX(0,S156)*Inputs!$C$102/30</f>
        <v>32.8868441321472</v>
      </c>
      <c r="T157" s="16" t="n">
        <f aca="false">MAX(0,T156)*Inputs!$C$102/30</f>
        <v>42.055699918483</v>
      </c>
      <c r="U157" s="16" t="n">
        <f aca="false">MAX(0,U156)*Inputs!$C$102/30</f>
        <v>50.4492115336597</v>
      </c>
      <c r="V157" s="16" t="n">
        <f aca="false">MAX(0,V156)*Inputs!$C$102/30</f>
        <v>55.1708088126058</v>
      </c>
      <c r="W157" s="16" t="n">
        <f aca="false">MAX(0,W156)*Inputs!$C$102/30</f>
        <v>59.9021295865015</v>
      </c>
      <c r="X157" s="16" t="n">
        <f aca="false">MAX(0,X156)*Inputs!$C$102/30</f>
        <v>102.623479755209</v>
      </c>
      <c r="Y157" s="16" t="n">
        <f aca="false">MAX(0,Y156)*Inputs!$C$102/30</f>
        <v>119.349541043589</v>
      </c>
      <c r="Z157" s="16" t="n">
        <f aca="false">MAX(0,Z156)*Inputs!$C$102/30</f>
        <v>136.541299105741</v>
      </c>
      <c r="AA157" s="16" t="n">
        <f aca="false">MAX(0,AA156)*Inputs!$C$102/30</f>
        <v>154.202084033177</v>
      </c>
      <c r="AB157" s="16" t="n">
        <f aca="false">MAX(0,AB156)*Inputs!$C$102/30</f>
        <v>175.999617882205</v>
      </c>
      <c r="AC157" s="16" t="n">
        <f aca="false">MAX(0,AC156)*Inputs!$C$102/30</f>
        <v>196.631129610391</v>
      </c>
      <c r="AD157" s="16" t="n">
        <f aca="false">MAX(0,AD156)*Inputs!$C$102/30</f>
        <v>213.106847071595</v>
      </c>
      <c r="AE157" s="16" t="n">
        <f aca="false">MAX(0,AE156)*Inputs!$C$102/30</f>
        <v>237.84275374714</v>
      </c>
      <c r="AF157" s="16" t="n">
        <f aca="false">MAX(0,AF156)*Inputs!$C$102/30</f>
        <v>263.757200231965</v>
      </c>
      <c r="AG157" s="16" t="n">
        <f aca="false">MAX(0,AG156)*Inputs!$C$102/30</f>
        <v>290.850461595754</v>
      </c>
      <c r="AH157" s="16" t="n">
        <f aca="false">MAX(0,AH156)*Inputs!$C$102/30</f>
        <v>310.915889389177</v>
      </c>
      <c r="AI157" s="16" t="n">
        <f aca="false">MAX(0,AI156)*Inputs!$C$102/30</f>
        <v>331.035683650124</v>
      </c>
      <c r="AJ157" s="16" t="n">
        <f aca="false">MAX(0,AJ156)*Inputs!$C$102/30</f>
        <v>427.765210743562</v>
      </c>
      <c r="AK157" s="16" t="n">
        <f aca="false">MAX(0,AK156)*Inputs!$C$102/30</f>
        <v>472.560573590527</v>
      </c>
      <c r="AL157" s="16" t="n">
        <f aca="false">MAX(0,AL156)*Inputs!$C$102/30</f>
        <v>518.417905021476</v>
      </c>
      <c r="AM157" s="16" t="n">
        <f aca="false">MAX(0,AM156)*Inputs!$C$102/30</f>
        <v>565.34439949796</v>
      </c>
      <c r="AN157" s="16" t="n">
        <f aca="false">MAX(0,AN156)*Inputs!$C$102/30</f>
        <v>623.011617166399</v>
      </c>
      <c r="AO157" s="16" t="n">
        <f aca="false">MAX(0,AO156)*Inputs!$C$102/30</f>
        <v>676.680009401794</v>
      </c>
      <c r="AP157" s="16" t="n">
        <f aca="false">MAX(0,AP156)*Inputs!$C$102/30</f>
        <v>721.728350281681</v>
      </c>
      <c r="AQ157" s="16" t="n">
        <f aca="false">MAX(0,AQ156)*Inputs!$C$102/30</f>
        <v>775.787538650135</v>
      </c>
      <c r="AR157" s="16" t="n">
        <f aca="false">MAX(0,AR156)*Inputs!$C$102/30</f>
        <v>831.495143106109</v>
      </c>
      <c r="AS157" s="16" t="n">
        <f aca="false">MAX(0,AS156)*Inputs!$C$102/30</f>
        <v>888.851907640152</v>
      </c>
      <c r="AT157" s="16" t="n">
        <f aca="false">MAX(0,AT156)*Inputs!$C$102/30</f>
        <v>938.995403650849</v>
      </c>
      <c r="AU157" s="16" t="n">
        <f aca="false">MAX(0,AU156)*Inputs!$C$102/30</f>
        <v>989.289551961252</v>
      </c>
      <c r="AV157" s="16" t="n">
        <f aca="false">MAX(0,AV156)*Inputs!$C$102/30</f>
        <v>1125.94006114005</v>
      </c>
      <c r="AW157" s="16" t="n">
        <f aca="false">MAX(0,AW156)*Inputs!$C$102/30</f>
        <v>1206.81755716982</v>
      </c>
      <c r="AX157" s="16" t="n">
        <f aca="false">MAX(0,AX156)*Inputs!$C$102/30</f>
        <v>1289.31270020433</v>
      </c>
      <c r="AY157" s="16" t="n">
        <f aca="false">MAX(0,AY156)*Inputs!$C$102/30</f>
        <v>1373.43591122962</v>
      </c>
      <c r="AZ157" s="16" t="n">
        <f aca="false">MAX(0,AZ156)*Inputs!$C$102/30</f>
        <v>1476.34684604348</v>
      </c>
      <c r="BA157" s="16" t="n">
        <f aca="false">MAX(0,BA156)*Inputs!$C$102/30</f>
        <v>1570.83726030365</v>
      </c>
      <c r="BB157" s="16" t="n">
        <f aca="false">MAX(0,BB156)*Inputs!$C$102/30</f>
        <v>1653.42246346726</v>
      </c>
      <c r="BC157" s="16" t="n">
        <f aca="false">MAX(0,BC156)*Inputs!$C$102/30</f>
        <v>1744.95796205357</v>
      </c>
      <c r="BD157" s="16" t="n">
        <f aca="false">MAX(0,BD156)*Inputs!$C$102/30</f>
        <v>1838.08192771483</v>
      </c>
      <c r="BE157" s="16" t="n">
        <f aca="false">MAX(0,BE156)*Inputs!$C$102/30</f>
        <v>1932.79570883368</v>
      </c>
      <c r="BF157" s="16" t="n">
        <f aca="false">MAX(0,BF156)*Inputs!$C$102/30</f>
        <v>2020.42498255208</v>
      </c>
      <c r="BG157" s="16" t="n">
        <f aca="false">MAX(0,BG156)*Inputs!$C$102/30</f>
        <v>2108.33427680023</v>
      </c>
      <c r="BH157" s="16" t="n">
        <f aca="false">MAX(0,BH156)*Inputs!$C$102/30</f>
        <v>2284.53258720914</v>
      </c>
      <c r="BI157" s="16" t="n">
        <f aca="false">MAX(0,BI156)*Inputs!$C$102/30</f>
        <v>2402.63464288465</v>
      </c>
      <c r="BJ157" s="16" t="n">
        <f aca="false">MAX(0,BJ156)*Inputs!$C$102/30</f>
        <v>2522.432280511</v>
      </c>
      <c r="BK157" s="16" t="n">
        <f aca="false">MAX(0,BK156)*Inputs!$C$102/30</f>
        <v>2643.93582587112</v>
      </c>
    </row>
    <row r="158" customFormat="false" ht="15" hidden="false" customHeight="true" outlineLevel="0" collapsed="false">
      <c r="A158" s="12" t="s">
        <v>2009</v>
      </c>
      <c r="B158" s="4" t="s">
        <v>44</v>
      </c>
      <c r="D158" s="16" t="n">
        <f aca="false">(D70+D71+D72+D73+D74+D75+D82+D84+D125+D126+D127+D128+D130+D132+D133+D134+D135)*Inputs!$C$103/30</f>
        <v>5.86</v>
      </c>
      <c r="E158" s="16" t="n">
        <f aca="false">(E70+E71+E72+E73+E74+E75+E82+E84+E125+E126+E127+E128+E130+E132+E133+E134+E135)*Inputs!$C$103/30</f>
        <v>3.61</v>
      </c>
      <c r="F158" s="16" t="n">
        <f aca="false">(F70+F71+F72+F73+F74+F75+F82+F84+F125+F126+F127+F128+F130+F132+F133+F134+F135)*Inputs!$C$103/30</f>
        <v>9.04</v>
      </c>
      <c r="G158" s="16" t="n">
        <f aca="false">(G70+G71+G72+G73+G74+G75+G82+G84+G125+G126+G127+G128+G130+G132+G133+G134+G135)*Inputs!$C$103/30</f>
        <v>9.5065</v>
      </c>
      <c r="H158" s="16" t="n">
        <f aca="false">(H70+H71+H72+H73+H74+H75+H82+H84+H125+H126+H127+H128+H130+H132+H133+H134+H135)*Inputs!$C$103/30</f>
        <v>8.083</v>
      </c>
      <c r="I158" s="16" t="n">
        <f aca="false">(I70+I71+I72+I73+I74+I75+I82+I84+I125+I126+I127+I128+I130+I132+I133+I134+I135)*Inputs!$C$103/30</f>
        <v>8.4095</v>
      </c>
      <c r="J158" s="16" t="n">
        <f aca="false">(J70+J71+J72+J73+J74+J75+J82+J84+J125+J126+J127+J128+J130+J132+J133+J134+J135)*Inputs!$C$103/30</f>
        <v>9.15425</v>
      </c>
      <c r="K158" s="16" t="n">
        <f aca="false">(K70+K71+K72+K73+K74+K75+K82+K84+K125+K126+K127+K128+K130+K132+K133+K134+K135)*Inputs!$C$103/30</f>
        <v>9.35525</v>
      </c>
      <c r="L158" s="16" t="n">
        <f aca="false">(L70+L71+L72+L73+L74+L75+L82+L84+L125+L126+L127+L128+L130+L132+L133+L134+L135)*Inputs!$C$103/30</f>
        <v>12.4157</v>
      </c>
      <c r="M158" s="16" t="n">
        <f aca="false">(M70+M71+M72+M73+M74+M75+M82+M84+M125+M126+M127+M128+M130+M132+M133+M134+M135)*Inputs!$C$103/30</f>
        <v>11.3736956192141</v>
      </c>
      <c r="N158" s="16" t="n">
        <f aca="false">(N70+N71+N72+N73+N74+N75+N82+N84+N125+N126+N127+N128+N130+N132+N133+N134+N135)*Inputs!$C$103/30</f>
        <v>11.8313644361735</v>
      </c>
      <c r="O158" s="16" t="n">
        <f aca="false">(O70+O71+O72+O73+O74+O75+O82+O84+O125+O126+O127+O128+O130+O132+O133+O134+O135)*Inputs!$C$103/30</f>
        <v>12.6533590092237</v>
      </c>
      <c r="P158" s="16" t="n">
        <f aca="false">(P70+P71+P72+P73+P74+P75+P82+P84+P125+P126+P127+P128+P130+P132+P133+P134+P135)*Inputs!$C$103/30</f>
        <v>27.4108184789326</v>
      </c>
      <c r="Q158" s="16" t="n">
        <f aca="false">(Q70+Q71+Q72+Q73+Q74+Q75+Q82+Q84+Q125+Q126+Q127+Q128+Q130+Q132+Q133+Q134+Q135)*Inputs!$C$103/30</f>
        <v>22.1993086300187</v>
      </c>
      <c r="R158" s="16" t="n">
        <f aca="false">(R70+R71+R72+R73+R74+R75+R82+R84+R125+R126+R127+R128+R130+R132+R133+R134+R135)*Inputs!$C$103/30</f>
        <v>22.1002862085775</v>
      </c>
      <c r="S158" s="16" t="n">
        <f aca="false">(S70+S71+S72+S73+S74+S75+S82+S84+S125+S126+S127+S128+S130+S132+S133+S134+S135)*Inputs!$C$103/30</f>
        <v>26.6780083167832</v>
      </c>
      <c r="T158" s="16" t="n">
        <f aca="false">(T70+T71+T72+T73+T74+T75+T82+T84+T125+T126+T127+T128+T130+T132+T133+T134+T135)*Inputs!$C$103/30</f>
        <v>29.1243865150804</v>
      </c>
      <c r="U158" s="16" t="n">
        <f aca="false">(U70+U71+U72+U73+U74+U75+U82+U84+U125+U126+U127+U128+U130+U132+U133+U134+U135)*Inputs!$C$103/30</f>
        <v>30.5315946672854</v>
      </c>
      <c r="V158" s="16" t="n">
        <f aca="false">(V70+V71+V72+V73+V74+V75+V82+V84+V125+V126+V127+V128+V130+V132+V133+V134+V135)*Inputs!$C$103/30</f>
        <v>40.9640897031505</v>
      </c>
      <c r="W158" s="16" t="n">
        <f aca="false">(W70+W71+W72+W73+W74+W75+W82+W84+W125+W126+W127+W128+W130+W132+W133+W134+W135)*Inputs!$C$103/30</f>
        <v>43.2415554811099</v>
      </c>
      <c r="X158" s="16" t="n">
        <f aca="false">(X70+X71+X72+X73+X74+X75+X82+X84+X125+X126+X127+X128+X130+X132+X133+X134+X135)*Inputs!$C$103/30</f>
        <v>53.2395871577347</v>
      </c>
      <c r="Y158" s="16" t="n">
        <f aca="false">(Y70+Y71+Y72+Y73+Y74+Y75+Y82+Y84+Y125+Y126+Y127+Y128+Y130+Y132+Y133+Y134+Y135)*Inputs!$C$103/30</f>
        <v>54.7661197171482</v>
      </c>
      <c r="Z158" s="16" t="n">
        <f aca="false">(Z70+Z71+Z72+Z73+Z74+Z75+Z82+Z84+Z125+Z126+Z127+Z128+Z130+Z132+Z133+Z134+Z135)*Inputs!$C$103/30</f>
        <v>57.0064205897561</v>
      </c>
      <c r="AA158" s="16" t="n">
        <f aca="false">(AA70+AA71+AA72+AA73+AA74+AA75+AA82+AA84+AA125+AA126+AA127+AA128+AA130+AA132+AA133+AA134+AA135)*Inputs!$C$103/30</f>
        <v>59.210204481984</v>
      </c>
      <c r="AB158" s="16" t="n">
        <f aca="false">(AB70+AB71+AB72+AB73+AB74+AB75+AB82+AB84+AB125+AB126+AB127+AB128+AB130+AB132+AB133+AB134+AB135)*Inputs!$C$103/30</f>
        <v>81.5587408345229</v>
      </c>
      <c r="AC158" s="16" t="n">
        <f aca="false">(AC70+AC71+AC72+AC73+AC74+AC75+AC82+AC84+AC125+AC126+AC127+AC128+AC130+AC132+AC133+AC134+AC135)*Inputs!$C$103/30</f>
        <v>74.3713292780333</v>
      </c>
      <c r="AD158" s="16" t="n">
        <f aca="false">(AD70+AD71+AD72+AD73+AD74+AD75+AD82+AD84+AD125+AD126+AD127+AD128+AD130+AD132+AD133+AD134+AD135)*Inputs!$C$103/30</f>
        <v>75.0641978550554</v>
      </c>
      <c r="AE158" s="16" t="n">
        <f aca="false">(AE70+AE71+AE72+AE73+AE74+AE75+AE82+AE84+AE125+AE126+AE127+AE128+AE130+AE132+AE133+AE134+AE135)*Inputs!$C$103/30</f>
        <v>84.8808028853858</v>
      </c>
      <c r="AF158" s="16" t="n">
        <f aca="false">(AF70+AF71+AF72+AF73+AF74+AF75+AF82+AF84+AF125+AF126+AF127+AF128+AF130+AF132+AF133+AF134+AF135)*Inputs!$C$103/30</f>
        <v>86.9525794352417</v>
      </c>
      <c r="AG158" s="16" t="n">
        <f aca="false">(AG70+AG71+AG72+AG73+AG74+AG75+AG82+AG84+AG125+AG126+AG127+AG128+AG130+AG132+AG133+AG134+AG135)*Inputs!$C$103/30</f>
        <v>89.9081185576629</v>
      </c>
      <c r="AH158" s="16" t="n">
        <f aca="false">(AH70+AH71+AH72+AH73+AH74+AH75+AH82+AH84+AH125+AH126+AH127+AH128+AH130+AH132+AH133+AH134+AH135)*Inputs!$C$103/30</f>
        <v>113.469818724147</v>
      </c>
      <c r="AI158" s="16" t="n">
        <f aca="false">(AI70+AI71+AI72+AI73+AI74+AI75+AI82+AI84+AI125+AI126+AI127+AI128+AI130+AI132+AI133+AI134+AI135)*Inputs!$C$103/30</f>
        <v>116.802780079819</v>
      </c>
      <c r="AJ158" s="16" t="n">
        <f aca="false">(AJ70+AJ71+AJ72+AJ73+AJ74+AJ75+AJ82+AJ84+AJ125+AJ126+AJ127+AJ128+AJ130+AJ132+AJ133+AJ134+AJ135)*Inputs!$C$103/30</f>
        <v>138.722425549991</v>
      </c>
      <c r="AK158" s="16" t="n">
        <f aca="false">(AK70+AK71+AK72+AK73+AK74+AK75+AK82+AK84+AK125+AK126+AK127+AK128+AK130+AK132+AK133+AK134+AK135)*Inputs!$C$103/30</f>
        <v>143.155175710216</v>
      </c>
      <c r="AL158" s="16" t="n">
        <f aca="false">(AL70+AL71+AL72+AL73+AL74+AL75+AL82+AL84+AL125+AL126+AL127+AL128+AL130+AL132+AL133+AL134+AL135)*Inputs!$C$103/30</f>
        <v>146.502137563728</v>
      </c>
      <c r="AM158" s="16" t="n">
        <f aca="false">(AM70+AM71+AM72+AM73+AM74+AM75+AM82+AM84+AM125+AM126+AM127+AM128+AM130+AM132+AM133+AM134+AM135)*Inputs!$C$103/30</f>
        <v>153.041987434664</v>
      </c>
      <c r="AN158" s="16" t="n">
        <f aca="false">(AN70+AN71+AN72+AN73+AN74+AN75+AN82+AN84+AN125+AN126+AN127+AN128+AN130+AN132+AN133+AN134+AN135)*Inputs!$C$103/30</f>
        <v>182.726377053488</v>
      </c>
      <c r="AO158" s="16" t="n">
        <f aca="false">(AO70+AO71+AO72+AO73+AO74+AO75+AO82+AO84+AO125+AO126+AO127+AO128+AO130+AO132+AO133+AO134+AO135)*Inputs!$C$103/30</f>
        <v>176.013716923092</v>
      </c>
      <c r="AP158" s="16" t="n">
        <f aca="false">(AP70+AP71+AP72+AP73+AP74+AP75+AP82+AP84+AP125+AP126+AP127+AP128+AP130+AP132+AP133+AP134+AP135)*Inputs!$C$103/30</f>
        <v>177.491680510036</v>
      </c>
      <c r="AQ158" s="16" t="n">
        <f aca="false">(AQ70+AQ71+AQ72+AQ73+AQ74+AQ75+AQ82+AQ84+AQ125+AQ126+AQ127+AQ128+AQ130+AQ132+AQ133+AQ134+AQ135)*Inputs!$C$103/30</f>
        <v>188.200819581104</v>
      </c>
      <c r="AR158" s="16" t="n">
        <f aca="false">(AR70+AR71+AR72+AR73+AR74+AR75+AR82+AR84+AR125+AR126+AR127+AR128+AR130+AR132+AR133+AR134+AR135)*Inputs!$C$103/30</f>
        <v>194.03325713805</v>
      </c>
      <c r="AS158" s="16" t="n">
        <f aca="false">(AS70+AS71+AS72+AS73+AS74+AS75+AS82+AS84+AS125+AS126+AS127+AS128+AS130+AS132+AS133+AS134+AS135)*Inputs!$C$103/30</f>
        <v>197.641365042327</v>
      </c>
      <c r="AT158" s="16" t="n">
        <f aca="false">(AT70+AT71+AT72+AT73+AT74+AT75+AT82+AT84+AT125+AT126+AT127+AT128+AT130+AT132+AT133+AT134+AT135)*Inputs!$C$103/30</f>
        <v>223.564225732107</v>
      </c>
      <c r="AU158" s="16" t="n">
        <f aca="false">(AU70+AU71+AU72+AU73+AU74+AU75+AU82+AU84+AU125+AU126+AU127+AU128+AU130+AU132+AU133+AU134+AU135)*Inputs!$C$103/30</f>
        <v>229.55064361872</v>
      </c>
      <c r="AV158" s="16" t="n">
        <f aca="false">(AV70+AV71+AV72+AV73+AV74+AV75+AV82+AV84+AV125+AV126+AV127+AV128+AV130+AV132+AV133+AV134+AV135)*Inputs!$C$103/30</f>
        <v>255.23412174319</v>
      </c>
      <c r="AW158" s="16" t="n">
        <f aca="false">(AW70+AW71+AW72+AW73+AW74+AW75+AW82+AW84+AW125+AW126+AW127+AW128+AW130+AW132+AW133+AW134+AW135)*Inputs!$C$103/30</f>
        <v>261.111645581891</v>
      </c>
      <c r="AX158" s="16" t="n">
        <f aca="false">(AX70+AX71+AX72+AX73+AX74+AX75+AX82+AX84+AX125+AX126+AX127+AX128+AX130+AX132+AX133+AX134+AX135)*Inputs!$C$103/30</f>
        <v>267.506457889621</v>
      </c>
      <c r="AY158" s="16" t="n">
        <f aca="false">(AY70+AY71+AY72+AY73+AY74+AY75+AY82+AY84+AY125+AY126+AY127+AY128+AY130+AY132+AY133+AY134+AY135)*Inputs!$C$103/30</f>
        <v>275.445753719104</v>
      </c>
      <c r="AZ158" s="16" t="n">
        <f aca="false">(AZ70+AZ71+AZ72+AZ73+AZ74+AZ75+AZ82+AZ84+AZ125+AZ126+AZ127+AZ128+AZ130+AZ132+AZ133+AZ134+AZ135)*Inputs!$C$103/30</f>
        <v>310.259827100704</v>
      </c>
      <c r="BA158" s="16" t="n">
        <f aca="false">(BA70+BA71+BA72+BA73+BA74+BA75+BA82+BA84+BA125+BA126+BA127+BA128+BA130+BA132+BA133+BA134+BA135)*Inputs!$C$103/30</f>
        <v>304.452035494256</v>
      </c>
      <c r="BB158" s="16" t="n">
        <f aca="false">(BB70+BB71+BB72+BB73+BB74+BB75+BB82+BB84+BB125+BB126+BB127+BB128+BB130+BB132+BB133+BB134+BB135)*Inputs!$C$103/30</f>
        <v>306.716938930028</v>
      </c>
      <c r="BC158" s="16" t="n">
        <f aca="false">(BC70+BC71+BC72+BC73+BC74+BC75+BC82+BC84+BC125+BC126+BC127+BC128+BC130+BC132+BC133+BC134+BC135)*Inputs!$C$103/30</f>
        <v>320.154273019554</v>
      </c>
      <c r="BD158" s="16" t="n">
        <f aca="false">(BD70+BD71+BD72+BD73+BD74+BD75+BD82+BD84+BD125+BD126+BD127+BD128+BD130+BD132+BD133+BD134+BD135)*Inputs!$C$103/30</f>
        <v>325.060550368128</v>
      </c>
      <c r="BE158" s="16" t="n">
        <f aca="false">(BE70+BE71+BE72+BE73+BE74+BE75+BE82+BE84+BE125+BE126+BE127+BE128+BE130+BE132+BE133+BE134+BE135)*Inputs!$C$103/30</f>
        <v>328.304165536355</v>
      </c>
      <c r="BF158" s="16" t="n">
        <f aca="false">(BF70+BF71+BF72+BF73+BF74+BF75+BF82+BF84+BF125+BF126+BF127+BF128+BF130+BF132+BF133+BF134+BF135)*Inputs!$C$103/30</f>
        <v>358.265615967209</v>
      </c>
      <c r="BG158" s="16" t="n">
        <f aca="false">(BG70+BG71+BG72+BG73+BG74+BG75+BG82+BG84+BG125+BG126+BG127+BG128+BG130+BG132+BG133+BG134+BG135)*Inputs!$C$103/30</f>
        <v>363.171670715646</v>
      </c>
      <c r="BH158" s="16" t="n">
        <f aca="false">(BH70+BH71+BH72+BH73+BH74+BH75+BH82+BH84+BH125+BH126+BH127+BH128+BH130+BH132+BH133+BH134+BH135)*Inputs!$C$103/30</f>
        <v>389.412202010035</v>
      </c>
      <c r="BI158" s="16" t="n">
        <f aca="false">(BI70+BI71+BI72+BI73+BI74+BI75+BI82+BI84+BI125+BI126+BI127+BI128+BI130+BI132+BI133+BI134+BI135)*Inputs!$C$103/30</f>
        <v>396.380576876376</v>
      </c>
      <c r="BJ158" s="16" t="n">
        <f aca="false">(BJ70+BJ71+BJ72+BJ73+BJ74+BJ75+BJ82+BJ84+BJ125+BJ126+BJ127+BJ128+BJ130+BJ132+BJ133+BJ134+BJ135)*Inputs!$C$103/30</f>
        <v>402.221372807567</v>
      </c>
      <c r="BK158" s="16" t="n">
        <f aca="false">(BK70+BK71+BK72+BK73+BK74+BK75+BK82+BK84+BK125+BK126+BK127+BK128+BK130+BK132+BK133+BK134+BK135)*Inputs!$C$103/30</f>
        <v>410.371706012629</v>
      </c>
    </row>
    <row r="159" customFormat="false" ht="15" hidden="false" customHeight="true" outlineLevel="0" collapsed="false">
      <c r="A159" s="5" t="s">
        <v>770</v>
      </c>
      <c r="B159" s="4" t="s">
        <v>44</v>
      </c>
      <c r="D159" s="52" t="n">
        <f aca="false">D152+D142-(D157-0)+(D158-0)+(D155-0)</f>
        <v>-3.36</v>
      </c>
      <c r="E159" s="52" t="n">
        <f aca="false">E152+E142-(E157-D157)+(E158-D158)+(E155-D155)</f>
        <v>-9.22</v>
      </c>
      <c r="F159" s="52" t="n">
        <f aca="false">F152+F142-(F157-E157)+(F158-E158)+(F155-E155)</f>
        <v>-12.01</v>
      </c>
      <c r="G159" s="52" t="n">
        <f aca="false">G152+G142-(G157-F157)+(G158-F158)+(G155-F155)</f>
        <v>-20.3341666666667</v>
      </c>
      <c r="H159" s="52" t="n">
        <f aca="false">H152+H142-(H157-G157)+(H158-G158)+(H155-G155)</f>
        <v>-20.4256666666667</v>
      </c>
      <c r="I159" s="52" t="n">
        <f aca="false">I152+I142-(I157-H157)+(I158-H158)+(I155-H155)</f>
        <v>-18.6271666666667</v>
      </c>
      <c r="J159" s="52" t="n">
        <f aca="false">J152+J142-(J157-I157)+(J158-I158)+(J155-I155)</f>
        <v>-18.4536666666667</v>
      </c>
      <c r="K159" s="52" t="n">
        <f aca="false">K152+K142-(K157-J157)+(K158-J158)+(K155-J155)</f>
        <v>-19.1359166666667</v>
      </c>
      <c r="L159" s="52" t="n">
        <f aca="false">L152+L142-(L157-K157)+(L158-K158)+(L155-K155)</f>
        <v>-22.1596490885417</v>
      </c>
      <c r="M159" s="52" t="n">
        <f aca="false">M152+M142-(M157-L157)+(M158-L158)+(M155-L155)</f>
        <v>-20.3309780361064</v>
      </c>
      <c r="N159" s="52" t="n">
        <f aca="false">N152+N142-(N157-M157)+(N158-M158)+(N155-M155)</f>
        <v>-18.2818151911509</v>
      </c>
      <c r="O159" s="52" t="n">
        <f aca="false">O152+O142-(O157-N157)+(O158-N158)+(O155-N155)</f>
        <v>-18.2670871554568</v>
      </c>
      <c r="P159" s="52" t="n">
        <f aca="false">P152+P142-(P157-O157)+(P158-O158)+(P155-O155)</f>
        <v>-31.8696538172427</v>
      </c>
      <c r="Q159" s="52" t="n">
        <f aca="false">Q152+Q142-(Q157-P157)+(Q158-P158)+(Q155-P155)</f>
        <v>-45.21474642868</v>
      </c>
      <c r="R159" s="52" t="n">
        <f aca="false">R152+R142-(R157-Q157)+(R158-Q158)+(R155-Q155)</f>
        <v>-37.6956704538747</v>
      </c>
      <c r="S159" s="52" t="n">
        <f aca="false">S152+S142-(S157-R157)+(S158-R158)+(S155-R155)</f>
        <v>-36.6670795453486</v>
      </c>
      <c r="T159" s="52" t="n">
        <f aca="false">T152+T142-(T157-S157)+(T158-S158)+(T155-S155)</f>
        <v>-37.0417308241303</v>
      </c>
      <c r="U159" s="52" t="n">
        <f aca="false">U152+U142-(U157-T157)+(U158-T158)+(U155-T155)</f>
        <v>-34.1250904411507</v>
      </c>
      <c r="V159" s="52" t="n">
        <f aca="false">V152+V142-(V157-U157)+(V158-U158)+(V155-U155)</f>
        <v>-28.7126527378276</v>
      </c>
      <c r="W159" s="52" t="n">
        <f aca="false">W152+W142-(W157-V157)+(W158-V158)+(W155-V155)</f>
        <v>-37.0086574193786</v>
      </c>
      <c r="X159" s="52" t="n">
        <f aca="false">X152+X142-(X157-W157)+(X158-W158)+(X155-W155)</f>
        <v>-49.8032524796781</v>
      </c>
      <c r="Y159" s="52" t="n">
        <f aca="false">Y152+Y142-(Y157-X157)+(Y158-X158)+(Y155-X155)</f>
        <v>-22.6552877503885</v>
      </c>
      <c r="Z159" s="52" t="n">
        <f aca="false">Z152+Z142-(Z157-Y157)+(Z158-Y158)+(Z155-Y155)</f>
        <v>-13.1863450421393</v>
      </c>
      <c r="AA159" s="52" t="n">
        <f aca="false">AA152+AA142-(AA157-Z157)+(AA158-Z158)+(AA155-Z155)</f>
        <v>-4.12181616174064</v>
      </c>
      <c r="AB159" s="52" t="n">
        <f aca="false">AB152+AB142-(AB157-AA157)+(AB158-AA158)+(AB155-AA155)</f>
        <v>-19.1952997428755</v>
      </c>
      <c r="AC159" s="52" t="n">
        <f aca="false">AC152+AC142-(AC157-AB157)+(AC158-AB158)+(AC155-AB155)</f>
        <v>-27.7121128224486</v>
      </c>
      <c r="AD159" s="52" t="n">
        <f aca="false">AD152+AD142-(AD157-AC157)+(AD158-AC158)+(AD155-AC155)</f>
        <v>-6.36487135817369</v>
      </c>
      <c r="AE159" s="52" t="n">
        <f aca="false">AE152+AE142-(AE157-AD157)+(AE158-AD158)+(AE155-AD155)</f>
        <v>-0.569148699173582</v>
      </c>
      <c r="AF159" s="52" t="n">
        <f aca="false">AF152+AF142-(AF157-AE157)+(AF158-AE158)+(AF155-AE155)</f>
        <v>4.62336411776603</v>
      </c>
      <c r="AG159" s="52" t="n">
        <f aca="false">AG152+AG142-(AG157-AF157)+(AG158-AF158)+(AG155-AF155)</f>
        <v>18.3463069314722</v>
      </c>
      <c r="AH159" s="52" t="n">
        <f aca="false">AH152+AH142-(AH157-AG157)+(AH158-AG158)+(AH155-AG155)</f>
        <v>34.7069132416987</v>
      </c>
      <c r="AI159" s="52" t="n">
        <f aca="false">AI152+AI142-(AI157-AH157)+(AI158-AH158)+(AI155-AH155)</f>
        <v>23.4154027816553</v>
      </c>
      <c r="AJ159" s="52" t="n">
        <f aca="false">AJ152+AJ142-(AJ157-AI157)+(AJ158-AI158)+(AJ155-AI155)</f>
        <v>4.80200398911671</v>
      </c>
      <c r="AK159" s="52" t="n">
        <f aca="false">AK152+AK142-(AK157-AJ157)+(AK158-AJ158)+(AK155-AJ155)</f>
        <v>62.9382739967287</v>
      </c>
      <c r="AL159" s="52" t="n">
        <f aca="false">AL152+AL142-(AL157-AK157)+(AL158-AK158)+(AL155-AK155)</f>
        <v>88.015109539819</v>
      </c>
      <c r="AM159" s="52" t="n">
        <f aca="false">AM152+AM142-(AM157-AL157)+(AM158-AL158)+(AM155-AL155)</f>
        <v>112.814898291762</v>
      </c>
      <c r="AN159" s="52" t="n">
        <f aca="false">AN152+AN142-(AN157-AM157)+(AN158-AM158)+(AN155-AM155)</f>
        <v>102.81355108783</v>
      </c>
      <c r="AO159" s="52" t="n">
        <f aca="false">AO152+AO142-(AO157-AN157)+(AO158-AN158)+(AO155-AN155)</f>
        <v>112.20147633898</v>
      </c>
      <c r="AP159" s="52" t="n">
        <f aca="false">AP152+AP142-(AP157-AO157)+(AP158-AO158)+(AP155-AO155)</f>
        <v>123.22693020549</v>
      </c>
      <c r="AQ159" s="52" t="n">
        <f aca="false">AQ152+AQ142-(AQ157-AP157)+(AQ158-AP158)+(AQ155-AP155)</f>
        <v>135.802228786878</v>
      </c>
      <c r="AR159" s="52" t="n">
        <f aca="false">AR152+AR142-(AR157-AQ157)+(AR158-AQ158)+(AR155-AQ155)</f>
        <v>150.482731452597</v>
      </c>
      <c r="AS159" s="52" t="n">
        <f aca="false">AS152+AS142-(AS157-AR157)+(AS158-AR158)+(AS155-AR155)</f>
        <v>170.909748234528</v>
      </c>
      <c r="AT159" s="52" t="n">
        <f aca="false">AT152+AT142-(AT157-AS157)+(AT158-AS158)+(AT155-AS155)</f>
        <v>205.224752976894</v>
      </c>
      <c r="AU159" s="52" t="n">
        <f aca="false">AU152+AU142-(AU157-AT157)+(AU158-AT158)+(AU155-AT155)</f>
        <v>204.047360966451</v>
      </c>
      <c r="AV159" s="52" t="n">
        <f aca="false">AV152+AV142-(AV157-AU157)+(AV158-AU158)+(AV155-AU155)</f>
        <v>187.403197849667</v>
      </c>
      <c r="AW159" s="52" t="n">
        <f aca="false">AW152+AW142-(AW157-AV157)+(AW158-AV158)+(AW155-AV155)</f>
        <v>258.413709793904</v>
      </c>
      <c r="AX159" s="52" t="n">
        <f aca="false">AX152+AX142-(AX157-AW157)+(AX158-AW158)+(AX155-AW155)</f>
        <v>293.914939737146</v>
      </c>
      <c r="AY159" s="52" t="n">
        <f aca="false">AY152+AY142-(AY157-AX157)+(AY158-AX158)+(AY155-AX155)</f>
        <v>328.956856563093</v>
      </c>
      <c r="AZ159" s="52" t="n">
        <f aca="false">AZ152+AZ142-(AZ157-AY157)+(AZ158-AY158)+(AZ155-AY155)</f>
        <v>334.895071299611</v>
      </c>
      <c r="BA159" s="52" t="n">
        <f aca="false">BA152+BA142-(BA157-AZ157)+(BA158-AZ158)+(BA155-AZ155)</f>
        <v>354.121695700451</v>
      </c>
      <c r="BB159" s="52" t="n">
        <f aca="false">BB152+BB142-(BB157-BA157)+(BB158-BA158)+(BB155-BA155)</f>
        <v>413.118218212566</v>
      </c>
      <c r="BC159" s="52" t="n">
        <f aca="false">BC152+BC142-(BC157-BB157)+(BC158-BB158)+(BC155-BB155)</f>
        <v>448.295122859102</v>
      </c>
      <c r="BD159" s="52" t="n">
        <f aca="false">BD152+BD142-(BD157-BC157)+(BD158-BC158)+(BD155-BC155)</f>
        <v>478.678763711957</v>
      </c>
      <c r="BE159" s="52" t="n">
        <f aca="false">BE152+BE142-(BE157-BD157)+(BE158-BD158)+(BE155-BD155)</f>
        <v>519.375603339969</v>
      </c>
      <c r="BF159" s="52" t="n">
        <f aca="false">BF152+BF142-(BF157-BE157)+(BF158-BE158)+(BF155-BE155)</f>
        <v>572.199596512942</v>
      </c>
      <c r="BG159" s="52" t="n">
        <f aca="false">BG152+BG142-(BG157-BF157)+(BG158-BF158)+(BG155-BF155)</f>
        <v>585.23359640728</v>
      </c>
      <c r="BH159" s="52" t="n">
        <f aca="false">BH152+BH142-(BH157-BG157)+(BH158-BG158)+(BH155-BG155)</f>
        <v>587.517554241663</v>
      </c>
      <c r="BI159" s="52" t="n">
        <f aca="false">BI152+BI142-(BI157-BH157)+(BI158-BH158)+(BI155-BH155)</f>
        <v>678.423440629106</v>
      </c>
      <c r="BJ159" s="52" t="n">
        <f aca="false">BJ152+BJ142-(BJ157-BI157)+(BJ158-BI158)+(BJ155-BI155)</f>
        <v>730.878067857628</v>
      </c>
      <c r="BK159" s="52" t="n">
        <f aca="false">BK152+BK142-(BK157-BJ157)+(BK158-BJ158)+(BK155-BJ155)</f>
        <v>785.323292697018</v>
      </c>
    </row>
    <row r="160" customFormat="false" ht="15" hidden="false" customHeight="true" outlineLevel="0" collapsed="false">
      <c r="A160" s="12" t="s">
        <v>2010</v>
      </c>
      <c r="B160" s="4" t="s">
        <v>44</v>
      </c>
      <c r="D160" s="16" t="n">
        <f aca="false">-D141</f>
        <v>-3.6</v>
      </c>
      <c r="E160" s="16" t="n">
        <f aca="false">-E141</f>
        <v>-0</v>
      </c>
      <c r="F160" s="16" t="n">
        <f aca="false">-F141</f>
        <v>-14.8</v>
      </c>
      <c r="G160" s="16" t="n">
        <f aca="false">-G141</f>
        <v>-2.4</v>
      </c>
      <c r="H160" s="16" t="n">
        <f aca="false">-H141</f>
        <v>-0</v>
      </c>
      <c r="I160" s="16" t="n">
        <f aca="false">-I141</f>
        <v>-0</v>
      </c>
      <c r="J160" s="16" t="n">
        <f aca="false">-J141</f>
        <v>-0</v>
      </c>
      <c r="K160" s="16" t="n">
        <f aca="false">-K141</f>
        <v>-0</v>
      </c>
      <c r="L160" s="16" t="n">
        <f aca="false">-L141</f>
        <v>-2.4</v>
      </c>
      <c r="M160" s="16" t="n">
        <f aca="false">-M141</f>
        <v>-0</v>
      </c>
      <c r="N160" s="16" t="n">
        <f aca="false">-N141</f>
        <v>-0</v>
      </c>
      <c r="O160" s="16" t="n">
        <f aca="false">-O141</f>
        <v>-0</v>
      </c>
      <c r="P160" s="16" t="n">
        <f aca="false">-P141</f>
        <v>-10.8</v>
      </c>
      <c r="Q160" s="16" t="n">
        <f aca="false">-Q141</f>
        <v>-1.2</v>
      </c>
      <c r="R160" s="16" t="n">
        <f aca="false">-R141</f>
        <v>-0</v>
      </c>
      <c r="S160" s="16" t="n">
        <f aca="false">-S141</f>
        <v>-0</v>
      </c>
      <c r="T160" s="16" t="n">
        <f aca="false">-T141</f>
        <v>-1.2</v>
      </c>
      <c r="U160" s="16" t="n">
        <f aca="false">-U141</f>
        <v>-1.2</v>
      </c>
      <c r="V160" s="16" t="n">
        <f aca="false">-V141</f>
        <v>-0</v>
      </c>
      <c r="W160" s="16" t="n">
        <f aca="false">-W141</f>
        <v>-1.2</v>
      </c>
      <c r="X160" s="16" t="n">
        <f aca="false">-X141</f>
        <v>-1.2</v>
      </c>
      <c r="Y160" s="16" t="n">
        <f aca="false">-Y141</f>
        <v>-0</v>
      </c>
      <c r="Z160" s="16" t="n">
        <f aca="false">-Z141</f>
        <v>-0</v>
      </c>
      <c r="AA160" s="16" t="n">
        <f aca="false">-AA141</f>
        <v>-0</v>
      </c>
      <c r="AB160" s="16" t="n">
        <f aca="false">-AB141</f>
        <v>-15.6</v>
      </c>
      <c r="AC160" s="16" t="n">
        <f aca="false">-AC141</f>
        <v>-1.2</v>
      </c>
      <c r="AD160" s="16" t="n">
        <f aca="false">-AD141</f>
        <v>-1.2</v>
      </c>
      <c r="AE160" s="16" t="n">
        <f aca="false">-AE141</f>
        <v>-2.4</v>
      </c>
      <c r="AF160" s="16" t="n">
        <f aca="false">-AF141</f>
        <v>-1.2</v>
      </c>
      <c r="AG160" s="16" t="n">
        <f aca="false">-AG141</f>
        <v>-1.2</v>
      </c>
      <c r="AH160" s="16" t="n">
        <f aca="false">-AH141</f>
        <v>-1.2</v>
      </c>
      <c r="AI160" s="16" t="n">
        <f aca="false">-AI141</f>
        <v>-1.2</v>
      </c>
      <c r="AJ160" s="16" t="n">
        <f aca="false">-AJ141</f>
        <v>-3.6</v>
      </c>
      <c r="AK160" s="16" t="n">
        <f aca="false">-AK141</f>
        <v>-2.4</v>
      </c>
      <c r="AL160" s="16" t="n">
        <f aca="false">-AL141</f>
        <v>-0</v>
      </c>
      <c r="AM160" s="16" t="n">
        <f aca="false">-AM141</f>
        <v>-2.4</v>
      </c>
      <c r="AN160" s="16" t="n">
        <f aca="false">-AN141</f>
        <v>-18</v>
      </c>
      <c r="AO160" s="16" t="n">
        <f aca="false">-AO141</f>
        <v>-1.2</v>
      </c>
      <c r="AP160" s="16" t="n">
        <f aca="false">-AP141</f>
        <v>-1.2</v>
      </c>
      <c r="AQ160" s="16" t="n">
        <f aca="false">-AQ141</f>
        <v>-1.2</v>
      </c>
      <c r="AR160" s="16" t="n">
        <f aca="false">-AR141</f>
        <v>-3.6</v>
      </c>
      <c r="AS160" s="16" t="n">
        <f aca="false">-AS141</f>
        <v>-2.4</v>
      </c>
      <c r="AT160" s="16" t="n">
        <f aca="false">-AT141</f>
        <v>-1.2</v>
      </c>
      <c r="AU160" s="16" t="n">
        <f aca="false">-AU141</f>
        <v>-2.4</v>
      </c>
      <c r="AV160" s="16" t="n">
        <f aca="false">-AV141</f>
        <v>-4.8</v>
      </c>
      <c r="AW160" s="16" t="n">
        <f aca="false">-AW141</f>
        <v>-2.4</v>
      </c>
      <c r="AX160" s="16" t="n">
        <f aca="false">-AX141</f>
        <v>-1.2</v>
      </c>
      <c r="AY160" s="16" t="n">
        <f aca="false">-AY141</f>
        <v>-2.4</v>
      </c>
      <c r="AZ160" s="16" t="n">
        <f aca="false">-AZ141</f>
        <v>-19.2</v>
      </c>
      <c r="BA160" s="16" t="n">
        <f aca="false">-BA141</f>
        <v>-1.2</v>
      </c>
      <c r="BB160" s="16" t="n">
        <f aca="false">-BB141</f>
        <v>-1.2</v>
      </c>
      <c r="BC160" s="16" t="n">
        <f aca="false">-BC141</f>
        <v>-3.6</v>
      </c>
      <c r="BD160" s="16" t="n">
        <f aca="false">-BD141</f>
        <v>-3.6</v>
      </c>
      <c r="BE160" s="16" t="n">
        <f aca="false">-BE141</f>
        <v>-1.2</v>
      </c>
      <c r="BF160" s="16" t="n">
        <f aca="false">-BF141</f>
        <v>-3.6</v>
      </c>
      <c r="BG160" s="16" t="n">
        <f aca="false">-BG141</f>
        <v>-2.4</v>
      </c>
      <c r="BH160" s="16" t="n">
        <f aca="false">-BH141</f>
        <v>-4.8</v>
      </c>
      <c r="BI160" s="16" t="n">
        <f aca="false">-BI141</f>
        <v>-3.6</v>
      </c>
      <c r="BJ160" s="16" t="n">
        <f aca="false">-BJ141</f>
        <v>-1.2</v>
      </c>
      <c r="BK160" s="16" t="n">
        <f aca="false">-BK141</f>
        <v>-2.4</v>
      </c>
    </row>
    <row r="161" customFormat="false" ht="15" hidden="false" customHeight="true" outlineLevel="0" collapsed="false">
      <c r="A161" s="12" t="s">
        <v>775</v>
      </c>
      <c r="B161" s="4" t="s">
        <v>44</v>
      </c>
      <c r="D161" s="16" t="n">
        <f aca="false">IF(D$6=Inputs!$C$109,Inputs!$C$108,0)+IF(D$6=Inputs!$C$111,Inputs!$C$110,0)+IF(D$6=Inputs!$C$113,Inputs!$C$112,0)</f>
        <v>900</v>
      </c>
      <c r="E161" s="16" t="n">
        <f aca="false">IF(E$6=Inputs!$C$109,Inputs!$C$108,0)+IF(E$6=Inputs!$C$111,Inputs!$C$110,0)+IF(E$6=Inputs!$C$113,Inputs!$C$112,0)</f>
        <v>0</v>
      </c>
      <c r="F161" s="16" t="n">
        <f aca="false">IF(F$6=Inputs!$C$109,Inputs!$C$108,0)+IF(F$6=Inputs!$C$111,Inputs!$C$110,0)+IF(F$6=Inputs!$C$113,Inputs!$C$112,0)</f>
        <v>0</v>
      </c>
      <c r="G161" s="16" t="n">
        <f aca="false">IF(G$6=Inputs!$C$109,Inputs!$C$108,0)+IF(G$6=Inputs!$C$111,Inputs!$C$110,0)+IF(G$6=Inputs!$C$113,Inputs!$C$112,0)</f>
        <v>0</v>
      </c>
      <c r="H161" s="16" t="n">
        <f aca="false">IF(H$6=Inputs!$C$109,Inputs!$C$108,0)+IF(H$6=Inputs!$C$111,Inputs!$C$110,0)+IF(H$6=Inputs!$C$113,Inputs!$C$112,0)</f>
        <v>0</v>
      </c>
      <c r="I161" s="16" t="n">
        <f aca="false">IF(I$6=Inputs!$C$109,Inputs!$C$108,0)+IF(I$6=Inputs!$C$111,Inputs!$C$110,0)+IF(I$6=Inputs!$C$113,Inputs!$C$112,0)</f>
        <v>0</v>
      </c>
      <c r="J161" s="16" t="n">
        <f aca="false">IF(J$6=Inputs!$C$109,Inputs!$C$108,0)+IF(J$6=Inputs!$C$111,Inputs!$C$110,0)+IF(J$6=Inputs!$C$113,Inputs!$C$112,0)</f>
        <v>0</v>
      </c>
      <c r="K161" s="16" t="n">
        <f aca="false">IF(K$6=Inputs!$C$109,Inputs!$C$108,0)+IF(K$6=Inputs!$C$111,Inputs!$C$110,0)+IF(K$6=Inputs!$C$113,Inputs!$C$112,0)</f>
        <v>0</v>
      </c>
      <c r="L161" s="16" t="n">
        <f aca="false">IF(L$6=Inputs!$C$109,Inputs!$C$108,0)+IF(L$6=Inputs!$C$111,Inputs!$C$110,0)+IF(L$6=Inputs!$C$113,Inputs!$C$112,0)</f>
        <v>0</v>
      </c>
      <c r="M161" s="16" t="n">
        <f aca="false">IF(M$6=Inputs!$C$109,Inputs!$C$108,0)+IF(M$6=Inputs!$C$111,Inputs!$C$110,0)+IF(M$6=Inputs!$C$113,Inputs!$C$112,0)</f>
        <v>0</v>
      </c>
      <c r="N161" s="16" t="n">
        <f aca="false">IF(N$6=Inputs!$C$109,Inputs!$C$108,0)+IF(N$6=Inputs!$C$111,Inputs!$C$110,0)+IF(N$6=Inputs!$C$113,Inputs!$C$112,0)</f>
        <v>0</v>
      </c>
      <c r="O161" s="16" t="n">
        <f aca="false">IF(O$6=Inputs!$C$109,Inputs!$C$108,0)+IF(O$6=Inputs!$C$111,Inputs!$C$110,0)+IF(O$6=Inputs!$C$113,Inputs!$C$112,0)</f>
        <v>0</v>
      </c>
      <c r="P161" s="16" t="n">
        <f aca="false">IF(P$6=Inputs!$C$109,Inputs!$C$108,0)+IF(P$6=Inputs!$C$111,Inputs!$C$110,0)+IF(P$6=Inputs!$C$113,Inputs!$C$112,0)</f>
        <v>0</v>
      </c>
      <c r="Q161" s="16" t="n">
        <f aca="false">IF(Q$6=Inputs!$C$109,Inputs!$C$108,0)+IF(Q$6=Inputs!$C$111,Inputs!$C$110,0)+IF(Q$6=Inputs!$C$113,Inputs!$C$112,0)</f>
        <v>0</v>
      </c>
      <c r="R161" s="16" t="n">
        <f aca="false">IF(R$6=Inputs!$C$109,Inputs!$C$108,0)+IF(R$6=Inputs!$C$111,Inputs!$C$110,0)+IF(R$6=Inputs!$C$113,Inputs!$C$112,0)</f>
        <v>0</v>
      </c>
      <c r="S161" s="16" t="n">
        <f aca="false">IF(S$6=Inputs!$C$109,Inputs!$C$108,0)+IF(S$6=Inputs!$C$111,Inputs!$C$110,0)+IF(S$6=Inputs!$C$113,Inputs!$C$112,0)</f>
        <v>0</v>
      </c>
      <c r="T161" s="16" t="n">
        <f aca="false">IF(T$6=Inputs!$C$109,Inputs!$C$108,0)+IF(T$6=Inputs!$C$111,Inputs!$C$110,0)+IF(T$6=Inputs!$C$113,Inputs!$C$112,0)</f>
        <v>0</v>
      </c>
      <c r="U161" s="16" t="n">
        <f aca="false">IF(U$6=Inputs!$C$109,Inputs!$C$108,0)+IF(U$6=Inputs!$C$111,Inputs!$C$110,0)+IF(U$6=Inputs!$C$113,Inputs!$C$112,0)</f>
        <v>0</v>
      </c>
      <c r="V161" s="16" t="n">
        <f aca="false">IF(V$6=Inputs!$C$109,Inputs!$C$108,0)+IF(V$6=Inputs!$C$111,Inputs!$C$110,0)+IF(V$6=Inputs!$C$113,Inputs!$C$112,0)</f>
        <v>0</v>
      </c>
      <c r="W161" s="16" t="n">
        <f aca="false">IF(W$6=Inputs!$C$109,Inputs!$C$108,0)+IF(W$6=Inputs!$C$111,Inputs!$C$110,0)+IF(W$6=Inputs!$C$113,Inputs!$C$112,0)</f>
        <v>0</v>
      </c>
      <c r="X161" s="16" t="n">
        <f aca="false">IF(X$6=Inputs!$C$109,Inputs!$C$108,0)+IF(X$6=Inputs!$C$111,Inputs!$C$110,0)+IF(X$6=Inputs!$C$113,Inputs!$C$112,0)</f>
        <v>0</v>
      </c>
      <c r="Y161" s="16" t="n">
        <f aca="false">IF(Y$6=Inputs!$C$109,Inputs!$C$108,0)+IF(Y$6=Inputs!$C$111,Inputs!$C$110,0)+IF(Y$6=Inputs!$C$113,Inputs!$C$112,0)</f>
        <v>900</v>
      </c>
      <c r="Z161" s="16" t="n">
        <f aca="false">IF(Z$6=Inputs!$C$109,Inputs!$C$108,0)+IF(Z$6=Inputs!$C$111,Inputs!$C$110,0)+IF(Z$6=Inputs!$C$113,Inputs!$C$112,0)</f>
        <v>0</v>
      </c>
      <c r="AA161" s="16" t="n">
        <f aca="false">IF(AA$6=Inputs!$C$109,Inputs!$C$108,0)+IF(AA$6=Inputs!$C$111,Inputs!$C$110,0)+IF(AA$6=Inputs!$C$113,Inputs!$C$112,0)</f>
        <v>0</v>
      </c>
      <c r="AB161" s="16" t="n">
        <f aca="false">IF(AB$6=Inputs!$C$109,Inputs!$C$108,0)+IF(AB$6=Inputs!$C$111,Inputs!$C$110,0)+IF(AB$6=Inputs!$C$113,Inputs!$C$112,0)</f>
        <v>0</v>
      </c>
      <c r="AC161" s="16" t="n">
        <f aca="false">IF(AC$6=Inputs!$C$109,Inputs!$C$108,0)+IF(AC$6=Inputs!$C$111,Inputs!$C$110,0)+IF(AC$6=Inputs!$C$113,Inputs!$C$112,0)</f>
        <v>0</v>
      </c>
      <c r="AD161" s="16" t="n">
        <f aca="false">IF(AD$6=Inputs!$C$109,Inputs!$C$108,0)+IF(AD$6=Inputs!$C$111,Inputs!$C$110,0)+IF(AD$6=Inputs!$C$113,Inputs!$C$112,0)</f>
        <v>0</v>
      </c>
      <c r="AE161" s="16" t="n">
        <f aca="false">IF(AE$6=Inputs!$C$109,Inputs!$C$108,0)+IF(AE$6=Inputs!$C$111,Inputs!$C$110,0)+IF(AE$6=Inputs!$C$113,Inputs!$C$112,0)</f>
        <v>0</v>
      </c>
      <c r="AF161" s="16" t="n">
        <f aca="false">IF(AF$6=Inputs!$C$109,Inputs!$C$108,0)+IF(AF$6=Inputs!$C$111,Inputs!$C$110,0)+IF(AF$6=Inputs!$C$113,Inputs!$C$112,0)</f>
        <v>0</v>
      </c>
      <c r="AG161" s="16" t="n">
        <f aca="false">IF(AG$6=Inputs!$C$109,Inputs!$C$108,0)+IF(AG$6=Inputs!$C$111,Inputs!$C$110,0)+IF(AG$6=Inputs!$C$113,Inputs!$C$112,0)</f>
        <v>0</v>
      </c>
      <c r="AH161" s="16" t="n">
        <f aca="false">IF(AH$6=Inputs!$C$109,Inputs!$C$108,0)+IF(AH$6=Inputs!$C$111,Inputs!$C$110,0)+IF(AH$6=Inputs!$C$113,Inputs!$C$112,0)</f>
        <v>0</v>
      </c>
      <c r="AI161" s="16" t="n">
        <f aca="false">IF(AI$6=Inputs!$C$109,Inputs!$C$108,0)+IF(AI$6=Inputs!$C$111,Inputs!$C$110,0)+IF(AI$6=Inputs!$C$113,Inputs!$C$112,0)</f>
        <v>0</v>
      </c>
      <c r="AJ161" s="16" t="n">
        <f aca="false">IF(AJ$6=Inputs!$C$109,Inputs!$C$108,0)+IF(AJ$6=Inputs!$C$111,Inputs!$C$110,0)+IF(AJ$6=Inputs!$C$113,Inputs!$C$112,0)</f>
        <v>0</v>
      </c>
      <c r="AK161" s="16" t="n">
        <f aca="false">IF(AK$6=Inputs!$C$109,Inputs!$C$108,0)+IF(AK$6=Inputs!$C$111,Inputs!$C$110,0)+IF(AK$6=Inputs!$C$113,Inputs!$C$112,0)</f>
        <v>0</v>
      </c>
      <c r="AL161" s="16" t="n">
        <f aca="false">IF(AL$6=Inputs!$C$109,Inputs!$C$108,0)+IF(AL$6=Inputs!$C$111,Inputs!$C$110,0)+IF(AL$6=Inputs!$C$113,Inputs!$C$112,0)</f>
        <v>0</v>
      </c>
      <c r="AM161" s="16" t="n">
        <f aca="false">IF(AM$6=Inputs!$C$109,Inputs!$C$108,0)+IF(AM$6=Inputs!$C$111,Inputs!$C$110,0)+IF(AM$6=Inputs!$C$113,Inputs!$C$112,0)</f>
        <v>0</v>
      </c>
      <c r="AN161" s="16" t="n">
        <f aca="false">IF(AN$6=Inputs!$C$109,Inputs!$C$108,0)+IF(AN$6=Inputs!$C$111,Inputs!$C$110,0)+IF(AN$6=Inputs!$C$113,Inputs!$C$112,0)</f>
        <v>0</v>
      </c>
      <c r="AO161" s="16" t="n">
        <f aca="false">IF(AO$6=Inputs!$C$109,Inputs!$C$108,0)+IF(AO$6=Inputs!$C$111,Inputs!$C$110,0)+IF(AO$6=Inputs!$C$113,Inputs!$C$112,0)</f>
        <v>0</v>
      </c>
      <c r="AP161" s="16" t="n">
        <f aca="false">IF(AP$6=Inputs!$C$109,Inputs!$C$108,0)+IF(AP$6=Inputs!$C$111,Inputs!$C$110,0)+IF(AP$6=Inputs!$C$113,Inputs!$C$112,0)</f>
        <v>0</v>
      </c>
      <c r="AQ161" s="16" t="n">
        <f aca="false">IF(AQ$6=Inputs!$C$109,Inputs!$C$108,0)+IF(AQ$6=Inputs!$C$111,Inputs!$C$110,0)+IF(AQ$6=Inputs!$C$113,Inputs!$C$112,0)</f>
        <v>0</v>
      </c>
      <c r="AR161" s="16" t="n">
        <f aca="false">IF(AR$6=Inputs!$C$109,Inputs!$C$108,0)+IF(AR$6=Inputs!$C$111,Inputs!$C$110,0)+IF(AR$6=Inputs!$C$113,Inputs!$C$112,0)</f>
        <v>0</v>
      </c>
      <c r="AS161" s="16" t="n">
        <f aca="false">IF(AS$6=Inputs!$C$109,Inputs!$C$108,0)+IF(AS$6=Inputs!$C$111,Inputs!$C$110,0)+IF(AS$6=Inputs!$C$113,Inputs!$C$112,0)</f>
        <v>0</v>
      </c>
      <c r="AT161" s="16" t="n">
        <f aca="false">IF(AT$6=Inputs!$C$109,Inputs!$C$108,0)+IF(AT$6=Inputs!$C$111,Inputs!$C$110,0)+IF(AT$6=Inputs!$C$113,Inputs!$C$112,0)</f>
        <v>0</v>
      </c>
      <c r="AU161" s="16" t="n">
        <f aca="false">IF(AU$6=Inputs!$C$109,Inputs!$C$108,0)+IF(AU$6=Inputs!$C$111,Inputs!$C$110,0)+IF(AU$6=Inputs!$C$113,Inputs!$C$112,0)</f>
        <v>0</v>
      </c>
      <c r="AV161" s="16" t="n">
        <f aca="false">IF(AV$6=Inputs!$C$109,Inputs!$C$108,0)+IF(AV$6=Inputs!$C$111,Inputs!$C$110,0)+IF(AV$6=Inputs!$C$113,Inputs!$C$112,0)</f>
        <v>0</v>
      </c>
      <c r="AW161" s="16" t="n">
        <f aca="false">IF(AW$6=Inputs!$C$109,Inputs!$C$108,0)+IF(AW$6=Inputs!$C$111,Inputs!$C$110,0)+IF(AW$6=Inputs!$C$113,Inputs!$C$112,0)</f>
        <v>0</v>
      </c>
      <c r="AX161" s="16" t="n">
        <f aca="false">IF(AX$6=Inputs!$C$109,Inputs!$C$108,0)+IF(AX$6=Inputs!$C$111,Inputs!$C$110,0)+IF(AX$6=Inputs!$C$113,Inputs!$C$112,0)</f>
        <v>0</v>
      </c>
      <c r="AY161" s="16" t="n">
        <f aca="false">IF(AY$6=Inputs!$C$109,Inputs!$C$108,0)+IF(AY$6=Inputs!$C$111,Inputs!$C$110,0)+IF(AY$6=Inputs!$C$113,Inputs!$C$112,0)</f>
        <v>0</v>
      </c>
      <c r="AZ161" s="16" t="n">
        <f aca="false">IF(AZ$6=Inputs!$C$109,Inputs!$C$108,0)+IF(AZ$6=Inputs!$C$111,Inputs!$C$110,0)+IF(AZ$6=Inputs!$C$113,Inputs!$C$112,0)</f>
        <v>0</v>
      </c>
      <c r="BA161" s="16" t="n">
        <f aca="false">IF(BA$6=Inputs!$C$109,Inputs!$C$108,0)+IF(BA$6=Inputs!$C$111,Inputs!$C$110,0)+IF(BA$6=Inputs!$C$113,Inputs!$C$112,0)</f>
        <v>0</v>
      </c>
      <c r="BB161" s="16" t="n">
        <f aca="false">IF(BB$6=Inputs!$C$109,Inputs!$C$108,0)+IF(BB$6=Inputs!$C$111,Inputs!$C$110,0)+IF(BB$6=Inputs!$C$113,Inputs!$C$112,0)</f>
        <v>0</v>
      </c>
      <c r="BC161" s="16" t="n">
        <f aca="false">IF(BC$6=Inputs!$C$109,Inputs!$C$108,0)+IF(BC$6=Inputs!$C$111,Inputs!$C$110,0)+IF(BC$6=Inputs!$C$113,Inputs!$C$112,0)</f>
        <v>0</v>
      </c>
      <c r="BD161" s="16" t="n">
        <f aca="false">IF(BD$6=Inputs!$C$109,Inputs!$C$108,0)+IF(BD$6=Inputs!$C$111,Inputs!$C$110,0)+IF(BD$6=Inputs!$C$113,Inputs!$C$112,0)</f>
        <v>0</v>
      </c>
      <c r="BE161" s="16" t="n">
        <f aca="false">IF(BE$6=Inputs!$C$109,Inputs!$C$108,0)+IF(BE$6=Inputs!$C$111,Inputs!$C$110,0)+IF(BE$6=Inputs!$C$113,Inputs!$C$112,0)</f>
        <v>0</v>
      </c>
      <c r="BF161" s="16" t="n">
        <f aca="false">IF(BF$6=Inputs!$C$109,Inputs!$C$108,0)+IF(BF$6=Inputs!$C$111,Inputs!$C$110,0)+IF(BF$6=Inputs!$C$113,Inputs!$C$112,0)</f>
        <v>0</v>
      </c>
      <c r="BG161" s="16" t="n">
        <f aca="false">IF(BG$6=Inputs!$C$109,Inputs!$C$108,0)+IF(BG$6=Inputs!$C$111,Inputs!$C$110,0)+IF(BG$6=Inputs!$C$113,Inputs!$C$112,0)</f>
        <v>0</v>
      </c>
      <c r="BH161" s="16" t="n">
        <f aca="false">IF(BH$6=Inputs!$C$109,Inputs!$C$108,0)+IF(BH$6=Inputs!$C$111,Inputs!$C$110,0)+IF(BH$6=Inputs!$C$113,Inputs!$C$112,0)</f>
        <v>0</v>
      </c>
      <c r="BI161" s="16" t="n">
        <f aca="false">IF(BI$6=Inputs!$C$109,Inputs!$C$108,0)+IF(BI$6=Inputs!$C$111,Inputs!$C$110,0)+IF(BI$6=Inputs!$C$113,Inputs!$C$112,0)</f>
        <v>0</v>
      </c>
      <c r="BJ161" s="16" t="n">
        <f aca="false">IF(BJ$6=Inputs!$C$109,Inputs!$C$108,0)+IF(BJ$6=Inputs!$C$111,Inputs!$C$110,0)+IF(BJ$6=Inputs!$C$113,Inputs!$C$112,0)</f>
        <v>0</v>
      </c>
      <c r="BK161" s="16" t="n">
        <f aca="false">IF(BK$6=Inputs!$C$109,Inputs!$C$108,0)+IF(BK$6=Inputs!$C$111,Inputs!$C$110,0)+IF(BK$6=Inputs!$C$113,Inputs!$C$112,0)</f>
        <v>0</v>
      </c>
    </row>
    <row r="162" customFormat="false" ht="15" hidden="false" customHeight="true" outlineLevel="0" collapsed="false">
      <c r="A162" s="12" t="s">
        <v>778</v>
      </c>
      <c r="B162" s="4" t="s">
        <v>44</v>
      </c>
      <c r="D162" s="16" t="n">
        <f aca="false">D161+D144-D145</f>
        <v>900</v>
      </c>
      <c r="E162" s="16" t="n">
        <f aca="false">E161+E144-E145</f>
        <v>0</v>
      </c>
      <c r="F162" s="16" t="n">
        <f aca="false">F161+F144-F145</f>
        <v>0</v>
      </c>
      <c r="G162" s="16" t="n">
        <f aca="false">G161+G144-G145</f>
        <v>0</v>
      </c>
      <c r="H162" s="16" t="n">
        <f aca="false">H161+H144-H145</f>
        <v>0</v>
      </c>
      <c r="I162" s="16" t="n">
        <f aca="false">I161+I144-I145</f>
        <v>0</v>
      </c>
      <c r="J162" s="16" t="n">
        <f aca="false">J161+J144-J145</f>
        <v>0</v>
      </c>
      <c r="K162" s="16" t="n">
        <f aca="false">K161+K144-K145</f>
        <v>0</v>
      </c>
      <c r="L162" s="16" t="n">
        <f aca="false">L161+L144-L145</f>
        <v>0</v>
      </c>
      <c r="M162" s="16" t="n">
        <f aca="false">M161+M144-M145</f>
        <v>0</v>
      </c>
      <c r="N162" s="16" t="n">
        <f aca="false">N161+N144-N145</f>
        <v>0</v>
      </c>
      <c r="O162" s="16" t="n">
        <f aca="false">O161+O144-O145</f>
        <v>0</v>
      </c>
      <c r="P162" s="16" t="n">
        <f aca="false">P161+P144-P145</f>
        <v>0</v>
      </c>
      <c r="Q162" s="16" t="n">
        <f aca="false">Q161+Q144-Q145</f>
        <v>0</v>
      </c>
      <c r="R162" s="16" t="n">
        <f aca="false">R161+R144-R145</f>
        <v>0</v>
      </c>
      <c r="S162" s="16" t="n">
        <f aca="false">S161+S144-S145</f>
        <v>0</v>
      </c>
      <c r="T162" s="16" t="n">
        <f aca="false">T161+T144-T145</f>
        <v>0</v>
      </c>
      <c r="U162" s="16" t="n">
        <f aca="false">U161+U144-U145</f>
        <v>0</v>
      </c>
      <c r="V162" s="16" t="n">
        <f aca="false">V161+V144-V145</f>
        <v>0</v>
      </c>
      <c r="W162" s="16" t="n">
        <f aca="false">W161+W144-W145</f>
        <v>0</v>
      </c>
      <c r="X162" s="16" t="n">
        <f aca="false">X161+X144-X145</f>
        <v>0</v>
      </c>
      <c r="Y162" s="16" t="n">
        <f aca="false">Y161+Y144-Y145</f>
        <v>900</v>
      </c>
      <c r="Z162" s="16" t="n">
        <f aca="false">Z161+Z144-Z145</f>
        <v>0</v>
      </c>
      <c r="AA162" s="16" t="n">
        <f aca="false">AA161+AA144-AA145</f>
        <v>0</v>
      </c>
      <c r="AB162" s="16" t="n">
        <f aca="false">AB161+AB144-AB145</f>
        <v>0</v>
      </c>
      <c r="AC162" s="16" t="n">
        <f aca="false">AC161+AC144-AC145</f>
        <v>0</v>
      </c>
      <c r="AD162" s="16" t="n">
        <f aca="false">AD161+AD144-AD145</f>
        <v>0</v>
      </c>
      <c r="AE162" s="16" t="n">
        <f aca="false">AE161+AE144-AE145</f>
        <v>0</v>
      </c>
      <c r="AF162" s="16" t="n">
        <f aca="false">AF161+AF144-AF145</f>
        <v>0</v>
      </c>
      <c r="AG162" s="16" t="n">
        <f aca="false">AG161+AG144-AG145</f>
        <v>0</v>
      </c>
      <c r="AH162" s="16" t="n">
        <f aca="false">AH161+AH144-AH145</f>
        <v>0</v>
      </c>
      <c r="AI162" s="16" t="n">
        <f aca="false">AI161+AI144-AI145</f>
        <v>0</v>
      </c>
      <c r="AJ162" s="16" t="n">
        <f aca="false">AJ161+AJ144-AJ145</f>
        <v>0</v>
      </c>
      <c r="AK162" s="16" t="n">
        <f aca="false">AK161+AK144-AK145</f>
        <v>0</v>
      </c>
      <c r="AL162" s="16" t="n">
        <f aca="false">AL161+AL144-AL145</f>
        <v>0</v>
      </c>
      <c r="AM162" s="16" t="n">
        <f aca="false">AM161+AM144-AM145</f>
        <v>0</v>
      </c>
      <c r="AN162" s="16" t="n">
        <f aca="false">AN161+AN144-AN145</f>
        <v>0</v>
      </c>
      <c r="AO162" s="16" t="n">
        <f aca="false">AO161+AO144-AO145</f>
        <v>0</v>
      </c>
      <c r="AP162" s="16" t="n">
        <f aca="false">AP161+AP144-AP145</f>
        <v>0</v>
      </c>
      <c r="AQ162" s="16" t="n">
        <f aca="false">AQ161+AQ144-AQ145</f>
        <v>0</v>
      </c>
      <c r="AR162" s="16" t="n">
        <f aca="false">AR161+AR144-AR145</f>
        <v>0</v>
      </c>
      <c r="AS162" s="16" t="n">
        <f aca="false">AS161+AS144-AS145</f>
        <v>0</v>
      </c>
      <c r="AT162" s="16" t="n">
        <f aca="false">AT161+AT144-AT145</f>
        <v>0</v>
      </c>
      <c r="AU162" s="16" t="n">
        <f aca="false">AU161+AU144-AU145</f>
        <v>0</v>
      </c>
      <c r="AV162" s="16" t="n">
        <f aca="false">AV161+AV144-AV145</f>
        <v>0</v>
      </c>
      <c r="AW162" s="16" t="n">
        <f aca="false">AW161+AW144-AW145</f>
        <v>0</v>
      </c>
      <c r="AX162" s="16" t="n">
        <f aca="false">AX161+AX144-AX145</f>
        <v>0</v>
      </c>
      <c r="AY162" s="16" t="n">
        <f aca="false">AY161+AY144-AY145</f>
        <v>0</v>
      </c>
      <c r="AZ162" s="16" t="n">
        <f aca="false">AZ161+AZ144-AZ145</f>
        <v>0</v>
      </c>
      <c r="BA162" s="16" t="n">
        <f aca="false">BA161+BA144-BA145</f>
        <v>0</v>
      </c>
      <c r="BB162" s="16" t="n">
        <f aca="false">BB161+BB144-BB145</f>
        <v>0</v>
      </c>
      <c r="BC162" s="16" t="n">
        <f aca="false">BC161+BC144-BC145</f>
        <v>0</v>
      </c>
      <c r="BD162" s="16" t="n">
        <f aca="false">BD161+BD144-BD145</f>
        <v>0</v>
      </c>
      <c r="BE162" s="16" t="n">
        <f aca="false">BE161+BE144-BE145</f>
        <v>0</v>
      </c>
      <c r="BF162" s="16" t="n">
        <f aca="false">BF161+BF144-BF145</f>
        <v>0</v>
      </c>
      <c r="BG162" s="16" t="n">
        <f aca="false">BG161+BG144-BG145</f>
        <v>0</v>
      </c>
      <c r="BH162" s="16" t="n">
        <f aca="false">BH161+BH144-BH145</f>
        <v>0</v>
      </c>
      <c r="BI162" s="16" t="n">
        <f aca="false">BI161+BI144-BI145</f>
        <v>0</v>
      </c>
      <c r="BJ162" s="16" t="n">
        <f aca="false">BJ161+BJ144-BJ145</f>
        <v>0</v>
      </c>
      <c r="BK162" s="16" t="n">
        <f aca="false">BK161+BK144-BK145</f>
        <v>0</v>
      </c>
    </row>
    <row r="163" customFormat="false" ht="15" hidden="false" customHeight="true" outlineLevel="0" collapsed="false">
      <c r="A163" s="5" t="s">
        <v>779</v>
      </c>
      <c r="B163" s="4" t="s">
        <v>44</v>
      </c>
      <c r="D163" s="52" t="n">
        <f aca="false">D159+D160+D162</f>
        <v>893.04</v>
      </c>
      <c r="E163" s="52" t="n">
        <f aca="false">E159+E160+E162</f>
        <v>-9.22</v>
      </c>
      <c r="F163" s="52" t="n">
        <f aca="false">F159+F160+F162</f>
        <v>-26.81</v>
      </c>
      <c r="G163" s="52" t="n">
        <f aca="false">G159+G160+G162</f>
        <v>-22.7341666666667</v>
      </c>
      <c r="H163" s="52" t="n">
        <f aca="false">H159+H160+H162</f>
        <v>-20.4256666666667</v>
      </c>
      <c r="I163" s="52" t="n">
        <f aca="false">I159+I160+I162</f>
        <v>-18.6271666666667</v>
      </c>
      <c r="J163" s="52" t="n">
        <f aca="false">J159+J160+J162</f>
        <v>-18.4536666666667</v>
      </c>
      <c r="K163" s="52" t="n">
        <f aca="false">K159+K160+K162</f>
        <v>-19.1359166666667</v>
      </c>
      <c r="L163" s="52" t="n">
        <f aca="false">L159+L160+L162</f>
        <v>-24.5596490885417</v>
      </c>
      <c r="M163" s="52" t="n">
        <f aca="false">M159+M160+M162</f>
        <v>-20.3309780361064</v>
      </c>
      <c r="N163" s="52" t="n">
        <f aca="false">N159+N160+N162</f>
        <v>-18.2818151911509</v>
      </c>
      <c r="O163" s="52" t="n">
        <f aca="false">O159+O160+O162</f>
        <v>-18.2670871554568</v>
      </c>
      <c r="P163" s="52" t="n">
        <f aca="false">P159+P160+P162</f>
        <v>-42.6696538172427</v>
      </c>
      <c r="Q163" s="52" t="n">
        <f aca="false">Q159+Q160+Q162</f>
        <v>-46.41474642868</v>
      </c>
      <c r="R163" s="52" t="n">
        <f aca="false">R159+R160+R162</f>
        <v>-37.6956704538747</v>
      </c>
      <c r="S163" s="52" t="n">
        <f aca="false">S159+S160+S162</f>
        <v>-36.6670795453486</v>
      </c>
      <c r="T163" s="52" t="n">
        <f aca="false">T159+T160+T162</f>
        <v>-38.2417308241303</v>
      </c>
      <c r="U163" s="52" t="n">
        <f aca="false">U159+U160+U162</f>
        <v>-35.3250904411507</v>
      </c>
      <c r="V163" s="52" t="n">
        <f aca="false">V159+V160+V162</f>
        <v>-28.7126527378276</v>
      </c>
      <c r="W163" s="52" t="n">
        <f aca="false">W159+W160+W162</f>
        <v>-38.2086574193786</v>
      </c>
      <c r="X163" s="52" t="n">
        <f aca="false">X159+X160+X162</f>
        <v>-51.0032524796781</v>
      </c>
      <c r="Y163" s="52" t="n">
        <f aca="false">Y159+Y160+Y162</f>
        <v>877.344712249612</v>
      </c>
      <c r="Z163" s="52" t="n">
        <f aca="false">Z159+Z160+Z162</f>
        <v>-13.1863450421393</v>
      </c>
      <c r="AA163" s="52" t="n">
        <f aca="false">AA159+AA160+AA162</f>
        <v>-4.12181616174064</v>
      </c>
      <c r="AB163" s="52" t="n">
        <f aca="false">AB159+AB160+AB162</f>
        <v>-34.7952997428755</v>
      </c>
      <c r="AC163" s="52" t="n">
        <f aca="false">AC159+AC160+AC162</f>
        <v>-28.9121128224486</v>
      </c>
      <c r="AD163" s="52" t="n">
        <f aca="false">AD159+AD160+AD162</f>
        <v>-7.56487135817369</v>
      </c>
      <c r="AE163" s="52" t="n">
        <f aca="false">AE159+AE160+AE162</f>
        <v>-2.96914869917358</v>
      </c>
      <c r="AF163" s="52" t="n">
        <f aca="false">AF159+AF160+AF162</f>
        <v>3.42336411776603</v>
      </c>
      <c r="AG163" s="52" t="n">
        <f aca="false">AG159+AG160+AG162</f>
        <v>17.1463069314722</v>
      </c>
      <c r="AH163" s="52" t="n">
        <f aca="false">AH159+AH160+AH162</f>
        <v>33.5069132416987</v>
      </c>
      <c r="AI163" s="52" t="n">
        <f aca="false">AI159+AI160+AI162</f>
        <v>22.2154027816553</v>
      </c>
      <c r="AJ163" s="52" t="n">
        <f aca="false">AJ159+AJ160+AJ162</f>
        <v>1.20200398911671</v>
      </c>
      <c r="AK163" s="52" t="n">
        <f aca="false">AK159+AK160+AK162</f>
        <v>60.5382739967287</v>
      </c>
      <c r="AL163" s="52" t="n">
        <f aca="false">AL159+AL160+AL162</f>
        <v>88.015109539819</v>
      </c>
      <c r="AM163" s="52" t="n">
        <f aca="false">AM159+AM160+AM162</f>
        <v>110.414898291762</v>
      </c>
      <c r="AN163" s="52" t="n">
        <f aca="false">AN159+AN160+AN162</f>
        <v>84.8135510878295</v>
      </c>
      <c r="AO163" s="52" t="n">
        <f aca="false">AO159+AO160+AO162</f>
        <v>111.00147633898</v>
      </c>
      <c r="AP163" s="52" t="n">
        <f aca="false">AP159+AP160+AP162</f>
        <v>122.02693020549</v>
      </c>
      <c r="AQ163" s="52" t="n">
        <f aca="false">AQ159+AQ160+AQ162</f>
        <v>134.602228786878</v>
      </c>
      <c r="AR163" s="52" t="n">
        <f aca="false">AR159+AR160+AR162</f>
        <v>146.882731452597</v>
      </c>
      <c r="AS163" s="52" t="n">
        <f aca="false">AS159+AS160+AS162</f>
        <v>168.509748234528</v>
      </c>
      <c r="AT163" s="52" t="n">
        <f aca="false">AT159+AT160+AT162</f>
        <v>204.024752976894</v>
      </c>
      <c r="AU163" s="52" t="n">
        <f aca="false">AU159+AU160+AU162</f>
        <v>201.647360966451</v>
      </c>
      <c r="AV163" s="52" t="n">
        <f aca="false">AV159+AV160+AV162</f>
        <v>182.603197849667</v>
      </c>
      <c r="AW163" s="52" t="n">
        <f aca="false">AW159+AW160+AW162</f>
        <v>256.013709793904</v>
      </c>
      <c r="AX163" s="52" t="n">
        <f aca="false">AX159+AX160+AX162</f>
        <v>292.714939737146</v>
      </c>
      <c r="AY163" s="52" t="n">
        <f aca="false">AY159+AY160+AY162</f>
        <v>326.556856563093</v>
      </c>
      <c r="AZ163" s="52" t="n">
        <f aca="false">AZ159+AZ160+AZ162</f>
        <v>315.695071299611</v>
      </c>
      <c r="BA163" s="52" t="n">
        <f aca="false">BA159+BA160+BA162</f>
        <v>352.921695700451</v>
      </c>
      <c r="BB163" s="52" t="n">
        <f aca="false">BB159+BB160+BB162</f>
        <v>411.918218212566</v>
      </c>
      <c r="BC163" s="52" t="n">
        <f aca="false">BC159+BC160+BC162</f>
        <v>444.695122859102</v>
      </c>
      <c r="BD163" s="52" t="n">
        <f aca="false">BD159+BD160+BD162</f>
        <v>475.078763711957</v>
      </c>
      <c r="BE163" s="52" t="n">
        <f aca="false">BE159+BE160+BE162</f>
        <v>518.175603339969</v>
      </c>
      <c r="BF163" s="52" t="n">
        <f aca="false">BF159+BF160+BF162</f>
        <v>568.599596512942</v>
      </c>
      <c r="BG163" s="52" t="n">
        <f aca="false">BG159+BG160+BG162</f>
        <v>582.83359640728</v>
      </c>
      <c r="BH163" s="52" t="n">
        <f aca="false">BH159+BH160+BH162</f>
        <v>582.717554241663</v>
      </c>
      <c r="BI163" s="52" t="n">
        <f aca="false">BI159+BI160+BI162</f>
        <v>674.823440629106</v>
      </c>
      <c r="BJ163" s="52" t="n">
        <f aca="false">BJ159+BJ160+BJ162</f>
        <v>729.678067857628</v>
      </c>
      <c r="BK163" s="52" t="n">
        <f aca="false">BK159+BK160+BK162</f>
        <v>782.923292697018</v>
      </c>
    </row>
    <row r="164" customFormat="false" ht="15" hidden="false" customHeight="true" outlineLevel="0" collapsed="false">
      <c r="A164" s="12" t="s">
        <v>2011</v>
      </c>
      <c r="B164" s="4" t="s">
        <v>44</v>
      </c>
      <c r="D164" s="16" t="n">
        <f aca="false">0</f>
        <v>0</v>
      </c>
      <c r="E164" s="16" t="n">
        <f aca="false">D165</f>
        <v>893.04</v>
      </c>
      <c r="F164" s="16" t="n">
        <f aca="false">E165</f>
        <v>883.82</v>
      </c>
      <c r="G164" s="16" t="n">
        <f aca="false">F165</f>
        <v>857.01</v>
      </c>
      <c r="H164" s="16" t="n">
        <f aca="false">G165</f>
        <v>834.275833333333</v>
      </c>
      <c r="I164" s="16" t="n">
        <f aca="false">H165</f>
        <v>813.850166666667</v>
      </c>
      <c r="J164" s="16" t="n">
        <f aca="false">I165</f>
        <v>795.223</v>
      </c>
      <c r="K164" s="16" t="n">
        <f aca="false">J165</f>
        <v>776.769333333333</v>
      </c>
      <c r="L164" s="16" t="n">
        <f aca="false">K165</f>
        <v>757.633416666667</v>
      </c>
      <c r="M164" s="16" t="n">
        <f aca="false">L165</f>
        <v>733.073767578125</v>
      </c>
      <c r="N164" s="16" t="n">
        <f aca="false">M165</f>
        <v>712.742789542019</v>
      </c>
      <c r="O164" s="16" t="n">
        <f aca="false">N165</f>
        <v>694.460974350868</v>
      </c>
      <c r="P164" s="16" t="n">
        <f aca="false">O165</f>
        <v>676.193887195411</v>
      </c>
      <c r="Q164" s="16" t="n">
        <f aca="false">P165</f>
        <v>633.524233378168</v>
      </c>
      <c r="R164" s="16" t="n">
        <f aca="false">Q165</f>
        <v>587.109486949488</v>
      </c>
      <c r="S164" s="16" t="n">
        <f aca="false">R165</f>
        <v>549.413816495614</v>
      </c>
      <c r="T164" s="16" t="n">
        <f aca="false">S165</f>
        <v>512.746736950265</v>
      </c>
      <c r="U164" s="16" t="n">
        <f aca="false">T165</f>
        <v>474.505006126135</v>
      </c>
      <c r="V164" s="16" t="n">
        <f aca="false">U165</f>
        <v>439.179915684984</v>
      </c>
      <c r="W164" s="16" t="n">
        <f aca="false">V165</f>
        <v>410.467262947156</v>
      </c>
      <c r="X164" s="16" t="n">
        <f aca="false">W165</f>
        <v>372.258605527778</v>
      </c>
      <c r="Y164" s="16" t="n">
        <f aca="false">X165</f>
        <v>321.2553530481</v>
      </c>
      <c r="Z164" s="16" t="n">
        <f aca="false">Y165</f>
        <v>1198.60006529771</v>
      </c>
      <c r="AA164" s="16" t="n">
        <f aca="false">Z165</f>
        <v>1185.41372025557</v>
      </c>
      <c r="AB164" s="16" t="n">
        <f aca="false">AA165</f>
        <v>1181.29190409383</v>
      </c>
      <c r="AC164" s="16" t="n">
        <f aca="false">AB165</f>
        <v>1146.49660435096</v>
      </c>
      <c r="AD164" s="16" t="n">
        <f aca="false">AC165</f>
        <v>1117.58449152851</v>
      </c>
      <c r="AE164" s="16" t="n">
        <f aca="false">AD165</f>
        <v>1110.01962017033</v>
      </c>
      <c r="AF164" s="16" t="n">
        <f aca="false">AE165</f>
        <v>1107.05047147116</v>
      </c>
      <c r="AG164" s="16" t="n">
        <f aca="false">AF165</f>
        <v>1110.47383558893</v>
      </c>
      <c r="AH164" s="16" t="n">
        <f aca="false">AG165</f>
        <v>1127.6201425204</v>
      </c>
      <c r="AI164" s="16" t="n">
        <f aca="false">AH165</f>
        <v>1161.1270557621</v>
      </c>
      <c r="AJ164" s="16" t="n">
        <f aca="false">AI165</f>
        <v>1183.34245854375</v>
      </c>
      <c r="AK164" s="16" t="n">
        <f aca="false">AJ165</f>
        <v>1184.54446253287</v>
      </c>
      <c r="AL164" s="16" t="n">
        <f aca="false">AK165</f>
        <v>1245.0827365296</v>
      </c>
      <c r="AM164" s="16" t="n">
        <f aca="false">AL165</f>
        <v>1333.09784606942</v>
      </c>
      <c r="AN164" s="16" t="n">
        <f aca="false">AM165</f>
        <v>1443.51274436118</v>
      </c>
      <c r="AO164" s="16" t="n">
        <f aca="false">AN165</f>
        <v>1528.32629544901</v>
      </c>
      <c r="AP164" s="16" t="n">
        <f aca="false">AO165</f>
        <v>1639.32777178799</v>
      </c>
      <c r="AQ164" s="16" t="n">
        <f aca="false">AP165</f>
        <v>1761.35470199348</v>
      </c>
      <c r="AR164" s="16" t="n">
        <f aca="false">AQ165</f>
        <v>1895.95693078036</v>
      </c>
      <c r="AS164" s="16" t="n">
        <f aca="false">AR165</f>
        <v>2042.83966223295</v>
      </c>
      <c r="AT164" s="16" t="n">
        <f aca="false">AS165</f>
        <v>2211.34941046748</v>
      </c>
      <c r="AU164" s="16" t="n">
        <f aca="false">AT165</f>
        <v>2415.37416344438</v>
      </c>
      <c r="AV164" s="16" t="n">
        <f aca="false">AU165</f>
        <v>2617.02152441083</v>
      </c>
      <c r="AW164" s="16" t="n">
        <f aca="false">AV165</f>
        <v>2799.62472226049</v>
      </c>
      <c r="AX164" s="16" t="n">
        <f aca="false">AW165</f>
        <v>3055.6384320544</v>
      </c>
      <c r="AY164" s="16" t="n">
        <f aca="false">AX165</f>
        <v>3348.35337179154</v>
      </c>
      <c r="AZ164" s="16" t="n">
        <f aca="false">AY165</f>
        <v>3674.91022835464</v>
      </c>
      <c r="BA164" s="16" t="n">
        <f aca="false">AZ165</f>
        <v>3990.60529965425</v>
      </c>
      <c r="BB164" s="16" t="n">
        <f aca="false">BA165</f>
        <v>4343.5269953547</v>
      </c>
      <c r="BC164" s="16" t="n">
        <f aca="false">BB165</f>
        <v>4755.44521356727</v>
      </c>
      <c r="BD164" s="16" t="n">
        <f aca="false">BC165</f>
        <v>5200.14033642637</v>
      </c>
      <c r="BE164" s="16" t="n">
        <f aca="false">BD165</f>
        <v>5675.21910013832</v>
      </c>
      <c r="BF164" s="16" t="n">
        <f aca="false">BE165</f>
        <v>6193.39470347829</v>
      </c>
      <c r="BG164" s="16" t="n">
        <f aca="false">BF165</f>
        <v>6761.99429999124</v>
      </c>
      <c r="BH164" s="16" t="n">
        <f aca="false">BG165</f>
        <v>7344.82789639851</v>
      </c>
      <c r="BI164" s="16" t="n">
        <f aca="false">BH165</f>
        <v>7927.54545064018</v>
      </c>
      <c r="BJ164" s="16" t="n">
        <f aca="false">BI165</f>
        <v>8602.36889126928</v>
      </c>
      <c r="BK164" s="16" t="n">
        <f aca="false">BJ165</f>
        <v>9332.04695912691</v>
      </c>
    </row>
    <row r="165" customFormat="false" ht="15" hidden="false" customHeight="true" outlineLevel="0" collapsed="false">
      <c r="A165" s="5" t="s">
        <v>2012</v>
      </c>
      <c r="B165" s="4" t="s">
        <v>44</v>
      </c>
      <c r="D165" s="54" t="n">
        <f aca="false">D164+D163</f>
        <v>893.04</v>
      </c>
      <c r="E165" s="54" t="n">
        <f aca="false">E164+E163</f>
        <v>883.82</v>
      </c>
      <c r="F165" s="54" t="n">
        <f aca="false">F164+F163</f>
        <v>857.01</v>
      </c>
      <c r="G165" s="54" t="n">
        <f aca="false">G164+G163</f>
        <v>834.275833333333</v>
      </c>
      <c r="H165" s="54" t="n">
        <f aca="false">H164+H163</f>
        <v>813.850166666667</v>
      </c>
      <c r="I165" s="54" t="n">
        <f aca="false">I164+I163</f>
        <v>795.223</v>
      </c>
      <c r="J165" s="54" t="n">
        <f aca="false">J164+J163</f>
        <v>776.769333333333</v>
      </c>
      <c r="K165" s="54" t="n">
        <f aca="false">K164+K163</f>
        <v>757.633416666667</v>
      </c>
      <c r="L165" s="54" t="n">
        <f aca="false">L164+L163</f>
        <v>733.073767578125</v>
      </c>
      <c r="M165" s="54" t="n">
        <f aca="false">M164+M163</f>
        <v>712.742789542019</v>
      </c>
      <c r="N165" s="54" t="n">
        <f aca="false">N164+N163</f>
        <v>694.460974350868</v>
      </c>
      <c r="O165" s="54" t="n">
        <f aca="false">O164+O163</f>
        <v>676.193887195411</v>
      </c>
      <c r="P165" s="54" t="n">
        <f aca="false">P164+P163</f>
        <v>633.524233378168</v>
      </c>
      <c r="Q165" s="54" t="n">
        <f aca="false">Q164+Q163</f>
        <v>587.109486949488</v>
      </c>
      <c r="R165" s="54" t="n">
        <f aca="false">R164+R163</f>
        <v>549.413816495614</v>
      </c>
      <c r="S165" s="54" t="n">
        <f aca="false">S164+S163</f>
        <v>512.746736950265</v>
      </c>
      <c r="T165" s="54" t="n">
        <f aca="false">T164+T163</f>
        <v>474.505006126135</v>
      </c>
      <c r="U165" s="54" t="n">
        <f aca="false">U164+U163</f>
        <v>439.179915684984</v>
      </c>
      <c r="V165" s="54" t="n">
        <f aca="false">V164+V163</f>
        <v>410.467262947156</v>
      </c>
      <c r="W165" s="54" t="n">
        <f aca="false">W164+W163</f>
        <v>372.258605527778</v>
      </c>
      <c r="X165" s="54" t="n">
        <f aca="false">X164+X163</f>
        <v>321.2553530481</v>
      </c>
      <c r="Y165" s="54" t="n">
        <f aca="false">Y164+Y163</f>
        <v>1198.60006529771</v>
      </c>
      <c r="Z165" s="54" t="n">
        <f aca="false">Z164+Z163</f>
        <v>1185.41372025557</v>
      </c>
      <c r="AA165" s="54" t="n">
        <f aca="false">AA164+AA163</f>
        <v>1181.29190409383</v>
      </c>
      <c r="AB165" s="54" t="n">
        <f aca="false">AB164+AB163</f>
        <v>1146.49660435096</v>
      </c>
      <c r="AC165" s="54" t="n">
        <f aca="false">AC164+AC163</f>
        <v>1117.58449152851</v>
      </c>
      <c r="AD165" s="54" t="n">
        <f aca="false">AD164+AD163</f>
        <v>1110.01962017033</v>
      </c>
      <c r="AE165" s="54" t="n">
        <f aca="false">AE164+AE163</f>
        <v>1107.05047147116</v>
      </c>
      <c r="AF165" s="54" t="n">
        <f aca="false">AF164+AF163</f>
        <v>1110.47383558893</v>
      </c>
      <c r="AG165" s="54" t="n">
        <f aca="false">AG164+AG163</f>
        <v>1127.6201425204</v>
      </c>
      <c r="AH165" s="54" t="n">
        <f aca="false">AH164+AH163</f>
        <v>1161.1270557621</v>
      </c>
      <c r="AI165" s="54" t="n">
        <f aca="false">AI164+AI163</f>
        <v>1183.34245854375</v>
      </c>
      <c r="AJ165" s="54" t="n">
        <f aca="false">AJ164+AJ163</f>
        <v>1184.54446253287</v>
      </c>
      <c r="AK165" s="54" t="n">
        <f aca="false">AK164+AK163</f>
        <v>1245.0827365296</v>
      </c>
      <c r="AL165" s="54" t="n">
        <f aca="false">AL164+AL163</f>
        <v>1333.09784606942</v>
      </c>
      <c r="AM165" s="54" t="n">
        <f aca="false">AM164+AM163</f>
        <v>1443.51274436118</v>
      </c>
      <c r="AN165" s="54" t="n">
        <f aca="false">AN164+AN163</f>
        <v>1528.32629544901</v>
      </c>
      <c r="AO165" s="54" t="n">
        <f aca="false">AO164+AO163</f>
        <v>1639.32777178799</v>
      </c>
      <c r="AP165" s="54" t="n">
        <f aca="false">AP164+AP163</f>
        <v>1761.35470199348</v>
      </c>
      <c r="AQ165" s="54" t="n">
        <f aca="false">AQ164+AQ163</f>
        <v>1895.95693078036</v>
      </c>
      <c r="AR165" s="54" t="n">
        <f aca="false">AR164+AR163</f>
        <v>2042.83966223295</v>
      </c>
      <c r="AS165" s="54" t="n">
        <f aca="false">AS164+AS163</f>
        <v>2211.34941046748</v>
      </c>
      <c r="AT165" s="54" t="n">
        <f aca="false">AT164+AT163</f>
        <v>2415.37416344438</v>
      </c>
      <c r="AU165" s="54" t="n">
        <f aca="false">AU164+AU163</f>
        <v>2617.02152441083</v>
      </c>
      <c r="AV165" s="54" t="n">
        <f aca="false">AV164+AV163</f>
        <v>2799.62472226049</v>
      </c>
      <c r="AW165" s="54" t="n">
        <f aca="false">AW164+AW163</f>
        <v>3055.6384320544</v>
      </c>
      <c r="AX165" s="54" t="n">
        <f aca="false">AX164+AX163</f>
        <v>3348.35337179154</v>
      </c>
      <c r="AY165" s="54" t="n">
        <f aca="false">AY164+AY163</f>
        <v>3674.91022835464</v>
      </c>
      <c r="AZ165" s="54" t="n">
        <f aca="false">AZ164+AZ163</f>
        <v>3990.60529965425</v>
      </c>
      <c r="BA165" s="54" t="n">
        <f aca="false">BA164+BA163</f>
        <v>4343.5269953547</v>
      </c>
      <c r="BB165" s="54" t="n">
        <f aca="false">BB164+BB163</f>
        <v>4755.44521356727</v>
      </c>
      <c r="BC165" s="54" t="n">
        <f aca="false">BC164+BC163</f>
        <v>5200.14033642637</v>
      </c>
      <c r="BD165" s="54" t="n">
        <f aca="false">BD164+BD163</f>
        <v>5675.21910013832</v>
      </c>
      <c r="BE165" s="54" t="n">
        <f aca="false">BE164+BE163</f>
        <v>6193.39470347829</v>
      </c>
      <c r="BF165" s="54" t="n">
        <f aca="false">BF164+BF163</f>
        <v>6761.99429999124</v>
      </c>
      <c r="BG165" s="54" t="n">
        <f aca="false">BG164+BG163</f>
        <v>7344.82789639851</v>
      </c>
      <c r="BH165" s="54" t="n">
        <f aca="false">BH164+BH163</f>
        <v>7927.54545064018</v>
      </c>
      <c r="BI165" s="54" t="n">
        <f aca="false">BI164+BI163</f>
        <v>8602.36889126928</v>
      </c>
      <c r="BJ165" s="54" t="n">
        <f aca="false">BJ164+BJ163</f>
        <v>9332.04695912691</v>
      </c>
      <c r="BK165" s="54" t="n">
        <f aca="false">BK164+BK163</f>
        <v>10114.9702518239</v>
      </c>
    </row>
    <row r="166" customFormat="false" ht="15" hidden="false" customHeight="true" outlineLevel="0" collapsed="false">
      <c r="A166" s="12" t="s">
        <v>2013</v>
      </c>
      <c r="B166" s="4" t="s">
        <v>44</v>
      </c>
      <c r="D166" s="16" t="n">
        <f aca="false">0+D159+D160+D147-D148</f>
        <v>-6.96</v>
      </c>
      <c r="E166" s="16" t="n">
        <f aca="false">D166+E159+E160+E147-E148</f>
        <v>-16.18</v>
      </c>
      <c r="F166" s="16" t="n">
        <f aca="false">E166+F159+F160+F147-F148</f>
        <v>-42.99</v>
      </c>
      <c r="G166" s="16" t="n">
        <f aca="false">F166+G159+G160+G147-G148</f>
        <v>-65.7241666666667</v>
      </c>
      <c r="H166" s="16" t="n">
        <f aca="false">G166+H159+H160+H147-H148</f>
        <v>-86.1498333333333</v>
      </c>
      <c r="I166" s="16" t="n">
        <f aca="false">H166+I159+I160+I147-I148</f>
        <v>-104.777</v>
      </c>
      <c r="J166" s="16" t="n">
        <f aca="false">I166+J159+J160+J147-J148</f>
        <v>-123.230666666667</v>
      </c>
      <c r="K166" s="16" t="n">
        <f aca="false">J166+K159+K160+K147-K148</f>
        <v>-142.366583333333</v>
      </c>
      <c r="L166" s="16" t="n">
        <f aca="false">K166+L159+L160+L147-L148</f>
        <v>-166.926232421875</v>
      </c>
      <c r="M166" s="16" t="n">
        <f aca="false">L166+M159+M160+M147-M148</f>
        <v>-187.257210457981</v>
      </c>
      <c r="N166" s="16" t="n">
        <f aca="false">M166+N159+N160+N147-N148</f>
        <v>-205.539025649132</v>
      </c>
      <c r="O166" s="16" t="n">
        <f aca="false">N166+O159+O160+O147-O148</f>
        <v>-223.806112804589</v>
      </c>
      <c r="P166" s="16" t="n">
        <f aca="false">O166+P159+P160+P147-P148</f>
        <v>-266.475766621832</v>
      </c>
      <c r="Q166" s="16" t="n">
        <f aca="false">P166+Q159+Q160+Q147-Q148</f>
        <v>-312.890513050512</v>
      </c>
      <c r="R166" s="16" t="n">
        <f aca="false">Q166+R159+R160+R147-R148</f>
        <v>-350.586183504386</v>
      </c>
      <c r="S166" s="16" t="n">
        <f aca="false">R166+S159+S160+S147-S148</f>
        <v>-387.253263049735</v>
      </c>
      <c r="T166" s="16" t="n">
        <f aca="false">S166+T159+T160+T147-T148</f>
        <v>-425.494993873865</v>
      </c>
      <c r="U166" s="16" t="n">
        <f aca="false">T166+U159+U160+U147-U148</f>
        <v>-460.820084315016</v>
      </c>
      <c r="V166" s="16" t="n">
        <f aca="false">U166+V159+V160+V147-V148</f>
        <v>-489.532737052844</v>
      </c>
      <c r="W166" s="16" t="n">
        <f aca="false">V166+W159+W160+W147-W148</f>
        <v>-527.741394472222</v>
      </c>
      <c r="X166" s="16" t="n">
        <f aca="false">W166+X159+X160+X147-X148</f>
        <v>-578.7446469519</v>
      </c>
      <c r="Y166" s="16" t="n">
        <f aca="false">X166+Y159+Y160+Y147-Y148</f>
        <v>-601.399934702289</v>
      </c>
      <c r="Z166" s="16" t="n">
        <f aca="false">Y166+Z159+Z160+Z147-Z148</f>
        <v>-614.586279744428</v>
      </c>
      <c r="AA166" s="16" t="n">
        <f aca="false">Z166+AA159+AA160+AA147-AA148</f>
        <v>-618.708095906169</v>
      </c>
      <c r="AB166" s="16" t="n">
        <f aca="false">AA166+AB159+AB160+AB147-AB148</f>
        <v>-653.503395649045</v>
      </c>
      <c r="AC166" s="16" t="n">
        <f aca="false">AB166+AC159+AC160+AC147-AC148</f>
        <v>-682.415508471493</v>
      </c>
      <c r="AD166" s="16" t="n">
        <f aca="false">AC166+AD159+AD160+AD147-AD148</f>
        <v>-689.980379829667</v>
      </c>
      <c r="AE166" s="16" t="n">
        <f aca="false">AD166+AE159+AE160+AE147-AE148</f>
        <v>-692.949528528841</v>
      </c>
      <c r="AF166" s="16" t="n">
        <f aca="false">AE166+AF159+AF160+AF147-AF148</f>
        <v>-689.526164411074</v>
      </c>
      <c r="AG166" s="16" t="n">
        <f aca="false">AF166+AG159+AG160+AG147-AG148</f>
        <v>-672.379857479602</v>
      </c>
      <c r="AH166" s="16" t="n">
        <f aca="false">AG166+AH159+AH160+AH147-AH148</f>
        <v>-638.872944237904</v>
      </c>
      <c r="AI166" s="16" t="n">
        <f aca="false">AH166+AI159+AI160+AI147-AI148</f>
        <v>-616.657541456248</v>
      </c>
      <c r="AJ166" s="16" t="n">
        <f aca="false">AI166+AJ159+AJ160+AJ147-AJ148</f>
        <v>-615.455537467132</v>
      </c>
      <c r="AK166" s="16" t="n">
        <f aca="false">AJ166+AK159+AK160+AK147-AK148</f>
        <v>-554.917263470403</v>
      </c>
      <c r="AL166" s="16" t="n">
        <f aca="false">AK166+AL159+AL160+AL147-AL148</f>
        <v>-466.902153930584</v>
      </c>
      <c r="AM166" s="16" t="n">
        <f aca="false">AL166+AM159+AM160+AM147-AM148</f>
        <v>-356.487255638822</v>
      </c>
      <c r="AN166" s="16" t="n">
        <f aca="false">AM166+AN159+AN160+AN147-AN148</f>
        <v>-271.673704550993</v>
      </c>
      <c r="AO166" s="16" t="n">
        <f aca="false">AN166+AO159+AO160+AO147-AO148</f>
        <v>-160.672228212013</v>
      </c>
      <c r="AP166" s="16" t="n">
        <f aca="false">AO166+AP159+AP160+AP147-AP148</f>
        <v>-38.6452980065228</v>
      </c>
      <c r="AQ166" s="16" t="n">
        <f aca="false">AP166+AQ159+AQ160+AQ147-AQ148</f>
        <v>95.9569307803553</v>
      </c>
      <c r="AR166" s="16" t="n">
        <f aca="false">AQ166+AR159+AR160+AR147-AR148</f>
        <v>242.839662232952</v>
      </c>
      <c r="AS166" s="16" t="n">
        <f aca="false">AR166+AS159+AS160+AS147-AS148</f>
        <v>411.34941046748</v>
      </c>
      <c r="AT166" s="16" t="n">
        <f aca="false">AS166+AT159+AT160+AT147-AT148</f>
        <v>615.374163444374</v>
      </c>
      <c r="AU166" s="16" t="n">
        <f aca="false">AT166+AU159+AU160+AU147-AU148</f>
        <v>817.021524410826</v>
      </c>
      <c r="AV166" s="16" t="n">
        <f aca="false">AU166+AV159+AV160+AV147-AV148</f>
        <v>999.624722260493</v>
      </c>
      <c r="AW166" s="16" t="n">
        <f aca="false">AV166+AW159+AW160+AW147-AW148</f>
        <v>1255.6384320544</v>
      </c>
      <c r="AX166" s="16" t="n">
        <f aca="false">AW166+AX159+AX160+AX147-AX148</f>
        <v>1548.35337179154</v>
      </c>
      <c r="AY166" s="16" t="n">
        <f aca="false">AX166+AY159+AY160+AY147-AY148</f>
        <v>1874.91022835464</v>
      </c>
      <c r="AZ166" s="16" t="n">
        <f aca="false">AY166+AZ159+AZ160+AZ147-AZ148</f>
        <v>2190.60529965425</v>
      </c>
      <c r="BA166" s="16" t="n">
        <f aca="false">AZ166+BA159+BA160+BA147-BA148</f>
        <v>2543.5269953547</v>
      </c>
      <c r="BB166" s="16" t="n">
        <f aca="false">BA166+BB159+BB160+BB147-BB148</f>
        <v>2955.44521356726</v>
      </c>
      <c r="BC166" s="16" t="n">
        <f aca="false">BB166+BC159+BC160+BC147-BC148</f>
        <v>3400.14033642637</v>
      </c>
      <c r="BD166" s="16" t="n">
        <f aca="false">BC166+BD159+BD160+BD147-BD148</f>
        <v>3875.21910013832</v>
      </c>
      <c r="BE166" s="16" t="n">
        <f aca="false">BD166+BE159+BE160+BE147-BE148</f>
        <v>4393.39470347829</v>
      </c>
      <c r="BF166" s="16" t="n">
        <f aca="false">BE166+BF159+BF160+BF147-BF148</f>
        <v>4961.99429999123</v>
      </c>
      <c r="BG166" s="16" t="n">
        <f aca="false">BF166+BG159+BG160+BG147-BG148</f>
        <v>5544.82789639851</v>
      </c>
      <c r="BH166" s="16" t="n">
        <f aca="false">BG166+BH159+BH160+BH147-BH148</f>
        <v>6127.54545064018</v>
      </c>
      <c r="BI166" s="16" t="n">
        <f aca="false">BH166+BI159+BI160+BI147-BI148</f>
        <v>6802.36889126928</v>
      </c>
      <c r="BJ166" s="16" t="n">
        <f aca="false">BI166+BJ159+BJ160+BJ147-BJ148</f>
        <v>7532.04695912691</v>
      </c>
      <c r="BK166" s="16" t="n">
        <f aca="false">BJ166+BK159+BK160+BK147-BK148</f>
        <v>8314.97025182393</v>
      </c>
    </row>
    <row r="167" customFormat="false" ht="15" hidden="false" customHeight="true" outlineLevel="0" collapsed="false">
      <c r="A167" s="12" t="s">
        <v>2014</v>
      </c>
      <c r="B167" s="4" t="s">
        <v>44</v>
      </c>
      <c r="D167" s="16" t="n">
        <f aca="false">-MIN(0,D159+D160)</f>
        <v>6.96</v>
      </c>
      <c r="E167" s="16" t="n">
        <f aca="false">-MIN(0,E159+E160)</f>
        <v>9.22</v>
      </c>
      <c r="F167" s="16" t="n">
        <f aca="false">-MIN(0,F159+F160)</f>
        <v>26.81</v>
      </c>
      <c r="G167" s="16" t="n">
        <f aca="false">-MIN(0,G159+G160)</f>
        <v>22.7341666666667</v>
      </c>
      <c r="H167" s="16" t="n">
        <f aca="false">-MIN(0,H159+H160)</f>
        <v>20.4256666666667</v>
      </c>
      <c r="I167" s="16" t="n">
        <f aca="false">-MIN(0,I159+I160)</f>
        <v>18.6271666666667</v>
      </c>
      <c r="J167" s="16" t="n">
        <f aca="false">-MIN(0,J159+J160)</f>
        <v>18.4536666666667</v>
      </c>
      <c r="K167" s="16" t="n">
        <f aca="false">-MIN(0,K159+K160)</f>
        <v>19.1359166666667</v>
      </c>
      <c r="L167" s="16" t="n">
        <f aca="false">-MIN(0,L159+L160)</f>
        <v>24.5596490885417</v>
      </c>
      <c r="M167" s="16" t="n">
        <f aca="false">-MIN(0,M159+M160)</f>
        <v>20.3309780361064</v>
      </c>
      <c r="N167" s="16" t="n">
        <f aca="false">-MIN(0,N159+N160)</f>
        <v>18.2818151911509</v>
      </c>
      <c r="O167" s="16" t="n">
        <f aca="false">-MIN(0,O159+O160)</f>
        <v>18.2670871554568</v>
      </c>
      <c r="P167" s="16" t="n">
        <f aca="false">-MIN(0,P159+P160)</f>
        <v>42.6696538172427</v>
      </c>
      <c r="Q167" s="16" t="n">
        <f aca="false">-MIN(0,Q159+Q160)</f>
        <v>46.41474642868</v>
      </c>
      <c r="R167" s="16" t="n">
        <f aca="false">-MIN(0,R159+R160)</f>
        <v>37.6956704538747</v>
      </c>
      <c r="S167" s="16" t="n">
        <f aca="false">-MIN(0,S159+S160)</f>
        <v>36.6670795453486</v>
      </c>
      <c r="T167" s="16" t="n">
        <f aca="false">-MIN(0,T159+T160)</f>
        <v>38.2417308241303</v>
      </c>
      <c r="U167" s="16" t="n">
        <f aca="false">-MIN(0,U159+U160)</f>
        <v>35.3250904411507</v>
      </c>
      <c r="V167" s="16" t="n">
        <f aca="false">-MIN(0,V159+V160)</f>
        <v>28.7126527378276</v>
      </c>
      <c r="W167" s="16" t="n">
        <f aca="false">-MIN(0,W159+W160)</f>
        <v>38.2086574193786</v>
      </c>
      <c r="X167" s="16" t="n">
        <f aca="false">-MIN(0,X159+X160)</f>
        <v>51.0032524796781</v>
      </c>
      <c r="Y167" s="16" t="n">
        <f aca="false">-MIN(0,Y159+Y160)</f>
        <v>22.6552877503885</v>
      </c>
      <c r="Z167" s="16" t="n">
        <f aca="false">-MIN(0,Z159+Z160)</f>
        <v>13.1863450421393</v>
      </c>
      <c r="AA167" s="16" t="n">
        <f aca="false">-MIN(0,AA159+AA160)</f>
        <v>4.12181616174064</v>
      </c>
      <c r="AB167" s="16" t="n">
        <f aca="false">-MIN(0,AB159+AB160)</f>
        <v>34.7952997428755</v>
      </c>
      <c r="AC167" s="16" t="n">
        <f aca="false">-MIN(0,AC159+AC160)</f>
        <v>28.9121128224486</v>
      </c>
      <c r="AD167" s="16" t="n">
        <f aca="false">-MIN(0,AD159+AD160)</f>
        <v>7.56487135817369</v>
      </c>
      <c r="AE167" s="16" t="n">
        <f aca="false">-MIN(0,AE159+AE160)</f>
        <v>2.96914869917358</v>
      </c>
      <c r="AF167" s="16" t="n">
        <f aca="false">-MIN(0,AF159+AF160)</f>
        <v>-0</v>
      </c>
      <c r="AG167" s="16" t="n">
        <f aca="false">-MIN(0,AG159+AG160)</f>
        <v>-0</v>
      </c>
      <c r="AH167" s="16" t="n">
        <f aca="false">-MIN(0,AH159+AH160)</f>
        <v>-0</v>
      </c>
      <c r="AI167" s="16" t="n">
        <f aca="false">-MIN(0,AI159+AI160)</f>
        <v>-0</v>
      </c>
      <c r="AJ167" s="16" t="n">
        <f aca="false">-MIN(0,AJ159+AJ160)</f>
        <v>-0</v>
      </c>
      <c r="AK167" s="16" t="n">
        <f aca="false">-MIN(0,AK159+AK160)</f>
        <v>-0</v>
      </c>
      <c r="AL167" s="16" t="n">
        <f aca="false">-MIN(0,AL159+AL160)</f>
        <v>-0</v>
      </c>
      <c r="AM167" s="16" t="n">
        <f aca="false">-MIN(0,AM159+AM160)</f>
        <v>-0</v>
      </c>
      <c r="AN167" s="16" t="n">
        <f aca="false">-MIN(0,AN159+AN160)</f>
        <v>-0</v>
      </c>
      <c r="AO167" s="16" t="n">
        <f aca="false">-MIN(0,AO159+AO160)</f>
        <v>-0</v>
      </c>
      <c r="AP167" s="16" t="n">
        <f aca="false">-MIN(0,AP159+AP160)</f>
        <v>-0</v>
      </c>
      <c r="AQ167" s="16" t="n">
        <f aca="false">-MIN(0,AQ159+AQ160)</f>
        <v>-0</v>
      </c>
      <c r="AR167" s="16" t="n">
        <f aca="false">-MIN(0,AR159+AR160)</f>
        <v>-0</v>
      </c>
      <c r="AS167" s="16" t="n">
        <f aca="false">-MIN(0,AS159+AS160)</f>
        <v>-0</v>
      </c>
      <c r="AT167" s="16" t="n">
        <f aca="false">-MIN(0,AT159+AT160)</f>
        <v>-0</v>
      </c>
      <c r="AU167" s="16" t="n">
        <f aca="false">-MIN(0,AU159+AU160)</f>
        <v>-0</v>
      </c>
      <c r="AV167" s="16" t="n">
        <f aca="false">-MIN(0,AV159+AV160)</f>
        <v>-0</v>
      </c>
      <c r="AW167" s="16" t="n">
        <f aca="false">-MIN(0,AW159+AW160)</f>
        <v>-0</v>
      </c>
      <c r="AX167" s="16" t="n">
        <f aca="false">-MIN(0,AX159+AX160)</f>
        <v>-0</v>
      </c>
      <c r="AY167" s="16" t="n">
        <f aca="false">-MIN(0,AY159+AY160)</f>
        <v>-0</v>
      </c>
      <c r="AZ167" s="16" t="n">
        <f aca="false">-MIN(0,AZ159+AZ160)</f>
        <v>-0</v>
      </c>
      <c r="BA167" s="16" t="n">
        <f aca="false">-MIN(0,BA159+BA160)</f>
        <v>-0</v>
      </c>
      <c r="BB167" s="16" t="n">
        <f aca="false">-MIN(0,BB159+BB160)</f>
        <v>-0</v>
      </c>
      <c r="BC167" s="16" t="n">
        <f aca="false">-MIN(0,BC159+BC160)</f>
        <v>-0</v>
      </c>
      <c r="BD167" s="16" t="n">
        <f aca="false">-MIN(0,BD159+BD160)</f>
        <v>-0</v>
      </c>
      <c r="BE167" s="16" t="n">
        <f aca="false">-MIN(0,BE159+BE160)</f>
        <v>-0</v>
      </c>
      <c r="BF167" s="16" t="n">
        <f aca="false">-MIN(0,BF159+BF160)</f>
        <v>-0</v>
      </c>
      <c r="BG167" s="16" t="n">
        <f aca="false">-MIN(0,BG159+BG160)</f>
        <v>-0</v>
      </c>
      <c r="BH167" s="16" t="n">
        <f aca="false">-MIN(0,BH159+BH160)</f>
        <v>-0</v>
      </c>
      <c r="BI167" s="16" t="n">
        <f aca="false">-MIN(0,BI159+BI160)</f>
        <v>-0</v>
      </c>
      <c r="BJ167" s="16" t="n">
        <f aca="false">-MIN(0,BJ159+BJ160)</f>
        <v>-0</v>
      </c>
      <c r="BK167" s="16" t="n">
        <f aca="false">-MIN(0,BK159+BK160)</f>
        <v>-0</v>
      </c>
    </row>
    <row r="168" customFormat="false" ht="15" hidden="false" customHeight="true" outlineLevel="0" collapsed="false">
      <c r="A168" s="12" t="s">
        <v>787</v>
      </c>
      <c r="B168" s="4" t="s">
        <v>44</v>
      </c>
      <c r="D168" s="16" t="n">
        <f aca="false">0+D141-D142</f>
        <v>3.5</v>
      </c>
      <c r="E168" s="16" t="n">
        <f aca="false">D168+E141-E142</f>
        <v>3.4</v>
      </c>
      <c r="F168" s="16" t="n">
        <f aca="false">E168+F141-F142</f>
        <v>17.6888888888889</v>
      </c>
      <c r="G168" s="16" t="n">
        <f aca="false">F168+G141-G142</f>
        <v>19.5111111111111</v>
      </c>
      <c r="H168" s="16" t="n">
        <f aca="false">G168+H141-H142</f>
        <v>18.9333333333333</v>
      </c>
      <c r="I168" s="16" t="n">
        <f aca="false">H168+I141-I142</f>
        <v>18.3555555555556</v>
      </c>
      <c r="J168" s="16" t="n">
        <f aca="false">I168+J141-J142</f>
        <v>17.7777777777778</v>
      </c>
      <c r="K168" s="16" t="n">
        <f aca="false">J168+K141-K142</f>
        <v>17.2</v>
      </c>
      <c r="L168" s="16" t="n">
        <f aca="false">K168+L141-L142</f>
        <v>18.9555555555555</v>
      </c>
      <c r="M168" s="16" t="n">
        <f aca="false">L168+M141-M142</f>
        <v>18.3111111111111</v>
      </c>
      <c r="N168" s="16" t="n">
        <f aca="false">M168+N141-N142</f>
        <v>17.6666666666667</v>
      </c>
      <c r="O168" s="16" t="n">
        <f aca="false">N168+O141-O142</f>
        <v>17.0222222222222</v>
      </c>
      <c r="P168" s="16" t="n">
        <f aca="false">O168+P141-P142</f>
        <v>26.8777777777778</v>
      </c>
      <c r="Q168" s="16" t="n">
        <f aca="false">P168+Q141-Q142</f>
        <v>27.1</v>
      </c>
      <c r="R168" s="16" t="n">
        <f aca="false">Q168+R141-R142</f>
        <v>26.1222222222222</v>
      </c>
      <c r="S168" s="16" t="n">
        <f aca="false">R168+S141-S142</f>
        <v>25.1444444444444</v>
      </c>
      <c r="T168" s="16" t="n">
        <f aca="false">S168+T141-T142</f>
        <v>25.3333333333333</v>
      </c>
      <c r="U168" s="16" t="n">
        <f aca="false">T168+U141-U142</f>
        <v>25.4888888888889</v>
      </c>
      <c r="V168" s="16" t="n">
        <f aca="false">U168+V141-V142</f>
        <v>24.4444444444444</v>
      </c>
      <c r="W168" s="16" t="n">
        <f aca="false">V168+W141-W142</f>
        <v>24.5666666666667</v>
      </c>
      <c r="X168" s="16" t="n">
        <f aca="false">W168+X141-X142</f>
        <v>24.6555555555555</v>
      </c>
      <c r="Y168" s="16" t="n">
        <f aca="false">X168+Y141-Y142</f>
        <v>23.5444444444444</v>
      </c>
      <c r="Z168" s="16" t="n">
        <f aca="false">Y168+Z141-Z142</f>
        <v>22.4333333333333</v>
      </c>
      <c r="AA168" s="16" t="n">
        <f aca="false">Z168+AA141-AA142</f>
        <v>21.3222222222222</v>
      </c>
      <c r="AB168" s="16" t="n">
        <f aca="false">AA168+AB141-AB142</f>
        <v>35.3777777777778</v>
      </c>
      <c r="AC168" s="16" t="n">
        <f aca="false">AB168+AC141-AC142</f>
        <v>35</v>
      </c>
      <c r="AD168" s="16" t="n">
        <f aca="false">AC168+AD141-AD142</f>
        <v>34.5888888888889</v>
      </c>
      <c r="AE168" s="16" t="n">
        <f aca="false">AD168+AE141-AE142</f>
        <v>35.3111111111111</v>
      </c>
      <c r="AF168" s="16" t="n">
        <f aca="false">AE168+AF141-AF142</f>
        <v>34.8</v>
      </c>
      <c r="AG168" s="16" t="n">
        <f aca="false">AF168+AG141-AG142</f>
        <v>34.2555555555556</v>
      </c>
      <c r="AH168" s="16" t="n">
        <f aca="false">AG168+AH141-AH142</f>
        <v>33.6777777777778</v>
      </c>
      <c r="AI168" s="16" t="n">
        <f aca="false">AH168+AI141-AI142</f>
        <v>33.0666666666667</v>
      </c>
      <c r="AJ168" s="16" t="n">
        <f aca="false">AI168+AJ141-AJ142</f>
        <v>34.7555555555556</v>
      </c>
      <c r="AK168" s="16" t="n">
        <f aca="false">AJ168+AK141-AK142</f>
        <v>35.1777777777778</v>
      </c>
      <c r="AL168" s="16" t="n">
        <f aca="false">AK168+AL141-AL142</f>
        <v>33.2</v>
      </c>
      <c r="AM168" s="16" t="n">
        <f aca="false">AL168+AM141-AM142</f>
        <v>33.5555555555556</v>
      </c>
      <c r="AN168" s="16" t="n">
        <f aca="false">AM168+AN141-AN142</f>
        <v>49.1111111111111</v>
      </c>
      <c r="AO168" s="16" t="n">
        <f aca="false">AN168+AO141-AO142</f>
        <v>47.8333333333333</v>
      </c>
      <c r="AP168" s="16" t="n">
        <f aca="false">AO168+AP141-AP142</f>
        <v>46.9333333333333</v>
      </c>
      <c r="AQ168" s="16" t="n">
        <f aca="false">AP168+AQ141-AQ142</f>
        <v>46.0666666666667</v>
      </c>
      <c r="AR168" s="16" t="n">
        <f aca="false">AQ168+AR141-AR142</f>
        <v>47.5</v>
      </c>
      <c r="AS168" s="16" t="n">
        <f aca="false">AR168+AS141-AS142</f>
        <v>47.6666666666667</v>
      </c>
      <c r="AT168" s="16" t="n">
        <f aca="false">AS168+AT141-AT142</f>
        <v>46.6</v>
      </c>
      <c r="AU168" s="16" t="n">
        <f aca="false">AT168+AU141-AU142</f>
        <v>46.6666666666667</v>
      </c>
      <c r="AV168" s="16" t="n">
        <f aca="false">AU168+AV141-AV142</f>
        <v>49.0666666666667</v>
      </c>
      <c r="AW168" s="16" t="n">
        <f aca="false">AV168+AW141-AW142</f>
        <v>49</v>
      </c>
      <c r="AX168" s="16" t="n">
        <f aca="false">AW168+AX141-AX142</f>
        <v>47.7</v>
      </c>
      <c r="AY168" s="16" t="n">
        <f aca="false">AX168+AY141-AY142</f>
        <v>47.5333333333333</v>
      </c>
      <c r="AZ168" s="16" t="n">
        <f aca="false">AY168+AZ141-AZ142</f>
        <v>63.9333333333333</v>
      </c>
      <c r="BA168" s="16" t="n">
        <f aca="false">AZ168+BA141-BA142</f>
        <v>62.3333333333333</v>
      </c>
      <c r="BB168" s="16" t="n">
        <f aca="false">BA168+BB141-BB142</f>
        <v>60.7</v>
      </c>
      <c r="BC168" s="16" t="n">
        <f aca="false">BB168+BC141-BC142</f>
        <v>61.3666666666667</v>
      </c>
      <c r="BD168" s="16" t="n">
        <f aca="false">BC168+BD141-BD142</f>
        <v>61.9666666666667</v>
      </c>
      <c r="BE168" s="16" t="n">
        <f aca="false">BD168+BE141-BE142</f>
        <v>60.1666666666667</v>
      </c>
      <c r="BF168" s="16" t="n">
        <f aca="false">BE168+BF141-BF142</f>
        <v>60.6666666666667</v>
      </c>
      <c r="BG168" s="16" t="n">
        <f aca="false">BF168+BG141-BG142</f>
        <v>59.9333333333334</v>
      </c>
      <c r="BH168" s="16" t="n">
        <f aca="false">BG168+BH141-BH142</f>
        <v>61.5</v>
      </c>
      <c r="BI168" s="16" t="n">
        <f aca="false">BH168+BI141-BI142</f>
        <v>61.7666666666667</v>
      </c>
      <c r="BJ168" s="16" t="n">
        <f aca="false">BI168+BJ141-BJ142</f>
        <v>59.6</v>
      </c>
      <c r="BK168" s="16" t="n">
        <f aca="false">BJ168+BK141-BK142</f>
        <v>58.5666666666667</v>
      </c>
    </row>
    <row r="169" customFormat="false" ht="15" hidden="false" customHeight="true" outlineLevel="0" collapsed="false">
      <c r="A169" s="12" t="s">
        <v>795</v>
      </c>
      <c r="B169" s="4" t="s">
        <v>44</v>
      </c>
      <c r="D169" s="16" t="n">
        <f aca="false">0+D161</f>
        <v>900</v>
      </c>
      <c r="E169" s="16" t="n">
        <f aca="false">D169+E161</f>
        <v>900</v>
      </c>
      <c r="F169" s="16" t="n">
        <f aca="false">E169+F161</f>
        <v>900</v>
      </c>
      <c r="G169" s="16" t="n">
        <f aca="false">F169+G161</f>
        <v>900</v>
      </c>
      <c r="H169" s="16" t="n">
        <f aca="false">G169+H161</f>
        <v>900</v>
      </c>
      <c r="I169" s="16" t="n">
        <f aca="false">H169+I161</f>
        <v>900</v>
      </c>
      <c r="J169" s="16" t="n">
        <f aca="false">I169+J161</f>
        <v>900</v>
      </c>
      <c r="K169" s="16" t="n">
        <f aca="false">J169+K161</f>
        <v>900</v>
      </c>
      <c r="L169" s="16" t="n">
        <f aca="false">K169+L161</f>
        <v>900</v>
      </c>
      <c r="M169" s="16" t="n">
        <f aca="false">L169+M161</f>
        <v>900</v>
      </c>
      <c r="N169" s="16" t="n">
        <f aca="false">M169+N161</f>
        <v>900</v>
      </c>
      <c r="O169" s="16" t="n">
        <f aca="false">N169+O161</f>
        <v>900</v>
      </c>
      <c r="P169" s="16" t="n">
        <f aca="false">O169+P161</f>
        <v>900</v>
      </c>
      <c r="Q169" s="16" t="n">
        <f aca="false">P169+Q161</f>
        <v>900</v>
      </c>
      <c r="R169" s="16" t="n">
        <f aca="false">Q169+R161</f>
        <v>900</v>
      </c>
      <c r="S169" s="16" t="n">
        <f aca="false">R169+S161</f>
        <v>900</v>
      </c>
      <c r="T169" s="16" t="n">
        <f aca="false">S169+T161</f>
        <v>900</v>
      </c>
      <c r="U169" s="16" t="n">
        <f aca="false">T169+U161</f>
        <v>900</v>
      </c>
      <c r="V169" s="16" t="n">
        <f aca="false">U169+V161</f>
        <v>900</v>
      </c>
      <c r="W169" s="16" t="n">
        <f aca="false">V169+W161</f>
        <v>900</v>
      </c>
      <c r="X169" s="16" t="n">
        <f aca="false">W169+X161</f>
        <v>900</v>
      </c>
      <c r="Y169" s="16" t="n">
        <f aca="false">X169+Y161</f>
        <v>1800</v>
      </c>
      <c r="Z169" s="16" t="n">
        <f aca="false">Y169+Z161</f>
        <v>1800</v>
      </c>
      <c r="AA169" s="16" t="n">
        <f aca="false">Z169+AA161</f>
        <v>1800</v>
      </c>
      <c r="AB169" s="16" t="n">
        <f aca="false">AA169+AB161</f>
        <v>1800</v>
      </c>
      <c r="AC169" s="16" t="n">
        <f aca="false">AB169+AC161</f>
        <v>1800</v>
      </c>
      <c r="AD169" s="16" t="n">
        <f aca="false">AC169+AD161</f>
        <v>1800</v>
      </c>
      <c r="AE169" s="16" t="n">
        <f aca="false">AD169+AE161</f>
        <v>1800</v>
      </c>
      <c r="AF169" s="16" t="n">
        <f aca="false">AE169+AF161</f>
        <v>1800</v>
      </c>
      <c r="AG169" s="16" t="n">
        <f aca="false">AF169+AG161</f>
        <v>1800</v>
      </c>
      <c r="AH169" s="16" t="n">
        <f aca="false">AG169+AH161</f>
        <v>1800</v>
      </c>
      <c r="AI169" s="16" t="n">
        <f aca="false">AH169+AI161</f>
        <v>1800</v>
      </c>
      <c r="AJ169" s="16" t="n">
        <f aca="false">AI169+AJ161</f>
        <v>1800</v>
      </c>
      <c r="AK169" s="16" t="n">
        <f aca="false">AJ169+AK161</f>
        <v>1800</v>
      </c>
      <c r="AL169" s="16" t="n">
        <f aca="false">AK169+AL161</f>
        <v>1800</v>
      </c>
      <c r="AM169" s="16" t="n">
        <f aca="false">AL169+AM161</f>
        <v>1800</v>
      </c>
      <c r="AN169" s="16" t="n">
        <f aca="false">AM169+AN161</f>
        <v>1800</v>
      </c>
      <c r="AO169" s="16" t="n">
        <f aca="false">AN169+AO161</f>
        <v>1800</v>
      </c>
      <c r="AP169" s="16" t="n">
        <f aca="false">AO169+AP161</f>
        <v>1800</v>
      </c>
      <c r="AQ169" s="16" t="n">
        <f aca="false">AP169+AQ161</f>
        <v>1800</v>
      </c>
      <c r="AR169" s="16" t="n">
        <f aca="false">AQ169+AR161</f>
        <v>1800</v>
      </c>
      <c r="AS169" s="16" t="n">
        <f aca="false">AR169+AS161</f>
        <v>1800</v>
      </c>
      <c r="AT169" s="16" t="n">
        <f aca="false">AS169+AT161</f>
        <v>1800</v>
      </c>
      <c r="AU169" s="16" t="n">
        <f aca="false">AT169+AU161</f>
        <v>1800</v>
      </c>
      <c r="AV169" s="16" t="n">
        <f aca="false">AU169+AV161</f>
        <v>1800</v>
      </c>
      <c r="AW169" s="16" t="n">
        <f aca="false">AV169+AW161</f>
        <v>1800</v>
      </c>
      <c r="AX169" s="16" t="n">
        <f aca="false">AW169+AX161</f>
        <v>1800</v>
      </c>
      <c r="AY169" s="16" t="n">
        <f aca="false">AX169+AY161</f>
        <v>1800</v>
      </c>
      <c r="AZ169" s="16" t="n">
        <f aca="false">AY169+AZ161</f>
        <v>1800</v>
      </c>
      <c r="BA169" s="16" t="n">
        <f aca="false">AZ169+BA161</f>
        <v>1800</v>
      </c>
      <c r="BB169" s="16" t="n">
        <f aca="false">BA169+BB161</f>
        <v>1800</v>
      </c>
      <c r="BC169" s="16" t="n">
        <f aca="false">BB169+BC161</f>
        <v>1800</v>
      </c>
      <c r="BD169" s="16" t="n">
        <f aca="false">BC169+BD161</f>
        <v>1800</v>
      </c>
      <c r="BE169" s="16" t="n">
        <f aca="false">BD169+BE161</f>
        <v>1800</v>
      </c>
      <c r="BF169" s="16" t="n">
        <f aca="false">BE169+BF161</f>
        <v>1800</v>
      </c>
      <c r="BG169" s="16" t="n">
        <f aca="false">BF169+BG161</f>
        <v>1800</v>
      </c>
      <c r="BH169" s="16" t="n">
        <f aca="false">BG169+BH161</f>
        <v>1800</v>
      </c>
      <c r="BI169" s="16" t="n">
        <f aca="false">BH169+BI161</f>
        <v>1800</v>
      </c>
      <c r="BJ169" s="16" t="n">
        <f aca="false">BI169+BJ161</f>
        <v>1800</v>
      </c>
      <c r="BK169" s="16" t="n">
        <f aca="false">BJ169+BK161</f>
        <v>1800</v>
      </c>
    </row>
    <row r="170" customFormat="false" ht="15" hidden="false" customHeight="true" outlineLevel="0" collapsed="false">
      <c r="A170" s="12" t="s">
        <v>796</v>
      </c>
      <c r="B170" s="4" t="s">
        <v>44</v>
      </c>
      <c r="D170" s="16" t="n">
        <f aca="false">0+D152</f>
        <v>-9.32</v>
      </c>
      <c r="E170" s="16" t="n">
        <f aca="false">D170+E152</f>
        <v>-16.39</v>
      </c>
      <c r="F170" s="16" t="n">
        <f aca="false">E170+F152</f>
        <v>-34.3411111111111</v>
      </c>
      <c r="G170" s="16" t="n">
        <f aca="false">F170+G152</f>
        <v>-55.1570555555556</v>
      </c>
      <c r="H170" s="16" t="n">
        <f aca="false">G170+H152</f>
        <v>-74.1745</v>
      </c>
      <c r="I170" s="16" t="n">
        <f aca="false">H170+I152</f>
        <v>-93.1434444444445</v>
      </c>
      <c r="J170" s="16" t="n">
        <f aca="false">I170+J152</f>
        <v>-112.732138888889</v>
      </c>
      <c r="K170" s="16" t="n">
        <f aca="false">J170+K152</f>
        <v>-132.271833333333</v>
      </c>
      <c r="L170" s="16" t="n">
        <f aca="false">K170+L152</f>
        <v>-153.632632725694</v>
      </c>
      <c r="M170" s="16" t="n">
        <f aca="false">L170+M152</f>
        <v>-172.946650596298</v>
      </c>
      <c r="N170" s="16" t="n">
        <f aca="false">M170+N152</f>
        <v>-191.71158502696</v>
      </c>
      <c r="O170" s="16" t="n">
        <f aca="false">N170+O152</f>
        <v>-209.512772009575</v>
      </c>
      <c r="P170" s="16" t="n">
        <f aca="false">O170+P152</f>
        <v>-255.056536663919</v>
      </c>
      <c r="Q170" s="16" t="n">
        <f aca="false">P170+Q152</f>
        <v>-294.390051002036</v>
      </c>
      <c r="R170" s="16" t="n">
        <f aca="false">Q170+R152</f>
        <v>-331.486115466952</v>
      </c>
      <c r="S170" s="16" t="n">
        <f aca="false">R170+S152</f>
        <v>-367.968014973227</v>
      </c>
      <c r="T170" s="16" t="n">
        <f aca="false">S170+T152</f>
        <v>-402.145952279246</v>
      </c>
      <c r="U170" s="16" t="n">
        <f aca="false">T170+U152</f>
        <v>-433.187562594337</v>
      </c>
      <c r="V170" s="16" t="n">
        <f aca="false">U170+V152</f>
        <v>-471.524783365869</v>
      </c>
      <c r="W170" s="16" t="n">
        <f aca="false">V170+W152</f>
        <v>-510.037477501131</v>
      </c>
      <c r="X170" s="16" t="n">
        <f aca="false">W170+X152</f>
        <v>-538.1660766508</v>
      </c>
      <c r="Y170" s="16" t="n">
        <f aca="false">X170+Y152</f>
        <v>-557.642137519286</v>
      </c>
      <c r="Z170" s="16" t="n">
        <f aca="false">Y170+Z152</f>
        <v>-568.872651058472</v>
      </c>
      <c r="AA170" s="16" t="n">
        <f aca="false">Z170+AA152</f>
        <v>-571.512116857628</v>
      </c>
      <c r="AB170" s="16" t="n">
        <f aca="false">AA170+AB152</f>
        <v>-607.328342845865</v>
      </c>
      <c r="AC170" s="16" t="n">
        <f aca="false">AB170+AC152</f>
        <v>-624.360532633257</v>
      </c>
      <c r="AD170" s="16" t="n">
        <f aca="false">AC170+AD152</f>
        <v>-632.173940219354</v>
      </c>
      <c r="AE170" s="16" t="n">
        <f aca="false">AD170+AE152</f>
        <v>-635.181114669227</v>
      </c>
      <c r="AF170" s="16" t="n">
        <f aca="false">AE170+AF152</f>
        <v>-624.165241901241</v>
      </c>
      <c r="AG170" s="16" t="n">
        <f aca="false">AF170+AG152</f>
        <v>-599.224433693935</v>
      </c>
      <c r="AH170" s="16" t="n">
        <f aca="false">AG170+AH152</f>
        <v>-585.650300120402</v>
      </c>
      <c r="AI170" s="16" t="n">
        <f aca="false">AH170+AI152</f>
        <v>-563.178085567013</v>
      </c>
      <c r="AJ170" s="16" t="n">
        <f aca="false">AI170+AJ152</f>
        <v>-515.763991394428</v>
      </c>
      <c r="AK170" s="16" t="n">
        <f aca="false">AJ170+AK152</f>
        <v>-446.803738467418</v>
      </c>
      <c r="AL170" s="16" t="n">
        <f aca="false">AK170+AL152</f>
        <v>-352.702947401569</v>
      </c>
      <c r="AM170" s="16" t="n">
        <f aca="false">AL170+AM152</f>
        <v>-238.084722060019</v>
      </c>
      <c r="AN170" s="16" t="n">
        <f aca="false">AM170+AN152</f>
        <v>-150.241369409292</v>
      </c>
      <c r="AO170" s="16" t="n">
        <f aca="false">AN170+AO152</f>
        <v>-22.8582283242334</v>
      </c>
      <c r="AP170" s="16" t="n">
        <f aca="false">AO170+AP152</f>
        <v>98.9553499105094</v>
      </c>
      <c r="AQ170" s="16" t="n">
        <f aca="false">AP170+AQ152</f>
        <v>232.994497433939</v>
      </c>
      <c r="AR170" s="16" t="n">
        <f aca="false">AQ170+AR152</f>
        <v>387.975913050949</v>
      </c>
      <c r="AS170" s="16" t="n">
        <f aca="false">AR170+AS152</f>
        <v>567.027196453423</v>
      </c>
      <c r="AT170" s="16" t="n">
        <f aca="false">AS170+AT152</f>
        <v>750.667535656459</v>
      </c>
      <c r="AU170" s="16" t="n">
        <f aca="false">AT170+AU152</f>
        <v>952.985692385278</v>
      </c>
      <c r="AV170" s="16" t="n">
        <f aca="false">AU170+AV152</f>
        <v>1188.8624825541</v>
      </c>
      <c r="AW170" s="16" t="n">
        <f aca="false">AV170+AW152</f>
        <v>1456.74227552324</v>
      </c>
      <c r="AX170" s="16" t="n">
        <f aca="false">AW170+AX152</f>
        <v>1758.20525514774</v>
      </c>
      <c r="AY170" s="16" t="n">
        <f aca="false">AX170+AY152</f>
        <v>2091.73067321036</v>
      </c>
      <c r="AZ170" s="16" t="n">
        <f aca="false">AY170+AZ152</f>
        <v>2416.43954086641</v>
      </c>
      <c r="BA170" s="16" t="n">
        <f aca="false">AZ170+BA152</f>
        <v>2789.40690629548</v>
      </c>
      <c r="BB170" s="16" t="n">
        <f aca="false">BA170+BB152</f>
        <v>3201.06108512061</v>
      </c>
      <c r="BC170" s="16" t="n">
        <f aca="false">BB170+BC152</f>
        <v>3645.27043108846</v>
      </c>
      <c r="BD170" s="16" t="n">
        <f aca="false">BC170+BD152</f>
        <v>4129.61553585874</v>
      </c>
      <c r="BE170" s="16" t="n">
        <f aca="false">BD170+BE152</f>
        <v>4657.60807745404</v>
      </c>
      <c r="BF170" s="16" t="n">
        <f aca="false">BE170+BF152</f>
        <v>5204.21924354623</v>
      </c>
      <c r="BG170" s="16" t="n">
        <f aca="false">BF170+BG152</f>
        <v>5788.86231647933</v>
      </c>
      <c r="BH170" s="16" t="n">
        <f aca="false">BG170+BH152</f>
        <v>6425.6637441439</v>
      </c>
      <c r="BI170" s="16" t="n">
        <f aca="false">BH170+BI152</f>
        <v>7111.5545433698</v>
      </c>
      <c r="BJ170" s="16" t="n">
        <f aca="false">BI170+BJ152</f>
        <v>7849.7864047507</v>
      </c>
      <c r="BK170" s="16" t="n">
        <f aca="false">BJ170+BK152</f>
        <v>8638.87878438062</v>
      </c>
    </row>
    <row r="171" customFormat="false" ht="15" hidden="false" customHeight="true" outlineLevel="0" collapsed="false">
      <c r="A171" s="5" t="s">
        <v>790</v>
      </c>
      <c r="B171" s="4" t="s">
        <v>44</v>
      </c>
      <c r="D171" s="52" t="n">
        <f aca="false">D165+D157+D168</f>
        <v>896.54</v>
      </c>
      <c r="E171" s="52" t="n">
        <f aca="false">E165+E157+E168</f>
        <v>887.22</v>
      </c>
      <c r="F171" s="52" t="n">
        <f aca="false">F165+F157+F168</f>
        <v>874.698888888889</v>
      </c>
      <c r="G171" s="52" t="n">
        <f aca="false">G165+G157+G168</f>
        <v>854.349444444444</v>
      </c>
      <c r="H171" s="52" t="n">
        <f aca="false">H165+H157+H168</f>
        <v>833.9085</v>
      </c>
      <c r="I171" s="52" t="n">
        <f aca="false">I165+I157+I168</f>
        <v>815.266055555556</v>
      </c>
      <c r="J171" s="52" t="n">
        <f aca="false">J165+J157+J168</f>
        <v>796.422111111111</v>
      </c>
      <c r="K171" s="52" t="n">
        <f aca="false">K165+K157+K168</f>
        <v>777.083416666667</v>
      </c>
      <c r="L171" s="52" t="n">
        <f aca="false">L165+L157+L168</f>
        <v>759.672520399306</v>
      </c>
      <c r="M171" s="52" t="n">
        <f aca="false">M165+M157+M168</f>
        <v>740.209326558324</v>
      </c>
      <c r="N171" s="52" t="n">
        <f aca="false">N165+N157+N168</f>
        <v>722.798277448928</v>
      </c>
      <c r="O171" s="52" t="n">
        <f aca="false">O165+O157+O168</f>
        <v>707.015186869663</v>
      </c>
      <c r="P171" s="52" t="n">
        <f aca="false">P165+P157+P168</f>
        <v>677.800127936092</v>
      </c>
      <c r="Q171" s="52" t="n">
        <f aca="false">Q165+Q157+Q168</f>
        <v>635.14362113917</v>
      </c>
      <c r="R171" s="52" t="n">
        <f aca="false">R165+R157+R168</f>
        <v>600.155526758447</v>
      </c>
      <c r="S171" s="52" t="n">
        <f aca="false">S165+S157+S168</f>
        <v>570.778025526857</v>
      </c>
      <c r="T171" s="52" t="n">
        <f aca="false">T165+T157+T168</f>
        <v>541.894039377951</v>
      </c>
      <c r="U171" s="52" t="n">
        <f aca="false">U165+U157+U168</f>
        <v>515.118016107533</v>
      </c>
      <c r="V171" s="52" t="n">
        <f aca="false">V165+V157+V168</f>
        <v>490.082516204207</v>
      </c>
      <c r="W171" s="52" t="n">
        <f aca="false">W165+W157+W168</f>
        <v>456.727401780946</v>
      </c>
      <c r="X171" s="52" t="n">
        <f aca="false">X165+X157+X168</f>
        <v>448.534388358865</v>
      </c>
      <c r="Y171" s="52" t="n">
        <f aca="false">Y165+Y157+Y168</f>
        <v>1341.49405078574</v>
      </c>
      <c r="Z171" s="52" t="n">
        <f aca="false">Z165+Z157+Z168</f>
        <v>1344.38835269465</v>
      </c>
      <c r="AA171" s="52" t="n">
        <f aca="false">AA165+AA157+AA168</f>
        <v>1356.81621034923</v>
      </c>
      <c r="AB171" s="52" t="n">
        <f aca="false">AB165+AB157+AB168</f>
        <v>1357.87400001094</v>
      </c>
      <c r="AC171" s="52" t="n">
        <f aca="false">AC165+AC157+AC168</f>
        <v>1349.2156211389</v>
      </c>
      <c r="AD171" s="52" t="n">
        <f aca="false">AD165+AD157+AD168</f>
        <v>1357.71535613082</v>
      </c>
      <c r="AE171" s="52" t="n">
        <f aca="false">AE165+AE157+AE168</f>
        <v>1380.20433632941</v>
      </c>
      <c r="AF171" s="52" t="n">
        <f aca="false">AF165+AF157+AF168</f>
        <v>1409.03103582089</v>
      </c>
      <c r="AG171" s="52" t="n">
        <f aca="false">AG165+AG157+AG168</f>
        <v>1452.72615967171</v>
      </c>
      <c r="AH171" s="52" t="n">
        <f aca="false">AH165+AH157+AH168</f>
        <v>1505.72072292905</v>
      </c>
      <c r="AI171" s="52" t="n">
        <f aca="false">AI165+AI157+AI168</f>
        <v>1547.44480886054</v>
      </c>
      <c r="AJ171" s="52" t="n">
        <f aca="false">AJ165+AJ157+AJ168</f>
        <v>1647.06522883199</v>
      </c>
      <c r="AK171" s="52" t="n">
        <f aca="false">AK165+AK157+AK168</f>
        <v>1752.8210878979</v>
      </c>
      <c r="AL171" s="52" t="n">
        <f aca="false">AL165+AL157+AL168</f>
        <v>1884.71575109089</v>
      </c>
      <c r="AM171" s="52" t="n">
        <f aca="false">AM165+AM157+AM168</f>
        <v>2042.41269941469</v>
      </c>
      <c r="AN171" s="52" t="n">
        <f aca="false">AN165+AN157+AN168</f>
        <v>2200.44902372652</v>
      </c>
      <c r="AO171" s="52" t="n">
        <f aca="false">AO165+AO157+AO168</f>
        <v>2363.84111452312</v>
      </c>
      <c r="AP171" s="52" t="n">
        <f aca="false">AP165+AP157+AP168</f>
        <v>2530.01638560849</v>
      </c>
      <c r="AQ171" s="52" t="n">
        <f aca="false">AQ165+AQ157+AQ168</f>
        <v>2717.81113609716</v>
      </c>
      <c r="AR171" s="52" t="n">
        <f aca="false">AR165+AR157+AR168</f>
        <v>2921.83480533906</v>
      </c>
      <c r="AS171" s="52" t="n">
        <f aca="false">AS165+AS157+AS168</f>
        <v>3147.8679847743</v>
      </c>
      <c r="AT171" s="52" t="n">
        <f aca="false">AT165+AT157+AT168</f>
        <v>3400.96956709522</v>
      </c>
      <c r="AU171" s="52" t="n">
        <f aca="false">AU165+AU157+AU168</f>
        <v>3652.97774303875</v>
      </c>
      <c r="AV171" s="52" t="n">
        <f aca="false">AV165+AV157+AV168</f>
        <v>3974.63145006721</v>
      </c>
      <c r="AW171" s="52" t="n">
        <f aca="false">AW165+AW157+AW168</f>
        <v>4311.45598922422</v>
      </c>
      <c r="AX171" s="52" t="n">
        <f aca="false">AX165+AX157+AX168</f>
        <v>4685.36607199587</v>
      </c>
      <c r="AY171" s="52" t="n">
        <f aca="false">AY165+AY157+AY168</f>
        <v>5095.87947291759</v>
      </c>
      <c r="AZ171" s="52" t="n">
        <f aca="false">AZ165+AZ157+AZ168</f>
        <v>5530.88547903106</v>
      </c>
      <c r="BA171" s="52" t="n">
        <f aca="false">BA165+BA157+BA168</f>
        <v>5976.69758899168</v>
      </c>
      <c r="BB171" s="52" t="n">
        <f aca="false">BB165+BB157+BB168</f>
        <v>6469.56767703453</v>
      </c>
      <c r="BC171" s="52" t="n">
        <f aca="false">BC165+BC157+BC168</f>
        <v>7006.4649651466</v>
      </c>
      <c r="BD171" s="52" t="n">
        <f aca="false">BD165+BD157+BD168</f>
        <v>7575.26769451982</v>
      </c>
      <c r="BE171" s="52" t="n">
        <f aca="false">BE165+BE157+BE168</f>
        <v>8186.35707897864</v>
      </c>
      <c r="BF171" s="52" t="n">
        <f aca="false">BF165+BF157+BF168</f>
        <v>8843.08594920998</v>
      </c>
      <c r="BG171" s="52" t="n">
        <f aca="false">BG165+BG157+BG168</f>
        <v>9513.09550653208</v>
      </c>
      <c r="BH171" s="52" t="n">
        <f aca="false">BH165+BH157+BH168</f>
        <v>10273.5780378493</v>
      </c>
      <c r="BI171" s="52" t="n">
        <f aca="false">BI165+BI157+BI168</f>
        <v>11066.7702008206</v>
      </c>
      <c r="BJ171" s="52" t="n">
        <f aca="false">BJ165+BJ157+BJ168</f>
        <v>11914.0792396379</v>
      </c>
      <c r="BK171" s="52" t="n">
        <f aca="false">BK165+BK157+BK168</f>
        <v>12817.4727443617</v>
      </c>
    </row>
    <row r="172" customFormat="false" ht="15" hidden="false" customHeight="true" outlineLevel="0" collapsed="false">
      <c r="A172" s="5" t="s">
        <v>798</v>
      </c>
      <c r="B172" s="4" t="s">
        <v>44</v>
      </c>
      <c r="D172" s="52" t="n">
        <f aca="false">D158+D155+D146+D169+D170</f>
        <v>896.54</v>
      </c>
      <c r="E172" s="52" t="n">
        <f aca="false">E158+E155+E146+E169+E170</f>
        <v>887.22</v>
      </c>
      <c r="F172" s="52" t="n">
        <f aca="false">F158+F155+F146+F169+F170</f>
        <v>874.698888888889</v>
      </c>
      <c r="G172" s="52" t="n">
        <f aca="false">G158+G155+G146+G169+G170</f>
        <v>854.349444444444</v>
      </c>
      <c r="H172" s="52" t="n">
        <f aca="false">H158+H155+H146+H169+H170</f>
        <v>833.9085</v>
      </c>
      <c r="I172" s="52" t="n">
        <f aca="false">I158+I155+I146+I169+I170</f>
        <v>815.266055555556</v>
      </c>
      <c r="J172" s="52" t="n">
        <f aca="false">J158+J155+J146+J169+J170</f>
        <v>796.422111111111</v>
      </c>
      <c r="K172" s="52" t="n">
        <f aca="false">K158+K155+K146+K169+K170</f>
        <v>777.083416666667</v>
      </c>
      <c r="L172" s="52" t="n">
        <f aca="false">L158+L155+L146+L169+L170</f>
        <v>759.672520399306</v>
      </c>
      <c r="M172" s="52" t="n">
        <f aca="false">M158+M155+M146+M169+M170</f>
        <v>740.209326558324</v>
      </c>
      <c r="N172" s="52" t="n">
        <f aca="false">N158+N155+N146+N169+N170</f>
        <v>722.798277448928</v>
      </c>
      <c r="O172" s="52" t="n">
        <f aca="false">O158+O155+O146+O169+O170</f>
        <v>707.015186869663</v>
      </c>
      <c r="P172" s="52" t="n">
        <f aca="false">P158+P155+P146+P169+P170</f>
        <v>677.800127936092</v>
      </c>
      <c r="Q172" s="52" t="n">
        <f aca="false">Q158+Q155+Q146+Q169+Q170</f>
        <v>635.143621139169</v>
      </c>
      <c r="R172" s="52" t="n">
        <f aca="false">R158+R155+R146+R169+R170</f>
        <v>600.155526758447</v>
      </c>
      <c r="S172" s="52" t="n">
        <f aca="false">S158+S155+S146+S169+S170</f>
        <v>570.778025526857</v>
      </c>
      <c r="T172" s="52" t="n">
        <f aca="false">T158+T155+T146+T169+T170</f>
        <v>541.894039377951</v>
      </c>
      <c r="U172" s="52" t="n">
        <f aca="false">U158+U155+U146+U169+U170</f>
        <v>515.118016107533</v>
      </c>
      <c r="V172" s="52" t="n">
        <f aca="false">V158+V155+V146+V169+V170</f>
        <v>490.082516204207</v>
      </c>
      <c r="W172" s="52" t="n">
        <f aca="false">W158+W155+W146+W169+W170</f>
        <v>456.727401780946</v>
      </c>
      <c r="X172" s="52" t="n">
        <f aca="false">X158+X155+X146+X169+X170</f>
        <v>448.534388358864</v>
      </c>
      <c r="Y172" s="52" t="n">
        <f aca="false">Y158+Y155+Y146+Y169+Y170</f>
        <v>1341.49405078574</v>
      </c>
      <c r="Z172" s="52" t="n">
        <f aca="false">Z158+Z155+Z146+Z169+Z170</f>
        <v>1344.38835269465</v>
      </c>
      <c r="AA172" s="52" t="n">
        <f aca="false">AA158+AA155+AA146+AA169+AA170</f>
        <v>1356.81621034923</v>
      </c>
      <c r="AB172" s="52" t="n">
        <f aca="false">AB158+AB155+AB146+AB169+AB170</f>
        <v>1357.87400001094</v>
      </c>
      <c r="AC172" s="52" t="n">
        <f aca="false">AC158+AC155+AC146+AC169+AC170</f>
        <v>1349.2156211389</v>
      </c>
      <c r="AD172" s="52" t="n">
        <f aca="false">AD158+AD155+AD146+AD169+AD170</f>
        <v>1357.71535613082</v>
      </c>
      <c r="AE172" s="52" t="n">
        <f aca="false">AE158+AE155+AE146+AE169+AE170</f>
        <v>1380.20433632941</v>
      </c>
      <c r="AF172" s="52" t="n">
        <f aca="false">AF158+AF155+AF146+AF169+AF170</f>
        <v>1409.03103582089</v>
      </c>
      <c r="AG172" s="52" t="n">
        <f aca="false">AG158+AG155+AG146+AG169+AG170</f>
        <v>1452.72615967171</v>
      </c>
      <c r="AH172" s="52" t="n">
        <f aca="false">AH158+AH155+AH146+AH169+AH170</f>
        <v>1505.72072292905</v>
      </c>
      <c r="AI172" s="52" t="n">
        <f aca="false">AI158+AI155+AI146+AI169+AI170</f>
        <v>1547.44480886054</v>
      </c>
      <c r="AJ172" s="52" t="n">
        <f aca="false">AJ158+AJ155+AJ146+AJ169+AJ170</f>
        <v>1647.06522883199</v>
      </c>
      <c r="AK172" s="52" t="n">
        <f aca="false">AK158+AK155+AK146+AK169+AK170</f>
        <v>1752.8210878979</v>
      </c>
      <c r="AL172" s="52" t="n">
        <f aca="false">AL158+AL155+AL146+AL169+AL170</f>
        <v>1884.71575109089</v>
      </c>
      <c r="AM172" s="52" t="n">
        <f aca="false">AM158+AM155+AM146+AM169+AM170</f>
        <v>2042.41269941469</v>
      </c>
      <c r="AN172" s="52" t="n">
        <f aca="false">AN158+AN155+AN146+AN169+AN170</f>
        <v>2200.44902372652</v>
      </c>
      <c r="AO172" s="52" t="n">
        <f aca="false">AO158+AO155+AO146+AO169+AO170</f>
        <v>2363.84111452311</v>
      </c>
      <c r="AP172" s="52" t="n">
        <f aca="false">AP158+AP155+AP146+AP169+AP170</f>
        <v>2530.01638560849</v>
      </c>
      <c r="AQ172" s="52" t="n">
        <f aca="false">AQ158+AQ155+AQ146+AQ169+AQ170</f>
        <v>2717.81113609716</v>
      </c>
      <c r="AR172" s="52" t="n">
        <f aca="false">AR158+AR155+AR146+AR169+AR170</f>
        <v>2921.83480533906</v>
      </c>
      <c r="AS172" s="52" t="n">
        <f aca="false">AS158+AS155+AS146+AS169+AS170</f>
        <v>3147.8679847743</v>
      </c>
      <c r="AT172" s="52" t="n">
        <f aca="false">AT158+AT155+AT146+AT169+AT170</f>
        <v>3400.96956709522</v>
      </c>
      <c r="AU172" s="52" t="n">
        <f aca="false">AU158+AU155+AU146+AU169+AU170</f>
        <v>3652.97774303875</v>
      </c>
      <c r="AV172" s="52" t="n">
        <f aca="false">AV158+AV155+AV146+AV169+AV170</f>
        <v>3974.63145006721</v>
      </c>
      <c r="AW172" s="52" t="n">
        <f aca="false">AW158+AW155+AW146+AW169+AW170</f>
        <v>4311.45598922422</v>
      </c>
      <c r="AX172" s="52" t="n">
        <f aca="false">AX158+AX155+AX146+AX169+AX170</f>
        <v>4685.36607199587</v>
      </c>
      <c r="AY172" s="52" t="n">
        <f aca="false">AY158+AY155+AY146+AY169+AY170</f>
        <v>5095.87947291759</v>
      </c>
      <c r="AZ172" s="52" t="n">
        <f aca="false">AZ158+AZ155+AZ146+AZ169+AZ170</f>
        <v>5530.88547903106</v>
      </c>
      <c r="BA172" s="52" t="n">
        <f aca="false">BA158+BA155+BA146+BA169+BA170</f>
        <v>5976.69758899168</v>
      </c>
      <c r="BB172" s="52" t="n">
        <f aca="false">BB158+BB155+BB146+BB169+BB170</f>
        <v>6469.56767703453</v>
      </c>
      <c r="BC172" s="52" t="n">
        <f aca="false">BC158+BC155+BC146+BC169+BC170</f>
        <v>7006.4649651466</v>
      </c>
      <c r="BD172" s="52" t="n">
        <f aca="false">BD158+BD155+BD146+BD169+BD170</f>
        <v>7575.26769451982</v>
      </c>
      <c r="BE172" s="52" t="n">
        <f aca="false">BE158+BE155+BE146+BE169+BE170</f>
        <v>8186.35707897864</v>
      </c>
      <c r="BF172" s="52" t="n">
        <f aca="false">BF158+BF155+BF146+BF169+BF170</f>
        <v>8843.08594920998</v>
      </c>
      <c r="BG172" s="52" t="n">
        <f aca="false">BG158+BG155+BG146+BG169+BG170</f>
        <v>9513.09550653208</v>
      </c>
      <c r="BH172" s="52" t="n">
        <f aca="false">BH158+BH155+BH146+BH169+BH170</f>
        <v>10273.5780378493</v>
      </c>
      <c r="BI172" s="52" t="n">
        <f aca="false">BI158+BI155+BI146+BI169+BI170</f>
        <v>11066.7702008206</v>
      </c>
      <c r="BJ172" s="52" t="n">
        <f aca="false">BJ158+BJ155+BJ146+BJ169+BJ170</f>
        <v>11914.0792396379</v>
      </c>
      <c r="BK172" s="52" t="n">
        <f aca="false">BK158+BK155+BK146+BK169+BK170</f>
        <v>12817.4727443617</v>
      </c>
    </row>
    <row r="173" customFormat="false" ht="15" hidden="false" customHeight="true" outlineLevel="0" collapsed="false">
      <c r="A173" s="12" t="s">
        <v>799</v>
      </c>
      <c r="B173" s="4" t="s">
        <v>44</v>
      </c>
      <c r="D173" s="18" t="n">
        <f aca="false">ROUND(D171-D172,4)</f>
        <v>0</v>
      </c>
      <c r="E173" s="18" t="n">
        <f aca="false">ROUND(E171-E172,4)</f>
        <v>0</v>
      </c>
      <c r="F173" s="18" t="n">
        <f aca="false">ROUND(F171-F172,4)</f>
        <v>0</v>
      </c>
      <c r="G173" s="18" t="n">
        <f aca="false">ROUND(G171-G172,4)</f>
        <v>0</v>
      </c>
      <c r="H173" s="18" t="n">
        <f aca="false">ROUND(H171-H172,4)</f>
        <v>0</v>
      </c>
      <c r="I173" s="18" t="n">
        <f aca="false">ROUND(I171-I172,4)</f>
        <v>0</v>
      </c>
      <c r="J173" s="18" t="n">
        <f aca="false">ROUND(J171-J172,4)</f>
        <v>0</v>
      </c>
      <c r="K173" s="18" t="n">
        <f aca="false">ROUND(K171-K172,4)</f>
        <v>0</v>
      </c>
      <c r="L173" s="18" t="n">
        <f aca="false">ROUND(L171-L172,4)</f>
        <v>0</v>
      </c>
      <c r="M173" s="18" t="n">
        <f aca="false">ROUND(M171-M172,4)</f>
        <v>0</v>
      </c>
      <c r="N173" s="18" t="n">
        <f aca="false">ROUND(N171-N172,4)</f>
        <v>0</v>
      </c>
      <c r="O173" s="18" t="n">
        <f aca="false">ROUND(O171-O172,4)</f>
        <v>0</v>
      </c>
      <c r="P173" s="18" t="n">
        <f aca="false">ROUND(P171-P172,4)</f>
        <v>0</v>
      </c>
      <c r="Q173" s="18" t="n">
        <f aca="false">ROUND(Q171-Q172,4)</f>
        <v>0</v>
      </c>
      <c r="R173" s="18" t="n">
        <f aca="false">ROUND(R171-R172,4)</f>
        <v>0</v>
      </c>
      <c r="S173" s="18" t="n">
        <f aca="false">ROUND(S171-S172,4)</f>
        <v>0</v>
      </c>
      <c r="T173" s="18" t="n">
        <f aca="false">ROUND(T171-T172,4)</f>
        <v>0</v>
      </c>
      <c r="U173" s="18" t="n">
        <f aca="false">ROUND(U171-U172,4)</f>
        <v>0</v>
      </c>
      <c r="V173" s="18" t="n">
        <f aca="false">ROUND(V171-V172,4)</f>
        <v>0</v>
      </c>
      <c r="W173" s="18" t="n">
        <f aca="false">ROUND(W171-W172,4)</f>
        <v>0</v>
      </c>
      <c r="X173" s="18" t="n">
        <f aca="false">ROUND(X171-X172,4)</f>
        <v>0</v>
      </c>
      <c r="Y173" s="18" t="n">
        <f aca="false">ROUND(Y171-Y172,4)</f>
        <v>0</v>
      </c>
      <c r="Z173" s="18" t="n">
        <f aca="false">ROUND(Z171-Z172,4)</f>
        <v>0</v>
      </c>
      <c r="AA173" s="18" t="n">
        <f aca="false">ROUND(AA171-AA172,4)</f>
        <v>0</v>
      </c>
      <c r="AB173" s="18" t="n">
        <f aca="false">ROUND(AB171-AB172,4)</f>
        <v>0</v>
      </c>
      <c r="AC173" s="18" t="n">
        <f aca="false">ROUND(AC171-AC172,4)</f>
        <v>0</v>
      </c>
      <c r="AD173" s="18" t="n">
        <f aca="false">ROUND(AD171-AD172,4)</f>
        <v>0</v>
      </c>
      <c r="AE173" s="18" t="n">
        <f aca="false">ROUND(AE171-AE172,4)</f>
        <v>0</v>
      </c>
      <c r="AF173" s="18" t="n">
        <f aca="false">ROUND(AF171-AF172,4)</f>
        <v>0</v>
      </c>
      <c r="AG173" s="18" t="n">
        <f aca="false">ROUND(AG171-AG172,4)</f>
        <v>0</v>
      </c>
      <c r="AH173" s="18" t="n">
        <f aca="false">ROUND(AH171-AH172,4)</f>
        <v>0</v>
      </c>
      <c r="AI173" s="18" t="n">
        <f aca="false">ROUND(AI171-AI172,4)</f>
        <v>0</v>
      </c>
      <c r="AJ173" s="18" t="n">
        <f aca="false">ROUND(AJ171-AJ172,4)</f>
        <v>0</v>
      </c>
      <c r="AK173" s="18" t="n">
        <f aca="false">ROUND(AK171-AK172,4)</f>
        <v>0</v>
      </c>
      <c r="AL173" s="18" t="n">
        <f aca="false">ROUND(AL171-AL172,4)</f>
        <v>0</v>
      </c>
      <c r="AM173" s="18" t="n">
        <f aca="false">ROUND(AM171-AM172,4)</f>
        <v>0</v>
      </c>
      <c r="AN173" s="18" t="n">
        <f aca="false">ROUND(AN171-AN172,4)</f>
        <v>0</v>
      </c>
      <c r="AO173" s="18" t="n">
        <f aca="false">ROUND(AO171-AO172,4)</f>
        <v>0</v>
      </c>
      <c r="AP173" s="18" t="n">
        <f aca="false">ROUND(AP171-AP172,4)</f>
        <v>0</v>
      </c>
      <c r="AQ173" s="18" t="n">
        <f aca="false">ROUND(AQ171-AQ172,4)</f>
        <v>0</v>
      </c>
      <c r="AR173" s="18" t="n">
        <f aca="false">ROUND(AR171-AR172,4)</f>
        <v>0</v>
      </c>
      <c r="AS173" s="18" t="n">
        <f aca="false">ROUND(AS171-AS172,4)</f>
        <v>0</v>
      </c>
      <c r="AT173" s="18" t="n">
        <f aca="false">ROUND(AT171-AT172,4)</f>
        <v>0</v>
      </c>
      <c r="AU173" s="18" t="n">
        <f aca="false">ROUND(AU171-AU172,4)</f>
        <v>0</v>
      </c>
      <c r="AV173" s="18" t="n">
        <f aca="false">ROUND(AV171-AV172,4)</f>
        <v>0</v>
      </c>
      <c r="AW173" s="18" t="n">
        <f aca="false">ROUND(AW171-AW172,4)</f>
        <v>0</v>
      </c>
      <c r="AX173" s="18" t="n">
        <f aca="false">ROUND(AX171-AX172,4)</f>
        <v>0</v>
      </c>
      <c r="AY173" s="18" t="n">
        <f aca="false">ROUND(AY171-AY172,4)</f>
        <v>0</v>
      </c>
      <c r="AZ173" s="18" t="n">
        <f aca="false">ROUND(AZ171-AZ172,4)</f>
        <v>0</v>
      </c>
      <c r="BA173" s="18" t="n">
        <f aca="false">ROUND(BA171-BA172,4)</f>
        <v>0</v>
      </c>
      <c r="BB173" s="18" t="n">
        <f aca="false">ROUND(BB171-BB172,4)</f>
        <v>0</v>
      </c>
      <c r="BC173" s="18" t="n">
        <f aca="false">ROUND(BC171-BC172,4)</f>
        <v>0</v>
      </c>
      <c r="BD173" s="18" t="n">
        <f aca="false">ROUND(BD171-BD172,4)</f>
        <v>0</v>
      </c>
      <c r="BE173" s="18" t="n">
        <f aca="false">ROUND(BE171-BE172,4)</f>
        <v>0</v>
      </c>
      <c r="BF173" s="18" t="n">
        <f aca="false">ROUND(BF171-BF172,4)</f>
        <v>0</v>
      </c>
      <c r="BG173" s="18" t="n">
        <f aca="false">ROUND(BG171-BG172,4)</f>
        <v>0</v>
      </c>
      <c r="BH173" s="18" t="n">
        <f aca="false">ROUND(BH171-BH172,4)</f>
        <v>0</v>
      </c>
      <c r="BI173" s="18" t="n">
        <f aca="false">ROUND(BI171-BI172,4)</f>
        <v>0</v>
      </c>
      <c r="BJ173" s="18" t="n">
        <f aca="false">ROUND(BJ171-BJ172,4)</f>
        <v>0</v>
      </c>
      <c r="BK173" s="18" t="n">
        <f aca="false">ROUND(BK171-BK172,4)</f>
        <v>0</v>
      </c>
    </row>
    <row r="175" customFormat="false" ht="15" hidden="false" customHeight="true" outlineLevel="0" collapsed="false">
      <c r="A175" s="10" t="s">
        <v>2015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 customFormat="false" ht="15" hidden="false" customHeight="true" outlineLevel="0" collapsed="false">
      <c r="A176" s="12" t="s">
        <v>2016</v>
      </c>
      <c r="B176" s="4" t="s">
        <v>148</v>
      </c>
      <c r="D176" s="20" t="str">
        <f aca="true">IF(D$6&lt;3,"",IF(SUM(OFFSET(D138,0,-2,1,3))&gt;0,D$6,""))</f>
        <v/>
      </c>
      <c r="E176" s="20" t="str">
        <f aca="true">IF(E$6&lt;3,"",IF(SUM(OFFSET(E138,0,-2,1,3))&gt;0,E$6,""))</f>
        <v/>
      </c>
      <c r="F176" s="20" t="str">
        <f aca="true">IF(F$6&lt;3,"",IF(SUM(OFFSET(F138,0,-2,1,3))&gt;0,F$6,""))</f>
        <v/>
      </c>
      <c r="G176" s="20" t="str">
        <f aca="true">IF(G$6&lt;3,"",IF(SUM(OFFSET(G138,0,-2,1,3))&gt;0,G$6,""))</f>
        <v/>
      </c>
      <c r="H176" s="20" t="str">
        <f aca="true">IF(H$6&lt;3,"",IF(SUM(OFFSET(H138,0,-2,1,3))&gt;0,H$6,""))</f>
        <v/>
      </c>
      <c r="I176" s="20" t="str">
        <f aca="true">IF(I$6&lt;3,"",IF(SUM(OFFSET(I138,0,-2,1,3))&gt;0,I$6,""))</f>
        <v/>
      </c>
      <c r="J176" s="20" t="str">
        <f aca="true">IF(J$6&lt;3,"",IF(SUM(OFFSET(J138,0,-2,1,3))&gt;0,J$6,""))</f>
        <v/>
      </c>
      <c r="K176" s="20" t="str">
        <f aca="true">IF(K$6&lt;3,"",IF(SUM(OFFSET(K138,0,-2,1,3))&gt;0,K$6,""))</f>
        <v/>
      </c>
      <c r="L176" s="20" t="str">
        <f aca="true">IF(L$6&lt;3,"",IF(SUM(OFFSET(L138,0,-2,1,3))&gt;0,L$6,""))</f>
        <v/>
      </c>
      <c r="M176" s="20" t="str">
        <f aca="true">IF(M$6&lt;3,"",IF(SUM(OFFSET(M138,0,-2,1,3))&gt;0,M$6,""))</f>
        <v/>
      </c>
      <c r="N176" s="20" t="str">
        <f aca="true">IF(N$6&lt;3,"",IF(SUM(OFFSET(N138,0,-2,1,3))&gt;0,N$6,""))</f>
        <v/>
      </c>
      <c r="O176" s="20" t="str">
        <f aca="true">IF(O$6&lt;3,"",IF(SUM(OFFSET(O138,0,-2,1,3))&gt;0,O$6,""))</f>
        <v/>
      </c>
      <c r="P176" s="20" t="str">
        <f aca="true">IF(P$6&lt;3,"",IF(SUM(OFFSET(P138,0,-2,1,3))&gt;0,P$6,""))</f>
        <v/>
      </c>
      <c r="Q176" s="20" t="str">
        <f aca="true">IF(Q$6&lt;3,"",IF(SUM(OFFSET(Q138,0,-2,1,3))&gt;0,Q$6,""))</f>
        <v/>
      </c>
      <c r="R176" s="20" t="str">
        <f aca="true">IF(R$6&lt;3,"",IF(SUM(OFFSET(R138,0,-2,1,3))&gt;0,R$6,""))</f>
        <v/>
      </c>
      <c r="S176" s="20" t="str">
        <f aca="true">IF(S$6&lt;3,"",IF(SUM(OFFSET(S138,0,-2,1,3))&gt;0,S$6,""))</f>
        <v/>
      </c>
      <c r="T176" s="20" t="str">
        <f aca="true">IF(T$6&lt;3,"",IF(SUM(OFFSET(T138,0,-2,1,3))&gt;0,T$6,""))</f>
        <v/>
      </c>
      <c r="U176" s="20" t="str">
        <f aca="true">IF(U$6&lt;3,"",IF(SUM(OFFSET(U138,0,-2,1,3))&gt;0,U$6,""))</f>
        <v/>
      </c>
      <c r="V176" s="20" t="str">
        <f aca="true">IF(V$6&lt;3,"",IF(SUM(OFFSET(V138,0,-2,1,3))&gt;0,V$6,""))</f>
        <v/>
      </c>
      <c r="W176" s="20" t="str">
        <f aca="true">IF(W$6&lt;3,"",IF(SUM(OFFSET(W138,0,-2,1,3))&gt;0,W$6,""))</f>
        <v/>
      </c>
      <c r="X176" s="20" t="str">
        <f aca="true">IF(X$6&lt;3,"",IF(SUM(OFFSET(X138,0,-2,1,3))&gt;0,X$6,""))</f>
        <v/>
      </c>
      <c r="Y176" s="20" t="str">
        <f aca="true">IF(Y$6&lt;3,"",IF(SUM(OFFSET(Y138,0,-2,1,3))&gt;0,Y$6,""))</f>
        <v/>
      </c>
      <c r="Z176" s="20" t="str">
        <f aca="true">IF(Z$6&lt;3,"",IF(SUM(OFFSET(Z138,0,-2,1,3))&gt;0,Z$6,""))</f>
        <v/>
      </c>
      <c r="AA176" s="20" t="str">
        <f aca="true">IF(AA$6&lt;3,"",IF(SUM(OFFSET(AA138,0,-2,1,3))&gt;0,AA$6,""))</f>
        <v/>
      </c>
      <c r="AB176" s="20" t="str">
        <f aca="true">IF(AB$6&lt;3,"",IF(SUM(OFFSET(AB138,0,-2,1,3))&gt;0,AB$6,""))</f>
        <v/>
      </c>
      <c r="AC176" s="20" t="str">
        <f aca="true">IF(AC$6&lt;3,"",IF(SUM(OFFSET(AC138,0,-2,1,3))&gt;0,AC$6,""))</f>
        <v/>
      </c>
      <c r="AD176" s="20" t="str">
        <f aca="true">IF(AD$6&lt;3,"",IF(SUM(OFFSET(AD138,0,-2,1,3))&gt;0,AD$6,""))</f>
        <v/>
      </c>
      <c r="AE176" s="20" t="str">
        <f aca="true">IF(AE$6&lt;3,"",IF(SUM(OFFSET(AE138,0,-2,1,3))&gt;0,AE$6,""))</f>
        <v/>
      </c>
      <c r="AF176" s="20" t="n">
        <f aca="true">IF(AF$6&lt;3,"",IF(SUM(OFFSET(AF138,0,-2,1,3))&gt;0,AF$6,""))</f>
        <v>29</v>
      </c>
      <c r="AG176" s="20" t="n">
        <f aca="true">IF(AG$6&lt;3,"",IF(SUM(OFFSET(AG138,0,-2,1,3))&gt;0,AG$6,""))</f>
        <v>30</v>
      </c>
      <c r="AH176" s="20" t="n">
        <f aca="true">IF(AH$6&lt;3,"",IF(SUM(OFFSET(AH138,0,-2,1,3))&gt;0,AH$6,""))</f>
        <v>31</v>
      </c>
      <c r="AI176" s="20" t="n">
        <f aca="true">IF(AI$6&lt;3,"",IF(SUM(OFFSET(AI138,0,-2,1,3))&gt;0,AI$6,""))</f>
        <v>32</v>
      </c>
      <c r="AJ176" s="20" t="n">
        <f aca="true">IF(AJ$6&lt;3,"",IF(SUM(OFFSET(AJ138,0,-2,1,3))&gt;0,AJ$6,""))</f>
        <v>33</v>
      </c>
      <c r="AK176" s="20" t="n">
        <f aca="true">IF(AK$6&lt;3,"",IF(SUM(OFFSET(AK138,0,-2,1,3))&gt;0,AK$6,""))</f>
        <v>34</v>
      </c>
      <c r="AL176" s="20" t="n">
        <f aca="true">IF(AL$6&lt;3,"",IF(SUM(OFFSET(AL138,0,-2,1,3))&gt;0,AL$6,""))</f>
        <v>35</v>
      </c>
      <c r="AM176" s="20" t="n">
        <f aca="true">IF(AM$6&lt;3,"",IF(SUM(OFFSET(AM138,0,-2,1,3))&gt;0,AM$6,""))</f>
        <v>36</v>
      </c>
      <c r="AN176" s="20" t="n">
        <f aca="true">IF(AN$6&lt;3,"",IF(SUM(OFFSET(AN138,0,-2,1,3))&gt;0,AN$6,""))</f>
        <v>37</v>
      </c>
      <c r="AO176" s="20" t="n">
        <f aca="true">IF(AO$6&lt;3,"",IF(SUM(OFFSET(AO138,0,-2,1,3))&gt;0,AO$6,""))</f>
        <v>38</v>
      </c>
      <c r="AP176" s="20" t="n">
        <f aca="true">IF(AP$6&lt;3,"",IF(SUM(OFFSET(AP138,0,-2,1,3))&gt;0,AP$6,""))</f>
        <v>39</v>
      </c>
      <c r="AQ176" s="20" t="n">
        <f aca="true">IF(AQ$6&lt;3,"",IF(SUM(OFFSET(AQ138,0,-2,1,3))&gt;0,AQ$6,""))</f>
        <v>40</v>
      </c>
      <c r="AR176" s="20" t="n">
        <f aca="true">IF(AR$6&lt;3,"",IF(SUM(OFFSET(AR138,0,-2,1,3))&gt;0,AR$6,""))</f>
        <v>41</v>
      </c>
      <c r="AS176" s="20" t="n">
        <f aca="true">IF(AS$6&lt;3,"",IF(SUM(OFFSET(AS138,0,-2,1,3))&gt;0,AS$6,""))</f>
        <v>42</v>
      </c>
      <c r="AT176" s="20" t="n">
        <f aca="true">IF(AT$6&lt;3,"",IF(SUM(OFFSET(AT138,0,-2,1,3))&gt;0,AT$6,""))</f>
        <v>43</v>
      </c>
      <c r="AU176" s="20" t="n">
        <f aca="true">IF(AU$6&lt;3,"",IF(SUM(OFFSET(AU138,0,-2,1,3))&gt;0,AU$6,""))</f>
        <v>44</v>
      </c>
      <c r="AV176" s="20" t="n">
        <f aca="true">IF(AV$6&lt;3,"",IF(SUM(OFFSET(AV138,0,-2,1,3))&gt;0,AV$6,""))</f>
        <v>45</v>
      </c>
      <c r="AW176" s="20" t="n">
        <f aca="true">IF(AW$6&lt;3,"",IF(SUM(OFFSET(AW138,0,-2,1,3))&gt;0,AW$6,""))</f>
        <v>46</v>
      </c>
      <c r="AX176" s="20" t="n">
        <f aca="true">IF(AX$6&lt;3,"",IF(SUM(OFFSET(AX138,0,-2,1,3))&gt;0,AX$6,""))</f>
        <v>47</v>
      </c>
      <c r="AY176" s="20" t="n">
        <f aca="true">IF(AY$6&lt;3,"",IF(SUM(OFFSET(AY138,0,-2,1,3))&gt;0,AY$6,""))</f>
        <v>48</v>
      </c>
      <c r="AZ176" s="20" t="n">
        <f aca="true">IF(AZ$6&lt;3,"",IF(SUM(OFFSET(AZ138,0,-2,1,3))&gt;0,AZ$6,""))</f>
        <v>49</v>
      </c>
      <c r="BA176" s="20" t="n">
        <f aca="true">IF(BA$6&lt;3,"",IF(SUM(OFFSET(BA138,0,-2,1,3))&gt;0,BA$6,""))</f>
        <v>50</v>
      </c>
      <c r="BB176" s="20" t="n">
        <f aca="true">IF(BB$6&lt;3,"",IF(SUM(OFFSET(BB138,0,-2,1,3))&gt;0,BB$6,""))</f>
        <v>51</v>
      </c>
      <c r="BC176" s="20" t="n">
        <f aca="true">IF(BC$6&lt;3,"",IF(SUM(OFFSET(BC138,0,-2,1,3))&gt;0,BC$6,""))</f>
        <v>52</v>
      </c>
      <c r="BD176" s="20" t="n">
        <f aca="true">IF(BD$6&lt;3,"",IF(SUM(OFFSET(BD138,0,-2,1,3))&gt;0,BD$6,""))</f>
        <v>53</v>
      </c>
      <c r="BE176" s="20" t="n">
        <f aca="true">IF(BE$6&lt;3,"",IF(SUM(OFFSET(BE138,0,-2,1,3))&gt;0,BE$6,""))</f>
        <v>54</v>
      </c>
      <c r="BF176" s="20" t="n">
        <f aca="true">IF(BF$6&lt;3,"",IF(SUM(OFFSET(BF138,0,-2,1,3))&gt;0,BF$6,""))</f>
        <v>55</v>
      </c>
      <c r="BG176" s="20" t="n">
        <f aca="true">IF(BG$6&lt;3,"",IF(SUM(OFFSET(BG138,0,-2,1,3))&gt;0,BG$6,""))</f>
        <v>56</v>
      </c>
      <c r="BH176" s="20" t="n">
        <f aca="true">IF(BH$6&lt;3,"",IF(SUM(OFFSET(BH138,0,-2,1,3))&gt;0,BH$6,""))</f>
        <v>57</v>
      </c>
      <c r="BI176" s="20" t="n">
        <f aca="true">IF(BI$6&lt;3,"",IF(SUM(OFFSET(BI138,0,-2,1,3))&gt;0,BI$6,""))</f>
        <v>58</v>
      </c>
      <c r="BJ176" s="20" t="n">
        <f aca="true">IF(BJ$6&lt;3,"",IF(SUM(OFFSET(BJ138,0,-2,1,3))&gt;0,BJ$6,""))</f>
        <v>59</v>
      </c>
      <c r="BK176" s="20" t="n">
        <f aca="true">IF(BK$6&lt;3,"",IF(SUM(OFFSET(BK138,0,-2,1,3))&gt;0,BK$6,""))</f>
        <v>60</v>
      </c>
    </row>
    <row r="177" customFormat="false" ht="15" hidden="false" customHeight="true" outlineLevel="0" collapsed="false">
      <c r="A177" s="12" t="s">
        <v>2017</v>
      </c>
      <c r="B177" s="4" t="s">
        <v>148</v>
      </c>
      <c r="D177" s="20" t="str">
        <f aca="false">IF(Inputs!$C$108+D166&lt;0,D$6,"")</f>
        <v/>
      </c>
      <c r="E177" s="20" t="str">
        <f aca="false">IF(Inputs!$C$108+E166&lt;0,E$6,"")</f>
        <v/>
      </c>
      <c r="F177" s="20" t="str">
        <f aca="false">IF(Inputs!$C$108+F166&lt;0,F$6,"")</f>
        <v/>
      </c>
      <c r="G177" s="20" t="str">
        <f aca="false">IF(Inputs!$C$108+G166&lt;0,G$6,"")</f>
        <v/>
      </c>
      <c r="H177" s="20" t="str">
        <f aca="false">IF(Inputs!$C$108+H166&lt;0,H$6,"")</f>
        <v/>
      </c>
      <c r="I177" s="20" t="str">
        <f aca="false">IF(Inputs!$C$108+I166&lt;0,I$6,"")</f>
        <v/>
      </c>
      <c r="J177" s="20" t="str">
        <f aca="false">IF(Inputs!$C$108+J166&lt;0,J$6,"")</f>
        <v/>
      </c>
      <c r="K177" s="20" t="str">
        <f aca="false">IF(Inputs!$C$108+K166&lt;0,K$6,"")</f>
        <v/>
      </c>
      <c r="L177" s="20" t="str">
        <f aca="false">IF(Inputs!$C$108+L166&lt;0,L$6,"")</f>
        <v/>
      </c>
      <c r="M177" s="20" t="str">
        <f aca="false">IF(Inputs!$C$108+M166&lt;0,M$6,"")</f>
        <v/>
      </c>
      <c r="N177" s="20" t="str">
        <f aca="false">IF(Inputs!$C$108+N166&lt;0,N$6,"")</f>
        <v/>
      </c>
      <c r="O177" s="20" t="str">
        <f aca="false">IF(Inputs!$C$108+O166&lt;0,O$6,"")</f>
        <v/>
      </c>
      <c r="P177" s="20" t="str">
        <f aca="false">IF(Inputs!$C$108+P166&lt;0,P$6,"")</f>
        <v/>
      </c>
      <c r="Q177" s="20" t="str">
        <f aca="false">IF(Inputs!$C$108+Q166&lt;0,Q$6,"")</f>
        <v/>
      </c>
      <c r="R177" s="20" t="str">
        <f aca="false">IF(Inputs!$C$108+R166&lt;0,R$6,"")</f>
        <v/>
      </c>
      <c r="S177" s="20" t="str">
        <f aca="false">IF(Inputs!$C$108+S166&lt;0,S$6,"")</f>
        <v/>
      </c>
      <c r="T177" s="20" t="str">
        <f aca="false">IF(Inputs!$C$108+T166&lt;0,T$6,"")</f>
        <v/>
      </c>
      <c r="U177" s="20" t="str">
        <f aca="false">IF(Inputs!$C$108+U166&lt;0,U$6,"")</f>
        <v/>
      </c>
      <c r="V177" s="20" t="str">
        <f aca="false">IF(Inputs!$C$108+V166&lt;0,V$6,"")</f>
        <v/>
      </c>
      <c r="W177" s="20" t="str">
        <f aca="false">IF(Inputs!$C$108+W166&lt;0,W$6,"")</f>
        <v/>
      </c>
      <c r="X177" s="20" t="str">
        <f aca="false">IF(Inputs!$C$108+X166&lt;0,X$6,"")</f>
        <v/>
      </c>
      <c r="Y177" s="20" t="str">
        <f aca="false">IF(Inputs!$C$108+Y166&lt;0,Y$6,"")</f>
        <v/>
      </c>
      <c r="Z177" s="20" t="str">
        <f aca="false">IF(Inputs!$C$108+Z166&lt;0,Z$6,"")</f>
        <v/>
      </c>
      <c r="AA177" s="20" t="str">
        <f aca="false">IF(Inputs!$C$108+AA166&lt;0,AA$6,"")</f>
        <v/>
      </c>
      <c r="AB177" s="20" t="str">
        <f aca="false">IF(Inputs!$C$108+AB166&lt;0,AB$6,"")</f>
        <v/>
      </c>
      <c r="AC177" s="20" t="str">
        <f aca="false">IF(Inputs!$C$108+AC166&lt;0,AC$6,"")</f>
        <v/>
      </c>
      <c r="AD177" s="20" t="str">
        <f aca="false">IF(Inputs!$C$108+AD166&lt;0,AD$6,"")</f>
        <v/>
      </c>
      <c r="AE177" s="20" t="str">
        <f aca="false">IF(Inputs!$C$108+AE166&lt;0,AE$6,"")</f>
        <v/>
      </c>
      <c r="AF177" s="20" t="str">
        <f aca="false">IF(Inputs!$C$108+AF166&lt;0,AF$6,"")</f>
        <v/>
      </c>
      <c r="AG177" s="20" t="str">
        <f aca="false">IF(Inputs!$C$108+AG166&lt;0,AG$6,"")</f>
        <v/>
      </c>
      <c r="AH177" s="20" t="str">
        <f aca="false">IF(Inputs!$C$108+AH166&lt;0,AH$6,"")</f>
        <v/>
      </c>
      <c r="AI177" s="20" t="str">
        <f aca="false">IF(Inputs!$C$108+AI166&lt;0,AI$6,"")</f>
        <v/>
      </c>
      <c r="AJ177" s="20" t="str">
        <f aca="false">IF(Inputs!$C$108+AJ166&lt;0,AJ$6,"")</f>
        <v/>
      </c>
      <c r="AK177" s="20" t="str">
        <f aca="false">IF(Inputs!$C$108+AK166&lt;0,AK$6,"")</f>
        <v/>
      </c>
      <c r="AL177" s="20" t="str">
        <f aca="false">IF(Inputs!$C$108+AL166&lt;0,AL$6,"")</f>
        <v/>
      </c>
      <c r="AM177" s="20" t="str">
        <f aca="false">IF(Inputs!$C$108+AM166&lt;0,AM$6,"")</f>
        <v/>
      </c>
      <c r="AN177" s="20" t="str">
        <f aca="false">IF(Inputs!$C$108+AN166&lt;0,AN$6,"")</f>
        <v/>
      </c>
      <c r="AO177" s="20" t="str">
        <f aca="false">IF(Inputs!$C$108+AO166&lt;0,AO$6,"")</f>
        <v/>
      </c>
      <c r="AP177" s="20" t="str">
        <f aca="false">IF(Inputs!$C$108+AP166&lt;0,AP$6,"")</f>
        <v/>
      </c>
      <c r="AQ177" s="20" t="str">
        <f aca="false">IF(Inputs!$C$108+AQ166&lt;0,AQ$6,"")</f>
        <v/>
      </c>
      <c r="AR177" s="20" t="str">
        <f aca="false">IF(Inputs!$C$108+AR166&lt;0,AR$6,"")</f>
        <v/>
      </c>
      <c r="AS177" s="20" t="str">
        <f aca="false">IF(Inputs!$C$108+AS166&lt;0,AS$6,"")</f>
        <v/>
      </c>
      <c r="AT177" s="20" t="str">
        <f aca="false">IF(Inputs!$C$108+AT166&lt;0,AT$6,"")</f>
        <v/>
      </c>
      <c r="AU177" s="20" t="str">
        <f aca="false">IF(Inputs!$C$108+AU166&lt;0,AU$6,"")</f>
        <v/>
      </c>
      <c r="AV177" s="20" t="str">
        <f aca="false">IF(Inputs!$C$108+AV166&lt;0,AV$6,"")</f>
        <v/>
      </c>
      <c r="AW177" s="20" t="str">
        <f aca="false">IF(Inputs!$C$108+AW166&lt;0,AW$6,"")</f>
        <v/>
      </c>
      <c r="AX177" s="20" t="str">
        <f aca="false">IF(Inputs!$C$108+AX166&lt;0,AX$6,"")</f>
        <v/>
      </c>
      <c r="AY177" s="20" t="str">
        <f aca="false">IF(Inputs!$C$108+AY166&lt;0,AY$6,"")</f>
        <v/>
      </c>
      <c r="AZ177" s="20" t="str">
        <f aca="false">IF(Inputs!$C$108+AZ166&lt;0,AZ$6,"")</f>
        <v/>
      </c>
      <c r="BA177" s="20" t="str">
        <f aca="false">IF(Inputs!$C$108+BA166&lt;0,BA$6,"")</f>
        <v/>
      </c>
      <c r="BB177" s="20" t="str">
        <f aca="false">IF(Inputs!$C$108+BB166&lt;0,BB$6,"")</f>
        <v/>
      </c>
      <c r="BC177" s="20" t="str">
        <f aca="false">IF(Inputs!$C$108+BC166&lt;0,BC$6,"")</f>
        <v/>
      </c>
      <c r="BD177" s="20" t="str">
        <f aca="false">IF(Inputs!$C$108+BD166&lt;0,BD$6,"")</f>
        <v/>
      </c>
      <c r="BE177" s="20" t="str">
        <f aca="false">IF(Inputs!$C$108+BE166&lt;0,BE$6,"")</f>
        <v/>
      </c>
      <c r="BF177" s="20" t="str">
        <f aca="false">IF(Inputs!$C$108+BF166&lt;0,BF$6,"")</f>
        <v/>
      </c>
      <c r="BG177" s="20" t="str">
        <f aca="false">IF(Inputs!$C$108+BG166&lt;0,BG$6,"")</f>
        <v/>
      </c>
      <c r="BH177" s="20" t="str">
        <f aca="false">IF(Inputs!$C$108+BH166&lt;0,BH$6,"")</f>
        <v/>
      </c>
      <c r="BI177" s="20" t="str">
        <f aca="false">IF(Inputs!$C$108+BI166&lt;0,BI$6,"")</f>
        <v/>
      </c>
      <c r="BJ177" s="20" t="str">
        <f aca="false">IF(Inputs!$C$108+BJ166&lt;0,BJ$6,"")</f>
        <v/>
      </c>
      <c r="BK177" s="20" t="str">
        <f aca="false">IF(Inputs!$C$108+BK166&lt;0,BK$6,"")</f>
        <v/>
      </c>
    </row>
    <row r="178" customFormat="false" ht="15" hidden="false" customHeight="true" outlineLevel="0" collapsed="false">
      <c r="A178" s="12" t="s">
        <v>2018</v>
      </c>
      <c r="B178" s="4" t="s">
        <v>29</v>
      </c>
      <c r="D178" s="18" t="n">
        <f aca="false">ROUND(D42-D39,6)</f>
        <v>0</v>
      </c>
      <c r="E178" s="18" t="n">
        <f aca="false">ROUND(E42-E39,6)</f>
        <v>0</v>
      </c>
      <c r="F178" s="18" t="n">
        <f aca="false">ROUND(F42-F39,6)</f>
        <v>-1.5</v>
      </c>
      <c r="G178" s="18" t="n">
        <f aca="false">ROUND(G42-G39,6)</f>
        <v>-1.3875</v>
      </c>
      <c r="H178" s="18" t="n">
        <f aca="false">ROUND(H42-H39,6)</f>
        <v>-1.275</v>
      </c>
      <c r="I178" s="18" t="n">
        <f aca="false">ROUND(I42-I39,6)</f>
        <v>-1.1625</v>
      </c>
      <c r="J178" s="18" t="n">
        <f aca="false">ROUND(J42-J39,6)</f>
        <v>-1.125</v>
      </c>
      <c r="K178" s="18" t="n">
        <f aca="false">ROUND(K42-K39,6)</f>
        <v>-1.05</v>
      </c>
      <c r="L178" s="18" t="n">
        <f aca="false">ROUND(L42-L39,6)</f>
        <v>-0.69</v>
      </c>
      <c r="M178" s="18" t="n">
        <f aca="false">ROUND(M42-M39,6)</f>
        <v>-0.5775</v>
      </c>
      <c r="N178" s="18" t="n">
        <f aca="false">ROUND(N42-N39,6)</f>
        <v>-0.465</v>
      </c>
      <c r="O178" s="18" t="n">
        <f aca="false">ROUND(O42-O39,6)</f>
        <v>-0.27</v>
      </c>
      <c r="P178" s="18" t="n">
        <f aca="false">ROUND(P42-P39,6)</f>
        <v>-0.1125</v>
      </c>
      <c r="Q178" s="18" t="n">
        <f aca="false">ROUND(Q42-Q39,6)</f>
        <v>-1.4925</v>
      </c>
      <c r="R178" s="18" t="n">
        <f aca="false">ROUND(R42-R39,6)</f>
        <v>-1.41</v>
      </c>
      <c r="S178" s="18" t="n">
        <f aca="false">ROUND(S42-S39,6)</f>
        <v>-0.478683</v>
      </c>
      <c r="T178" s="18" t="n">
        <f aca="false">ROUND(T42-T39,6)</f>
        <v>-0.934865</v>
      </c>
      <c r="U178" s="18" t="n">
        <f aca="false">ROUND(U42-U39,6)</f>
        <v>-1.361048</v>
      </c>
      <c r="V178" s="18" t="n">
        <f aca="false">ROUND(V42-V39,6)</f>
        <v>-1.023548</v>
      </c>
      <c r="W178" s="18" t="n">
        <f aca="false">ROUND(W42-W39,6)</f>
        <v>-2.186048</v>
      </c>
      <c r="X178" s="18" t="n">
        <f aca="false">ROUND(X42-X39,6)</f>
        <v>-1.48115</v>
      </c>
      <c r="Y178" s="18" t="n">
        <f aca="false">ROUND(Y42-Y39,6)</f>
        <v>-1.00865</v>
      </c>
      <c r="Z178" s="18" t="n">
        <f aca="false">ROUND(Z42-Z39,6)</f>
        <v>-0.64865</v>
      </c>
      <c r="AA178" s="18" t="n">
        <f aca="false">ROUND(AA42-AA39,6)</f>
        <v>-0.40115</v>
      </c>
      <c r="AB178" s="18" t="n">
        <f aca="false">ROUND(AB42-AB39,6)</f>
        <v>-0.15365</v>
      </c>
      <c r="AC178" s="18" t="n">
        <f aca="false">ROUND(AC42-AC39,6)</f>
        <v>-1.40615</v>
      </c>
      <c r="AD178" s="18" t="n">
        <f aca="false">ROUND(AD42-AD39,6)</f>
        <v>-1.40615</v>
      </c>
      <c r="AE178" s="18" t="n">
        <f aca="false">ROUND(AE42-AE39,6)</f>
        <v>-1.264765</v>
      </c>
      <c r="AF178" s="18" t="n">
        <f aca="false">ROUND(AF42-AF39,6)</f>
        <v>-0.89838</v>
      </c>
      <c r="AG178" s="18" t="n">
        <f aca="false">ROUND(AG42-AG39,6)</f>
        <v>-0.306995</v>
      </c>
      <c r="AH178" s="18" t="n">
        <f aca="false">ROUND(AH42-AH39,6)</f>
        <v>-1.131995</v>
      </c>
      <c r="AI178" s="18" t="n">
        <f aca="false">ROUND(AI42-AI39,6)</f>
        <v>-1.956995</v>
      </c>
      <c r="AJ178" s="18" t="n">
        <f aca="false">ROUND(AJ42-AJ39,6)</f>
        <v>-0.670949</v>
      </c>
      <c r="AK178" s="18" t="n">
        <f aca="false">ROUND(AK42-AK39,6)</f>
        <v>-1.225949</v>
      </c>
      <c r="AL178" s="18" t="n">
        <f aca="false">ROUND(AL42-AL39,6)</f>
        <v>-0.505949</v>
      </c>
      <c r="AM178" s="18" t="n">
        <f aca="false">ROUND(AM42-AM39,6)</f>
        <v>-1.510949</v>
      </c>
      <c r="AN178" s="18" t="n">
        <f aca="false">ROUND(AN42-AN39,6)</f>
        <v>-1.015949</v>
      </c>
      <c r="AO178" s="18" t="n">
        <f aca="false">ROUND(AO42-AO39,6)</f>
        <v>-0.520949</v>
      </c>
      <c r="AP178" s="18" t="n">
        <f aca="false">ROUND(AP42-AP39,6)</f>
        <v>-0.520949</v>
      </c>
      <c r="AQ178" s="18" t="n">
        <f aca="false">ROUND(AQ42-AQ39,6)</f>
        <v>-0.248314</v>
      </c>
      <c r="AR178" s="18" t="n">
        <f aca="false">ROUND(AR42-AR39,6)</f>
        <v>-1.175679</v>
      </c>
      <c r="AS178" s="18" t="n">
        <f aca="false">ROUND(AS42-AS39,6)</f>
        <v>-0.303044</v>
      </c>
      <c r="AT178" s="18" t="n">
        <f aca="false">ROUND(AT42-AT39,6)</f>
        <v>-0.903044</v>
      </c>
      <c r="AU178" s="18" t="n">
        <f aca="false">ROUND(AU42-AU39,6)</f>
        <v>-3.003044</v>
      </c>
      <c r="AV178" s="18" t="n">
        <f aca="false">ROUND(AV42-AV39,6)</f>
        <v>-1.203248</v>
      </c>
      <c r="AW178" s="18" t="n">
        <f aca="false">ROUND(AW42-AW39,6)</f>
        <v>-1.443248</v>
      </c>
      <c r="AX178" s="18" t="n">
        <f aca="false">ROUND(AX42-AX39,6)</f>
        <v>-0.483248</v>
      </c>
      <c r="AY178" s="18" t="n">
        <f aca="false">ROUND(AY42-AY39,6)</f>
        <v>-1.323248</v>
      </c>
      <c r="AZ178" s="18" t="n">
        <f aca="false">ROUND(AZ42-AZ39,6)</f>
        <v>-0.663248</v>
      </c>
      <c r="BA178" s="18" t="n">
        <f aca="false">ROUND(BA42-BA39,6)</f>
        <v>-0.003248</v>
      </c>
      <c r="BB178" s="18" t="n">
        <f aca="false">ROUND(BB42-BB39,6)</f>
        <v>-0.003248</v>
      </c>
      <c r="BC178" s="18" t="n">
        <f aca="false">ROUND(BC42-BC39,6)</f>
        <v>-1.268113</v>
      </c>
      <c r="BD178" s="18" t="n">
        <f aca="false">ROUND(BD42-BD39,6)</f>
        <v>-0.770478</v>
      </c>
      <c r="BE178" s="18" t="n">
        <f aca="false">ROUND(BE42-BE39,6)</f>
        <v>-0.010343</v>
      </c>
      <c r="BF178" s="18" t="n">
        <f aca="false">ROUND(BF42-BF39,6)</f>
        <v>-0.722843</v>
      </c>
      <c r="BG178" s="18" t="n">
        <f aca="false">ROUND(BG42-BG39,6)</f>
        <v>-2.935343</v>
      </c>
      <c r="BH178" s="18" t="n">
        <f aca="false">ROUND(BH42-BH39,6)</f>
        <v>-1.330547</v>
      </c>
      <c r="BI178" s="18" t="n">
        <f aca="false">ROUND(BI42-BI39,6)</f>
        <v>-1.728047</v>
      </c>
      <c r="BJ178" s="18" t="n">
        <f aca="false">ROUND(BJ42-BJ39,6)</f>
        <v>-0.888047</v>
      </c>
      <c r="BK178" s="18" t="n">
        <f aca="false">ROUND(BK42-BK39,6)</f>
        <v>-0.310547</v>
      </c>
    </row>
    <row r="179" customFormat="false" ht="15" hidden="false" customHeight="true" outlineLevel="0" collapsed="false">
      <c r="A179" s="12" t="s">
        <v>2019</v>
      </c>
      <c r="B179" s="4" t="s">
        <v>148</v>
      </c>
      <c r="D179" s="20" t="str">
        <f aca="false">IF(D56&gt;=1000,D$6,"")</f>
        <v/>
      </c>
      <c r="E179" s="20" t="str">
        <f aca="false">IF(E56&gt;=1000,E$6,"")</f>
        <v/>
      </c>
      <c r="F179" s="20" t="str">
        <f aca="false">IF(F56&gt;=1000,F$6,"")</f>
        <v/>
      </c>
      <c r="G179" s="20" t="str">
        <f aca="false">IF(G56&gt;=1000,G$6,"")</f>
        <v/>
      </c>
      <c r="H179" s="20" t="str">
        <f aca="false">IF(H56&gt;=1000,H$6,"")</f>
        <v/>
      </c>
      <c r="I179" s="20" t="str">
        <f aca="false">IF(I56&gt;=1000,I$6,"")</f>
        <v/>
      </c>
      <c r="J179" s="20" t="str">
        <f aca="false">IF(J56&gt;=1000,J$6,"")</f>
        <v/>
      </c>
      <c r="K179" s="20" t="str">
        <f aca="false">IF(K56&gt;=1000,K$6,"")</f>
        <v/>
      </c>
      <c r="L179" s="20" t="str">
        <f aca="false">IF(L56&gt;=1000,L$6,"")</f>
        <v/>
      </c>
      <c r="M179" s="20" t="str">
        <f aca="false">IF(M56&gt;=1000,M$6,"")</f>
        <v/>
      </c>
      <c r="N179" s="20" t="str">
        <f aca="false">IF(N56&gt;=1000,N$6,"")</f>
        <v/>
      </c>
      <c r="O179" s="20" t="str">
        <f aca="false">IF(O56&gt;=1000,O$6,"")</f>
        <v/>
      </c>
      <c r="P179" s="20" t="str">
        <f aca="false">IF(P56&gt;=1000,P$6,"")</f>
        <v/>
      </c>
      <c r="Q179" s="20" t="str">
        <f aca="false">IF(Q56&gt;=1000,Q$6,"")</f>
        <v/>
      </c>
      <c r="R179" s="20" t="str">
        <f aca="false">IF(R56&gt;=1000,R$6,"")</f>
        <v/>
      </c>
      <c r="S179" s="20" t="str">
        <f aca="false">IF(S56&gt;=1000,S$6,"")</f>
        <v/>
      </c>
      <c r="T179" s="20" t="str">
        <f aca="false">IF(T56&gt;=1000,T$6,"")</f>
        <v/>
      </c>
      <c r="U179" s="20" t="str">
        <f aca="false">IF(U56&gt;=1000,U$6,"")</f>
        <v/>
      </c>
      <c r="V179" s="20" t="str">
        <f aca="false">IF(V56&gt;=1000,V$6,"")</f>
        <v/>
      </c>
      <c r="W179" s="20" t="str">
        <f aca="false">IF(W56&gt;=1000,W$6,"")</f>
        <v/>
      </c>
      <c r="X179" s="20" t="str">
        <f aca="false">IF(X56&gt;=1000,X$6,"")</f>
        <v/>
      </c>
      <c r="Y179" s="20" t="str">
        <f aca="false">IF(Y56&gt;=1000,Y$6,"")</f>
        <v/>
      </c>
      <c r="Z179" s="20" t="str">
        <f aca="false">IF(Z56&gt;=1000,Z$6,"")</f>
        <v/>
      </c>
      <c r="AA179" s="20" t="str">
        <f aca="false">IF(AA56&gt;=1000,AA$6,"")</f>
        <v/>
      </c>
      <c r="AB179" s="20" t="str">
        <f aca="false">IF(AB56&gt;=1000,AB$6,"")</f>
        <v/>
      </c>
      <c r="AC179" s="20" t="str">
        <f aca="false">IF(AC56&gt;=1000,AC$6,"")</f>
        <v/>
      </c>
      <c r="AD179" s="20" t="str">
        <f aca="false">IF(AD56&gt;=1000,AD$6,"")</f>
        <v/>
      </c>
      <c r="AE179" s="20" t="n">
        <f aca="false">IF(AE56&gt;=1000,AE$6,"")</f>
        <v>28</v>
      </c>
      <c r="AF179" s="20" t="n">
        <f aca="false">IF(AF56&gt;=1000,AF$6,"")</f>
        <v>29</v>
      </c>
      <c r="AG179" s="20" t="n">
        <f aca="false">IF(AG56&gt;=1000,AG$6,"")</f>
        <v>30</v>
      </c>
      <c r="AH179" s="20" t="n">
        <f aca="false">IF(AH56&gt;=1000,AH$6,"")</f>
        <v>31</v>
      </c>
      <c r="AI179" s="20" t="n">
        <f aca="false">IF(AI56&gt;=1000,AI$6,"")</f>
        <v>32</v>
      </c>
      <c r="AJ179" s="20" t="n">
        <f aca="false">IF(AJ56&gt;=1000,AJ$6,"")</f>
        <v>33</v>
      </c>
      <c r="AK179" s="20" t="n">
        <f aca="false">IF(AK56&gt;=1000,AK$6,"")</f>
        <v>34</v>
      </c>
      <c r="AL179" s="20" t="n">
        <f aca="false">IF(AL56&gt;=1000,AL$6,"")</f>
        <v>35</v>
      </c>
      <c r="AM179" s="20" t="n">
        <f aca="false">IF(AM56&gt;=1000,AM$6,"")</f>
        <v>36</v>
      </c>
      <c r="AN179" s="20" t="n">
        <f aca="false">IF(AN56&gt;=1000,AN$6,"")</f>
        <v>37</v>
      </c>
      <c r="AO179" s="20" t="n">
        <f aca="false">IF(AO56&gt;=1000,AO$6,"")</f>
        <v>38</v>
      </c>
      <c r="AP179" s="20" t="n">
        <f aca="false">IF(AP56&gt;=1000,AP$6,"")</f>
        <v>39</v>
      </c>
      <c r="AQ179" s="20" t="n">
        <f aca="false">IF(AQ56&gt;=1000,AQ$6,"")</f>
        <v>40</v>
      </c>
      <c r="AR179" s="20" t="n">
        <f aca="false">IF(AR56&gt;=1000,AR$6,"")</f>
        <v>41</v>
      </c>
      <c r="AS179" s="20" t="n">
        <f aca="false">IF(AS56&gt;=1000,AS$6,"")</f>
        <v>42</v>
      </c>
      <c r="AT179" s="20" t="n">
        <f aca="false">IF(AT56&gt;=1000,AT$6,"")</f>
        <v>43</v>
      </c>
      <c r="AU179" s="20" t="n">
        <f aca="false">IF(AU56&gt;=1000,AU$6,"")</f>
        <v>44</v>
      </c>
      <c r="AV179" s="20" t="n">
        <f aca="false">IF(AV56&gt;=1000,AV$6,"")</f>
        <v>45</v>
      </c>
      <c r="AW179" s="20" t="n">
        <f aca="false">IF(AW56&gt;=1000,AW$6,"")</f>
        <v>46</v>
      </c>
      <c r="AX179" s="20" t="n">
        <f aca="false">IF(AX56&gt;=1000,AX$6,"")</f>
        <v>47</v>
      </c>
      <c r="AY179" s="20" t="n">
        <f aca="false">IF(AY56&gt;=1000,AY$6,"")</f>
        <v>48</v>
      </c>
      <c r="AZ179" s="20" t="n">
        <f aca="false">IF(AZ56&gt;=1000,AZ$6,"")</f>
        <v>49</v>
      </c>
      <c r="BA179" s="20" t="n">
        <f aca="false">IF(BA56&gt;=1000,BA$6,"")</f>
        <v>50</v>
      </c>
      <c r="BB179" s="20" t="n">
        <f aca="false">IF(BB56&gt;=1000,BB$6,"")</f>
        <v>51</v>
      </c>
      <c r="BC179" s="20" t="n">
        <f aca="false">IF(BC56&gt;=1000,BC$6,"")</f>
        <v>52</v>
      </c>
      <c r="BD179" s="20" t="n">
        <f aca="false">IF(BD56&gt;=1000,BD$6,"")</f>
        <v>53</v>
      </c>
      <c r="BE179" s="20" t="n">
        <f aca="false">IF(BE56&gt;=1000,BE$6,"")</f>
        <v>54</v>
      </c>
      <c r="BF179" s="20" t="n">
        <f aca="false">IF(BF56&gt;=1000,BF$6,"")</f>
        <v>55</v>
      </c>
      <c r="BG179" s="20" t="n">
        <f aca="false">IF(BG56&gt;=1000,BG$6,"")</f>
        <v>56</v>
      </c>
      <c r="BH179" s="20" t="n">
        <f aca="false">IF(BH56&gt;=1000,BH$6,"")</f>
        <v>57</v>
      </c>
      <c r="BI179" s="20" t="n">
        <f aca="false">IF(BI56&gt;=1000,BI$6,"")</f>
        <v>58</v>
      </c>
      <c r="BJ179" s="20" t="n">
        <f aca="false">IF(BJ56&gt;=1000,BJ$6,"")</f>
        <v>59</v>
      </c>
      <c r="BK179" s="20" t="n">
        <f aca="false">IF(BK56&gt;=1000,BK$6,"")</f>
        <v>60</v>
      </c>
    </row>
    <row r="180" customFormat="false" ht="15" hidden="false" customHeight="true" outlineLevel="0" collapsed="false">
      <c r="A180" s="12" t="s">
        <v>2020</v>
      </c>
      <c r="B180" s="4" t="s">
        <v>29</v>
      </c>
      <c r="D180" s="18" t="n">
        <f aca="false">ROUND(D49-D47+D48-D42,6)</f>
        <v>0</v>
      </c>
      <c r="E180" s="18" t="n">
        <f aca="false">ROUND(E49-E47+E48-E42,6)</f>
        <v>0</v>
      </c>
      <c r="F180" s="18" t="n">
        <f aca="false">ROUND(F49-F47+F48-F42,6)</f>
        <v>0</v>
      </c>
      <c r="G180" s="18" t="n">
        <f aca="false">ROUND(G49-G47+G48-G42,6)</f>
        <v>0</v>
      </c>
      <c r="H180" s="18" t="n">
        <f aca="false">ROUND(H49-H47+H48-H42,6)</f>
        <v>0</v>
      </c>
      <c r="I180" s="18" t="n">
        <f aca="false">ROUND(I49-I47+I48-I42,6)</f>
        <v>0</v>
      </c>
      <c r="J180" s="18" t="n">
        <f aca="false">ROUND(J49-J47+J48-J42,6)</f>
        <v>0</v>
      </c>
      <c r="K180" s="18" t="n">
        <f aca="false">ROUND(K49-K47+K48-K42,6)</f>
        <v>0</v>
      </c>
      <c r="L180" s="18" t="n">
        <f aca="false">ROUND(L49-L47+L48-L42,6)</f>
        <v>0</v>
      </c>
      <c r="M180" s="18" t="n">
        <f aca="false">ROUND(M49-M47+M48-M42,6)</f>
        <v>0</v>
      </c>
      <c r="N180" s="18" t="n">
        <f aca="false">ROUND(N49-N47+N48-N42,6)</f>
        <v>0</v>
      </c>
      <c r="O180" s="18" t="n">
        <f aca="false">ROUND(O49-O47+O48-O42,6)</f>
        <v>0</v>
      </c>
      <c r="P180" s="18" t="n">
        <f aca="false">ROUND(P49-P47+P48-P42,6)</f>
        <v>0</v>
      </c>
      <c r="Q180" s="18" t="n">
        <f aca="false">ROUND(Q49-Q47+Q48-Q42,6)</f>
        <v>0</v>
      </c>
      <c r="R180" s="18" t="n">
        <f aca="false">ROUND(R49-R47+R48-R42,6)</f>
        <v>0</v>
      </c>
      <c r="S180" s="18" t="n">
        <f aca="false">ROUND(S49-S47+S48-S42,6)</f>
        <v>0</v>
      </c>
      <c r="T180" s="18" t="n">
        <f aca="false">ROUND(T49-T47+T48-T42,6)</f>
        <v>0</v>
      </c>
      <c r="U180" s="18" t="n">
        <f aca="false">ROUND(U49-U47+U48-U42,6)</f>
        <v>0</v>
      </c>
      <c r="V180" s="18" t="n">
        <f aca="false">ROUND(V49-V47+V48-V42,6)</f>
        <v>0</v>
      </c>
      <c r="W180" s="18" t="n">
        <f aca="false">ROUND(W49-W47+W48-W42,6)</f>
        <v>0</v>
      </c>
      <c r="X180" s="18" t="n">
        <f aca="false">ROUND(X49-X47+X48-X42,6)</f>
        <v>0</v>
      </c>
      <c r="Y180" s="18" t="n">
        <f aca="false">ROUND(Y49-Y47+Y48-Y42,6)</f>
        <v>0</v>
      </c>
      <c r="Z180" s="18" t="n">
        <f aca="false">ROUND(Z49-Z47+Z48-Z42,6)</f>
        <v>0</v>
      </c>
      <c r="AA180" s="18" t="n">
        <f aca="false">ROUND(AA49-AA47+AA48-AA42,6)</f>
        <v>0</v>
      </c>
      <c r="AB180" s="18" t="n">
        <f aca="false">ROUND(AB49-AB47+AB48-AB42,6)</f>
        <v>0</v>
      </c>
      <c r="AC180" s="18" t="n">
        <f aca="false">ROUND(AC49-AC47+AC48-AC42,6)</f>
        <v>0</v>
      </c>
      <c r="AD180" s="18" t="n">
        <f aca="false">ROUND(AD49-AD47+AD48-AD42,6)</f>
        <v>0</v>
      </c>
      <c r="AE180" s="18" t="n">
        <f aca="false">ROUND(AE49-AE47+AE48-AE42,6)</f>
        <v>0</v>
      </c>
      <c r="AF180" s="18" t="n">
        <f aca="false">ROUND(AF49-AF47+AF48-AF42,6)</f>
        <v>0</v>
      </c>
      <c r="AG180" s="18" t="n">
        <f aca="false">ROUND(AG49-AG47+AG48-AG42,6)</f>
        <v>0</v>
      </c>
      <c r="AH180" s="18" t="n">
        <f aca="false">ROUND(AH49-AH47+AH48-AH42,6)</f>
        <v>0</v>
      </c>
      <c r="AI180" s="18" t="n">
        <f aca="false">ROUND(AI49-AI47+AI48-AI42,6)</f>
        <v>0</v>
      </c>
      <c r="AJ180" s="18" t="n">
        <f aca="false">ROUND(AJ49-AJ47+AJ48-AJ42,6)</f>
        <v>0</v>
      </c>
      <c r="AK180" s="18" t="n">
        <f aca="false">ROUND(AK49-AK47+AK48-AK42,6)</f>
        <v>0</v>
      </c>
      <c r="AL180" s="18" t="n">
        <f aca="false">ROUND(AL49-AL47+AL48-AL42,6)</f>
        <v>0</v>
      </c>
      <c r="AM180" s="18" t="n">
        <f aca="false">ROUND(AM49-AM47+AM48-AM42,6)</f>
        <v>0</v>
      </c>
      <c r="AN180" s="18" t="n">
        <f aca="false">ROUND(AN49-AN47+AN48-AN42,6)</f>
        <v>0</v>
      </c>
      <c r="AO180" s="18" t="n">
        <f aca="false">ROUND(AO49-AO47+AO48-AO42,6)</f>
        <v>0</v>
      </c>
      <c r="AP180" s="18" t="n">
        <f aca="false">ROUND(AP49-AP47+AP48-AP42,6)</f>
        <v>0</v>
      </c>
      <c r="AQ180" s="18" t="n">
        <f aca="false">ROUND(AQ49-AQ47+AQ48-AQ42,6)</f>
        <v>0</v>
      </c>
      <c r="AR180" s="18" t="n">
        <f aca="false">ROUND(AR49-AR47+AR48-AR42,6)</f>
        <v>0</v>
      </c>
      <c r="AS180" s="18" t="n">
        <f aca="false">ROUND(AS49-AS47+AS48-AS42,6)</f>
        <v>0</v>
      </c>
      <c r="AT180" s="18" t="n">
        <f aca="false">ROUND(AT49-AT47+AT48-AT42,6)</f>
        <v>0</v>
      </c>
      <c r="AU180" s="18" t="n">
        <f aca="false">ROUND(AU49-AU47+AU48-AU42,6)</f>
        <v>0</v>
      </c>
      <c r="AV180" s="18" t="n">
        <f aca="false">ROUND(AV49-AV47+AV48-AV42,6)</f>
        <v>0</v>
      </c>
      <c r="AW180" s="18" t="n">
        <f aca="false">ROUND(AW49-AW47+AW48-AW42,6)</f>
        <v>0</v>
      </c>
      <c r="AX180" s="18" t="n">
        <f aca="false">ROUND(AX49-AX47+AX48-AX42,6)</f>
        <v>0</v>
      </c>
      <c r="AY180" s="18" t="n">
        <f aca="false">ROUND(AY49-AY47+AY48-AY42,6)</f>
        <v>0</v>
      </c>
      <c r="AZ180" s="18" t="n">
        <f aca="false">ROUND(AZ49-AZ47+AZ48-AZ42,6)</f>
        <v>0</v>
      </c>
      <c r="BA180" s="18" t="n">
        <f aca="false">ROUND(BA49-BA47+BA48-BA42,6)</f>
        <v>0</v>
      </c>
      <c r="BB180" s="18" t="n">
        <f aca="false">ROUND(BB49-BB47+BB48-BB42,6)</f>
        <v>0</v>
      </c>
      <c r="BC180" s="18" t="n">
        <f aca="false">ROUND(BC49-BC47+BC48-BC42,6)</f>
        <v>0</v>
      </c>
      <c r="BD180" s="18" t="n">
        <f aca="false">ROUND(BD49-BD47+BD48-BD42,6)</f>
        <v>0</v>
      </c>
      <c r="BE180" s="18" t="n">
        <f aca="false">ROUND(BE49-BE47+BE48-BE42,6)</f>
        <v>0</v>
      </c>
      <c r="BF180" s="18" t="n">
        <f aca="false">ROUND(BF49-BF47+BF48-BF42,6)</f>
        <v>0</v>
      </c>
      <c r="BG180" s="18" t="n">
        <f aca="false">ROUND(BG49-BG47+BG48-BG42,6)</f>
        <v>0</v>
      </c>
      <c r="BH180" s="18" t="n">
        <f aca="false">ROUND(BH49-BH47+BH48-BH42,6)</f>
        <v>0</v>
      </c>
      <c r="BI180" s="18" t="n">
        <f aca="false">ROUND(BI49-BI47+BI48-BI42,6)</f>
        <v>0</v>
      </c>
      <c r="BJ180" s="18" t="n">
        <f aca="false">ROUND(BJ49-BJ47+BJ48-BJ42,6)</f>
        <v>0</v>
      </c>
      <c r="BK180" s="18" t="n">
        <f aca="false">ROUND(BK49-BK47+BK48-BK42,6)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70"/>
    <col collapsed="false" customWidth="true" hidden="false" outlineLevel="0" max="3" min="3" style="1" width="12"/>
    <col collapsed="false" customWidth="true" hidden="false" outlineLevel="0" max="4" min="4" style="1" width="60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2021</v>
      </c>
      <c r="B1" s="3"/>
      <c r="C1" s="3"/>
      <c r="D1" s="3"/>
      <c r="E1" s="3"/>
    </row>
    <row r="2" customFormat="false" ht="15" hidden="false" customHeight="true" outlineLevel="0" collapsed="false">
      <c r="A2" s="4" t="s">
        <v>2022</v>
      </c>
    </row>
    <row r="3" customFormat="false" ht="15" hidden="false" customHeight="true" outlineLevel="0" collapsed="false">
      <c r="A3" s="15" t="s">
        <v>1789</v>
      </c>
      <c r="B3" s="15" t="s">
        <v>2023</v>
      </c>
      <c r="C3" s="15" t="s">
        <v>2024</v>
      </c>
      <c r="D3" s="15" t="s">
        <v>1421</v>
      </c>
      <c r="E3" s="15" t="s">
        <v>2025</v>
      </c>
    </row>
    <row r="4" customFormat="false" ht="32.25" hidden="false" customHeight="true" outlineLevel="0" collapsed="false">
      <c r="A4" s="6" t="s">
        <v>2026</v>
      </c>
      <c r="B4" s="30" t="s">
        <v>2027</v>
      </c>
      <c r="C4" s="4" t="s">
        <v>2028</v>
      </c>
      <c r="D4" s="30" t="s">
        <v>2029</v>
      </c>
      <c r="E4" s="30" t="s">
        <v>2030</v>
      </c>
    </row>
    <row r="5" customFormat="false" ht="23.25" hidden="false" customHeight="true" outlineLevel="0" collapsed="false">
      <c r="A5" s="6" t="s">
        <v>2031</v>
      </c>
      <c r="B5" s="30" t="s">
        <v>2032</v>
      </c>
      <c r="C5" s="4" t="s">
        <v>2028</v>
      </c>
      <c r="D5" s="30" t="s">
        <v>2033</v>
      </c>
      <c r="E5" s="30" t="s">
        <v>2034</v>
      </c>
    </row>
    <row r="6" customFormat="false" ht="15" hidden="false" customHeight="true" outlineLevel="0" collapsed="false">
      <c r="A6" s="6" t="s">
        <v>2035</v>
      </c>
      <c r="B6" s="30" t="s">
        <v>2036</v>
      </c>
      <c r="C6" s="4" t="s">
        <v>2028</v>
      </c>
      <c r="D6" s="30" t="s">
        <v>2037</v>
      </c>
      <c r="E6" s="30" t="s">
        <v>2038</v>
      </c>
    </row>
    <row r="7" customFormat="false" ht="15" hidden="false" customHeight="true" outlineLevel="0" collapsed="false">
      <c r="A7" s="6" t="s">
        <v>2039</v>
      </c>
      <c r="B7" s="30" t="s">
        <v>2040</v>
      </c>
      <c r="C7" s="4" t="s">
        <v>2028</v>
      </c>
      <c r="D7" s="30" t="s">
        <v>2041</v>
      </c>
      <c r="E7" s="30" t="s">
        <v>2042</v>
      </c>
    </row>
    <row r="8" customFormat="false" ht="15" hidden="false" customHeight="true" outlineLevel="0" collapsed="false">
      <c r="A8" s="6" t="s">
        <v>2043</v>
      </c>
      <c r="B8" s="30" t="s">
        <v>2044</v>
      </c>
      <c r="C8" s="4" t="s">
        <v>2028</v>
      </c>
      <c r="D8" s="30" t="s">
        <v>2045</v>
      </c>
      <c r="E8" s="30" t="s">
        <v>2046</v>
      </c>
    </row>
    <row r="9" customFormat="false" ht="15" hidden="false" customHeight="true" outlineLevel="0" collapsed="false">
      <c r="A9" s="6" t="s">
        <v>2047</v>
      </c>
      <c r="B9" s="30" t="s">
        <v>2048</v>
      </c>
      <c r="C9" s="4" t="s">
        <v>2028</v>
      </c>
      <c r="D9" s="30" t="s">
        <v>2049</v>
      </c>
      <c r="E9" s="30" t="s">
        <v>2050</v>
      </c>
    </row>
    <row r="10" customFormat="false" ht="15" hidden="false" customHeight="true" outlineLevel="0" collapsed="false">
      <c r="A10" s="6" t="s">
        <v>2051</v>
      </c>
      <c r="B10" s="30" t="s">
        <v>2052</v>
      </c>
      <c r="C10" s="4" t="s">
        <v>2028</v>
      </c>
      <c r="D10" s="30" t="s">
        <v>2053</v>
      </c>
      <c r="E10" s="30" t="s">
        <v>2054</v>
      </c>
    </row>
    <row r="11" customFormat="false" ht="15" hidden="false" customHeight="true" outlineLevel="0" collapsed="false">
      <c r="A11" s="6" t="s">
        <v>2055</v>
      </c>
      <c r="B11" s="30" t="s">
        <v>2056</v>
      </c>
      <c r="C11" s="4" t="s">
        <v>2028</v>
      </c>
      <c r="D11" s="30" t="s">
        <v>2057</v>
      </c>
      <c r="E11" s="30" t="s">
        <v>2058</v>
      </c>
    </row>
    <row r="12" customFormat="false" ht="15" hidden="false" customHeight="true" outlineLevel="0" collapsed="false">
      <c r="A12" s="6" t="s">
        <v>2059</v>
      </c>
      <c r="B12" s="30" t="s">
        <v>2060</v>
      </c>
      <c r="C12" s="4" t="s">
        <v>2028</v>
      </c>
      <c r="D12" s="30" t="s">
        <v>2061</v>
      </c>
      <c r="E12" s="30" t="s">
        <v>2062</v>
      </c>
    </row>
    <row r="13" customFormat="false" ht="15" hidden="false" customHeight="true" outlineLevel="0" collapsed="false">
      <c r="A13" s="6" t="s">
        <v>2063</v>
      </c>
      <c r="B13" s="30" t="s">
        <v>2064</v>
      </c>
      <c r="C13" s="4" t="s">
        <v>2028</v>
      </c>
      <c r="D13" s="30" t="s">
        <v>2065</v>
      </c>
      <c r="E13" s="30" t="s">
        <v>2066</v>
      </c>
    </row>
    <row r="14" customFormat="false" ht="15" hidden="false" customHeight="true" outlineLevel="0" collapsed="false">
      <c r="A14" s="6" t="s">
        <v>2067</v>
      </c>
      <c r="B14" s="30" t="s">
        <v>2068</v>
      </c>
      <c r="C14" s="4" t="s">
        <v>2028</v>
      </c>
      <c r="D14" s="30" t="s">
        <v>2069</v>
      </c>
      <c r="E14" s="30" t="s">
        <v>1231</v>
      </c>
    </row>
    <row r="15" customFormat="false" ht="15" hidden="false" customHeight="true" outlineLevel="0" collapsed="false">
      <c r="A15" s="6" t="s">
        <v>2070</v>
      </c>
      <c r="B15" s="30" t="s">
        <v>2071</v>
      </c>
      <c r="C15" s="4" t="s">
        <v>2028</v>
      </c>
      <c r="D15" s="30" t="s">
        <v>2072</v>
      </c>
      <c r="E15" s="30" t="s">
        <v>2073</v>
      </c>
    </row>
    <row r="16" customFormat="false" ht="15" hidden="false" customHeight="true" outlineLevel="0" collapsed="false">
      <c r="A16" s="6" t="s">
        <v>2074</v>
      </c>
      <c r="B16" s="30" t="s">
        <v>2075</v>
      </c>
      <c r="C16" s="4" t="s">
        <v>2028</v>
      </c>
      <c r="D16" s="30" t="s">
        <v>2076</v>
      </c>
      <c r="E16" s="30" t="s">
        <v>2077</v>
      </c>
    </row>
    <row r="17" customFormat="false" ht="15" hidden="false" customHeight="true" outlineLevel="0" collapsed="false">
      <c r="A17" s="6" t="s">
        <v>608</v>
      </c>
      <c r="B17" s="30" t="s">
        <v>2078</v>
      </c>
      <c r="C17" s="4" t="s">
        <v>2028</v>
      </c>
      <c r="D17" s="30" t="s">
        <v>2079</v>
      </c>
      <c r="E17" s="30" t="s">
        <v>2080</v>
      </c>
    </row>
    <row r="18" customFormat="false" ht="21.75" hidden="false" customHeight="true" outlineLevel="0" collapsed="false">
      <c r="A18" s="6" t="s">
        <v>2081</v>
      </c>
      <c r="B18" s="30" t="s">
        <v>2082</v>
      </c>
      <c r="C18" s="4" t="s">
        <v>2028</v>
      </c>
      <c r="D18" s="30" t="s">
        <v>2083</v>
      </c>
      <c r="E18" s="30" t="s">
        <v>2084</v>
      </c>
    </row>
    <row r="19" customFormat="false" ht="15" hidden="false" customHeight="true" outlineLevel="0" collapsed="false">
      <c r="A19" s="6" t="s">
        <v>2085</v>
      </c>
      <c r="B19" s="30" t="s">
        <v>2086</v>
      </c>
      <c r="C19" s="4" t="s">
        <v>2028</v>
      </c>
      <c r="D19" s="30" t="s">
        <v>2087</v>
      </c>
      <c r="E19" s="30" t="s">
        <v>2088</v>
      </c>
    </row>
    <row r="20" customFormat="false" ht="21.75" hidden="false" customHeight="true" outlineLevel="0" collapsed="false">
      <c r="A20" s="6" t="s">
        <v>2089</v>
      </c>
      <c r="B20" s="30" t="s">
        <v>2032</v>
      </c>
      <c r="C20" s="4" t="s">
        <v>2028</v>
      </c>
      <c r="D20" s="30" t="s">
        <v>2090</v>
      </c>
      <c r="E20" s="30" t="s">
        <v>2091</v>
      </c>
    </row>
    <row r="21" customFormat="false" ht="23.25" hidden="false" customHeight="true" outlineLevel="0" collapsed="false">
      <c r="A21" s="6" t="s">
        <v>2092</v>
      </c>
      <c r="B21" s="30" t="s">
        <v>2093</v>
      </c>
      <c r="C21" s="4" t="s">
        <v>2028</v>
      </c>
      <c r="D21" s="30" t="s">
        <v>2094</v>
      </c>
      <c r="E21" s="30" t="s">
        <v>2095</v>
      </c>
    </row>
    <row r="22" customFormat="false" ht="21.75" hidden="false" customHeight="true" outlineLevel="0" collapsed="false">
      <c r="A22" s="6" t="s">
        <v>2096</v>
      </c>
      <c r="B22" s="30" t="s">
        <v>2097</v>
      </c>
      <c r="C22" s="4" t="s">
        <v>2028</v>
      </c>
      <c r="D22" s="30" t="s">
        <v>2098</v>
      </c>
      <c r="E22" s="30" t="s">
        <v>2099</v>
      </c>
    </row>
    <row r="23" customFormat="false" ht="15" hidden="false" customHeight="true" outlineLevel="0" collapsed="false">
      <c r="A23" s="6" t="s">
        <v>2100</v>
      </c>
      <c r="B23" s="30" t="s">
        <v>2101</v>
      </c>
      <c r="C23" s="30" t="s">
        <v>2028</v>
      </c>
      <c r="D23" s="30" t="s">
        <v>2102</v>
      </c>
      <c r="E23" s="30" t="s">
        <v>2103</v>
      </c>
    </row>
    <row r="24" customFormat="false" ht="21.75" hidden="false" customHeight="true" outlineLevel="0" collapsed="false">
      <c r="A24" s="6" t="s">
        <v>2104</v>
      </c>
      <c r="B24" s="30" t="s">
        <v>2105</v>
      </c>
      <c r="C24" s="30" t="s">
        <v>2028</v>
      </c>
      <c r="D24" s="30" t="s">
        <v>2106</v>
      </c>
      <c r="E24" s="30" t="s">
        <v>2107</v>
      </c>
    </row>
    <row r="25" customFormat="false" ht="15" hidden="false" customHeight="true" outlineLevel="0" collapsed="false">
      <c r="A25" s="6" t="s">
        <v>2108</v>
      </c>
      <c r="B25" s="30" t="s">
        <v>2109</v>
      </c>
      <c r="C25" s="30" t="s">
        <v>2028</v>
      </c>
      <c r="D25" s="30" t="s">
        <v>2110</v>
      </c>
      <c r="E25" s="30" t="s">
        <v>2111</v>
      </c>
    </row>
    <row r="26" customFormat="false" ht="15" hidden="false" customHeight="true" outlineLevel="0" collapsed="false">
      <c r="A26" s="6" t="s">
        <v>2112</v>
      </c>
      <c r="B26" s="30" t="s">
        <v>2113</v>
      </c>
      <c r="C26" s="30" t="s">
        <v>2028</v>
      </c>
      <c r="D26" s="30" t="s">
        <v>2114</v>
      </c>
      <c r="E26" s="30" t="s">
        <v>2111</v>
      </c>
    </row>
    <row r="27" customFormat="false" ht="21.75" hidden="false" customHeight="true" outlineLevel="0" collapsed="false">
      <c r="A27" s="6" t="s">
        <v>2115</v>
      </c>
      <c r="B27" s="30" t="s">
        <v>2116</v>
      </c>
      <c r="C27" s="30" t="s">
        <v>2028</v>
      </c>
      <c r="D27" s="30" t="s">
        <v>2117</v>
      </c>
      <c r="E27" s="30" t="s">
        <v>2118</v>
      </c>
    </row>
    <row r="28" customFormat="false" ht="21.75" hidden="false" customHeight="true" outlineLevel="0" collapsed="false">
      <c r="A28" s="6" t="s">
        <v>2119</v>
      </c>
      <c r="B28" s="30" t="s">
        <v>2120</v>
      </c>
      <c r="C28" s="30" t="s">
        <v>2028</v>
      </c>
      <c r="D28" s="30" t="s">
        <v>2121</v>
      </c>
      <c r="E28" s="30" t="s">
        <v>2122</v>
      </c>
    </row>
    <row r="29" customFormat="false" ht="32.25" hidden="false" customHeight="true" outlineLevel="0" collapsed="false">
      <c r="A29" s="6" t="s">
        <v>2123</v>
      </c>
      <c r="B29" s="30" t="s">
        <v>2124</v>
      </c>
      <c r="C29" s="30" t="s">
        <v>2028</v>
      </c>
      <c r="D29" s="30" t="s">
        <v>2125</v>
      </c>
      <c r="E29" s="30" t="s">
        <v>2126</v>
      </c>
    </row>
    <row r="30" customFormat="false" ht="23.25" hidden="false" customHeight="true" outlineLevel="0" collapsed="false">
      <c r="A30" s="6" t="s">
        <v>2127</v>
      </c>
      <c r="B30" s="30" t="s">
        <v>2128</v>
      </c>
      <c r="C30" s="30" t="s">
        <v>2129</v>
      </c>
      <c r="D30" s="30" t="s">
        <v>2130</v>
      </c>
      <c r="E30" s="30" t="s">
        <v>2131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2026-10-10T00:05:49Z</dcterms:created>
  <dc:creator>openpyxl</dc:creator>
  <dc:description/>
  <dc:language>en-US</dc:language>
  <cp:lastModifiedBy/>
  <dcterms:modified xsi:type="dcterms:W3CDTF">2026-10-11T15:02:21Z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